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11.xml" ContentType="application/vnd.openxmlformats-officedocument.spreadsheetml.comments+xml"/>
  <Override PartName="/xl/drawings/drawing13.xml" ContentType="application/vnd.openxmlformats-officedocument.drawing+xml"/>
  <Override PartName="/xl/comments12.xml" ContentType="application/vnd.openxmlformats-officedocument.spreadsheetml.comments+xml"/>
  <Override PartName="/xl/drawings/drawing14.xml" ContentType="application/vnd.openxmlformats-officedocument.drawing+xml"/>
  <Override PartName="/xl/comments13.xml" ContentType="application/vnd.openxmlformats-officedocument.spreadsheetml.comments+xml"/>
  <Override PartName="/xl/drawings/drawing1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ocuments\"/>
    </mc:Choice>
  </mc:AlternateContent>
  <xr:revisionPtr revIDLastSave="0" documentId="8_{3681862A-691B-48EA-B7D8-30E80A8D22D9}" xr6:coauthVersionLast="47" xr6:coauthVersionMax="47" xr10:uidLastSave="{00000000-0000-0000-0000-000000000000}"/>
  <bookViews>
    <workbookView xWindow="-195" yWindow="16080" windowWidth="29040" windowHeight="15720" tabRatio="917" activeTab="5" xr2:uid="{00000000-000D-0000-FFFF-FFFF00000000}"/>
  </bookViews>
  <sheets>
    <sheet name="SPC" sheetId="11" r:id="rId1"/>
    <sheet name="SPC(시노관세)" sheetId="12" r:id="rId2"/>
    <sheet name="SPC(본사)" sheetId="89" r:id="rId3"/>
    <sheet name="SPC(1물류)" sheetId="102" r:id="rId4"/>
    <sheet name="시노(티알)" sheetId="64" r:id="rId5"/>
    <sheet name="시노(명인)" sheetId="99" r:id="rId6"/>
    <sheet name="시노(해인)" sheetId="82" r:id="rId7"/>
    <sheet name="시노(기타)" sheetId="101" r:id="rId8"/>
    <sheet name="케이비켐" sheetId="19" r:id="rId9"/>
    <sheet name="피알" sheetId="61" r:id="rId10"/>
    <sheet name="HS" sheetId="67" r:id="rId11"/>
    <sheet name="HS(세종)" sheetId="83" r:id="rId12"/>
    <sheet name="HS(액상)" sheetId="90" r:id="rId13"/>
    <sheet name="HS(기타)" sheetId="91" r:id="rId14"/>
    <sheet name="덕성" sheetId="100" r:id="rId15"/>
    <sheet name="재고요약" sheetId="103" r:id="rId16"/>
    <sheet name="출고세부내역" sheetId="104" r:id="rId17"/>
    <sheet name="보관료취합" sheetId="86" r:id="rId18"/>
    <sheet name="재고0" sheetId="27" r:id="rId19"/>
  </sheets>
  <externalReferences>
    <externalReference r:id="rId20"/>
  </externalReferences>
  <definedNames>
    <definedName name="_xlnm._FilterDatabase" localSheetId="10" hidden="1">HS!$A$12:$AC$38</definedName>
    <definedName name="_xlnm._FilterDatabase" localSheetId="13" hidden="1">'HS(기타)'!$A$12:$AC$16</definedName>
    <definedName name="_xlnm._FilterDatabase" localSheetId="11" hidden="1">'HS(세종)'!$B$12:$AC$12</definedName>
    <definedName name="_xlnm._FilterDatabase" localSheetId="12" hidden="1">'HS(액상)'!$C$4:$Q$12</definedName>
    <definedName name="_xlnm._FilterDatabase" localSheetId="0" hidden="1">SPC!$A$12:$AF$51</definedName>
    <definedName name="_xlnm._FilterDatabase" localSheetId="3" hidden="1">'SPC(1물류)'!$A$12:$AF$12</definedName>
    <definedName name="_xlnm._FilterDatabase" localSheetId="2" hidden="1">'SPC(본사)'!$A$12:$AF$13</definedName>
    <definedName name="_xlnm._FilterDatabase" localSheetId="1" hidden="1">'SPC(시노관세)'!$A$12:$AC$13</definedName>
    <definedName name="_xlnm._FilterDatabase" localSheetId="14" hidden="1">덕성!$C$4:$Q$12</definedName>
    <definedName name="_xlnm._FilterDatabase" localSheetId="7" hidden="1">'시노(기타)'!$B$12:$AC$12</definedName>
    <definedName name="_xlnm._FilterDatabase" localSheetId="5" hidden="1">'시노(명인)'!$B$12:$AC$24</definedName>
    <definedName name="_xlnm._FilterDatabase" localSheetId="4" hidden="1">'시노(티알)'!$B$12:$AC$19</definedName>
    <definedName name="_xlnm._FilterDatabase" localSheetId="6" hidden="1">'시노(해인)'!$B$12:$AC$13</definedName>
    <definedName name="_xlnm._FilterDatabase" localSheetId="8" hidden="1">케이비켐!$B$12:$AC$42</definedName>
    <definedName name="_xlnm._FilterDatabase" localSheetId="9" hidden="1">피알!$C$4:$Q$12</definedName>
    <definedName name="_xlnm.Criteria" localSheetId="10">[1]Sales!#REF!</definedName>
    <definedName name="_xlnm.Criteria" localSheetId="13">[1]Sales!#REF!</definedName>
    <definedName name="_xlnm.Criteria" localSheetId="11">[1]Sales!#REF!</definedName>
    <definedName name="_xlnm.Criteria" localSheetId="12">[1]Sales!#REF!</definedName>
    <definedName name="_xlnm.Criteria" localSheetId="0">[1]Sales!#REF!</definedName>
    <definedName name="_xlnm.Criteria" localSheetId="3">[1]Sales!#REF!</definedName>
    <definedName name="_xlnm.Criteria" localSheetId="2">[1]Sales!#REF!</definedName>
    <definedName name="_xlnm.Criteria" localSheetId="1">[1]Sales!#REF!</definedName>
    <definedName name="_xlnm.Criteria" localSheetId="14">[1]Sales!#REF!</definedName>
    <definedName name="_xlnm.Criteria" localSheetId="17">[1]Sales!#REF!</definedName>
    <definedName name="_xlnm.Criteria" localSheetId="7">[1]Sales!#REF!</definedName>
    <definedName name="_xlnm.Criteria" localSheetId="5">[1]Sales!#REF!</definedName>
    <definedName name="_xlnm.Criteria" localSheetId="4">[1]Sales!#REF!</definedName>
    <definedName name="_xlnm.Criteria" localSheetId="6">[1]Sales!#REF!</definedName>
    <definedName name="_xlnm.Criteria" localSheetId="8">[1]Sales!#REF!</definedName>
    <definedName name="_xlnm.Criteria" localSheetId="9">[1]Sales!#REF!</definedName>
    <definedName name="_xlnm.Criteria">[1]Sales!#REF!</definedName>
    <definedName name="DFDSFAFASDF" localSheetId="10">[1]Sales!#REF!</definedName>
    <definedName name="DFDSFAFASDF" localSheetId="13">[1]Sales!#REF!</definedName>
    <definedName name="DFDSFAFASDF" localSheetId="11">[1]Sales!#REF!</definedName>
    <definedName name="DFDSFAFASDF" localSheetId="12">[1]Sales!#REF!</definedName>
    <definedName name="DFDSFAFASDF" localSheetId="1">[1]Sales!#REF!</definedName>
    <definedName name="DFDSFAFASDF" localSheetId="14">[1]Sales!#REF!</definedName>
    <definedName name="DFDSFAFASDF" localSheetId="17">[1]Sales!#REF!</definedName>
    <definedName name="DFDSFAFASDF" localSheetId="7">[1]Sales!#REF!</definedName>
    <definedName name="DFDSFAFASDF" localSheetId="5">[1]Sales!#REF!</definedName>
    <definedName name="DFDSFAFASDF" localSheetId="4">[1]Sales!#REF!</definedName>
    <definedName name="DFDSFAFASDF" localSheetId="6">[1]Sales!#REF!</definedName>
    <definedName name="DFDSFAFASDF" localSheetId="8">[1]Sales!#REF!</definedName>
    <definedName name="DFDSFAFASDF" localSheetId="9">[1]Sales!#REF!</definedName>
    <definedName name="DFDSFAFASDF">[1]Sales!#REF!</definedName>
    <definedName name="_xlnm.Print_Area" localSheetId="10">HS!$C$4:$AC$12</definedName>
    <definedName name="_xlnm.Print_Area" localSheetId="13">'HS(기타)'!$C$4:$AC$12</definedName>
    <definedName name="_xlnm.Print_Area" localSheetId="11">'HS(세종)'!$C$4:$AC$12</definedName>
    <definedName name="_xlnm.Print_Area" localSheetId="12">'HS(액상)'!$C$4:$AC$12</definedName>
    <definedName name="_xlnm.Print_Area" localSheetId="0">SPC!$C$4:$AF$12</definedName>
    <definedName name="_xlnm.Print_Area" localSheetId="3">'SPC(1물류)'!$C$4:$AF$12</definedName>
    <definedName name="_xlnm.Print_Area" localSheetId="2">'SPC(본사)'!$C$4:$AF$12</definedName>
    <definedName name="_xlnm.Print_Area" localSheetId="14">덕성!$C$4:$AC$12</definedName>
    <definedName name="_xlnm.Print_Area" localSheetId="7">'시노(기타)'!$B$4:$Q$12</definedName>
    <definedName name="_xlnm.Print_Area" localSheetId="5">'시노(명인)'!$C$4:$AC$12</definedName>
    <definedName name="_xlnm.Print_Area" localSheetId="4">'시노(티알)'!$C$4:$AC$12</definedName>
    <definedName name="_xlnm.Print_Area" localSheetId="6">'시노(해인)'!$B$4:$Q$12</definedName>
    <definedName name="_xlnm.Print_Area" localSheetId="9">피알!$C$4:$AC$12</definedName>
    <definedName name="ship2" localSheetId="17">#REF!</definedName>
    <definedName name="ship2" localSheetId="15">#REF!</definedName>
    <definedName name="ship2" localSheetId="16">#REF!</definedName>
    <definedName name="ship2">#REF!</definedName>
    <definedName name="SS" localSheetId="17">#REF!</definedName>
    <definedName name="SS" localSheetId="15">#REF!</definedName>
    <definedName name="SS" localSheetId="16">#REF!</definedName>
    <definedName name="SS">#REF!</definedName>
    <definedName name="ㄴㅇㄹㄹㄹㄹㄹㄹㄹㄹㄹㄹㄹㄹ" localSheetId="17">#REF!</definedName>
    <definedName name="ㄴㅇㄹㄹㄹㄹㄹㄹㄹㄹㄹㄹㄹㄹ" localSheetId="15">#REF!</definedName>
    <definedName name="ㄴㅇㄹㄹㄹㄹㄹㄹㄹㄹㄹㄹㄹㄹ" localSheetId="16">#REF!</definedName>
    <definedName name="ㄴㅇㄹㄹㄹㄹㄹㄹㄹㄹㄹㄹㄹㄹ">#REF!</definedName>
    <definedName name="ㄹㄹㄹㄹㄹㄹ" localSheetId="17">[1]Sales!#REF!</definedName>
    <definedName name="ㄹㄹㄹㄹㄹㄹ" localSheetId="15">[1]Sales!#REF!</definedName>
    <definedName name="ㄹㄹㄹㄹㄹㄹ" localSheetId="16">[1]Sales!#REF!</definedName>
    <definedName name="ㄹㄹㄹㄹㄹㄹ">[1]Sales!#REF!</definedName>
    <definedName name="ㅁㄴㅇㄹㄴㅇㅁㄹ" localSheetId="17">#REF!</definedName>
    <definedName name="ㅁㄴㅇㄹㄴㅇㅁㄹ" localSheetId="15">#REF!</definedName>
    <definedName name="ㅁㄴㅇㄹㄴㅇㅁㄹ" localSheetId="16">#REF!</definedName>
    <definedName name="ㅁㄴㅇㄹㄴㅇㅁㄹ">#REF!</definedName>
    <definedName name="ㅁㄴㅇㄹㄹㄹㄹ" localSheetId="17">#REF!</definedName>
    <definedName name="ㅁㄴㅇㄹㄹㄹㄹ" localSheetId="15">#REF!</definedName>
    <definedName name="ㅁㄴㅇㄹㄹㄹㄹ" localSheetId="16">#REF!</definedName>
    <definedName name="ㅁㄴㅇㄹㄹㄹㄹ">#REF!</definedName>
    <definedName name="ㅁㄴㅇㄻㄴㅇ" localSheetId="17">[1]Sales!#REF!</definedName>
    <definedName name="ㅁㄴㅇㄻㄴㅇ" localSheetId="15">[1]Sales!#REF!</definedName>
    <definedName name="ㅁㄴㅇㄻㄴㅇ" localSheetId="16">[1]Sales!#REF!</definedName>
    <definedName name="ㅁㄴㅇㄻㄴㅇ">[1]Sales!#REF!</definedName>
    <definedName name="수정후" localSheetId="17">#REF!</definedName>
    <definedName name="수정후" localSheetId="15">#REF!</definedName>
    <definedName name="수정후" localSheetId="16">#REF!</definedName>
    <definedName name="수정후">#REF!</definedName>
    <definedName name="수정후1" localSheetId="17">[1]Sales!#REF!</definedName>
    <definedName name="수정후1" localSheetId="15">[1]Sales!#REF!</definedName>
    <definedName name="수정후1" localSheetId="16">[1]Sales!#REF!</definedName>
    <definedName name="수정후1">[1]Sales!#REF!</definedName>
    <definedName name="ㅇ" localSheetId="17">[1]Sales!#REF!</definedName>
    <definedName name="ㅇ" localSheetId="15">[1]Sales!#REF!</definedName>
    <definedName name="ㅇ" localSheetId="16">[1]Sales!#REF!</definedName>
    <definedName name="ㅇ">[1]Sales!#REF!</definedName>
    <definedName name="ㅇㅇ" localSheetId="17">#REF!</definedName>
    <definedName name="ㅇㅇ" localSheetId="15">#REF!</definedName>
    <definedName name="ㅇㅇ" localSheetId="16">#REF!</definedName>
    <definedName name="ㅇㅇ">#REF!</definedName>
    <definedName name="ㅇㅇㅇ" localSheetId="17">[1]Sales!#REF!</definedName>
    <definedName name="ㅇㅇㅇ" localSheetId="15">[1]Sales!#REF!</definedName>
    <definedName name="ㅇㅇㅇ" localSheetId="16">[1]Sales!#REF!</definedName>
    <definedName name="ㅇㅇㅇ">[1]Sales!#REF!</definedName>
    <definedName name="제니스" localSheetId="10">[1]Sales!#REF!</definedName>
    <definedName name="제니스" localSheetId="13">[1]Sales!#REF!</definedName>
    <definedName name="제니스" localSheetId="11">[1]Sales!#REF!</definedName>
    <definedName name="제니스" localSheetId="12">[1]Sales!#REF!</definedName>
    <definedName name="제니스" localSheetId="14">[1]Sales!#REF!</definedName>
    <definedName name="제니스" localSheetId="7">[1]Sales!#REF!</definedName>
    <definedName name="제니스" localSheetId="5">[1]Sales!#REF!</definedName>
    <definedName name="제니스" localSheetId="4">[1]Sales!#REF!</definedName>
    <definedName name="제니스" localSheetId="6">[1]Sales!#REF!</definedName>
    <definedName name="제니스" localSheetId="9">[1]Sales!#REF!</definedName>
    <definedName name="평택">[1]Sales!#REF!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0" i="64" l="1"/>
  <c r="W70" i="61" l="1"/>
  <c r="S70" i="61"/>
  <c r="T70" i="61" s="1"/>
  <c r="P70" i="61" s="1"/>
  <c r="N70" i="61" s="1"/>
  <c r="O70" i="61" s="1"/>
  <c r="Q70" i="61" s="1"/>
  <c r="L70" i="61"/>
  <c r="I70" i="61"/>
  <c r="G70" i="61"/>
  <c r="Z70" i="61" s="1"/>
  <c r="Z69" i="61"/>
  <c r="W69" i="61"/>
  <c r="S69" i="61"/>
  <c r="T69" i="61" s="1"/>
  <c r="P69" i="61" s="1"/>
  <c r="N69" i="61" s="1"/>
  <c r="O69" i="61" s="1"/>
  <c r="L69" i="61"/>
  <c r="I69" i="61"/>
  <c r="G69" i="61"/>
  <c r="W68" i="61"/>
  <c r="S68" i="61"/>
  <c r="T68" i="61" s="1"/>
  <c r="P68" i="61" s="1"/>
  <c r="N68" i="61" s="1"/>
  <c r="O68" i="61" s="1"/>
  <c r="L68" i="61"/>
  <c r="I68" i="61"/>
  <c r="G68" i="61"/>
  <c r="Z68" i="61" s="1"/>
  <c r="W67" i="61"/>
  <c r="S67" i="61"/>
  <c r="T67" i="61" s="1"/>
  <c r="P67" i="61" s="1"/>
  <c r="N67" i="61" s="1"/>
  <c r="O67" i="61" s="1"/>
  <c r="Q67" i="61" s="1"/>
  <c r="L67" i="61"/>
  <c r="I67" i="61"/>
  <c r="G67" i="61"/>
  <c r="Z67" i="61" s="1"/>
  <c r="W66" i="61"/>
  <c r="S66" i="61"/>
  <c r="T66" i="61" s="1"/>
  <c r="P66" i="61" s="1"/>
  <c r="N66" i="61" s="1"/>
  <c r="O66" i="61" s="1"/>
  <c r="L66" i="61"/>
  <c r="I66" i="61"/>
  <c r="G66" i="61"/>
  <c r="Z66" i="61" s="1"/>
  <c r="W65" i="61"/>
  <c r="S65" i="61"/>
  <c r="T65" i="61" s="1"/>
  <c r="P65" i="61" s="1"/>
  <c r="N65" i="61" s="1"/>
  <c r="O65" i="61" s="1"/>
  <c r="L65" i="61"/>
  <c r="I65" i="61"/>
  <c r="G65" i="61"/>
  <c r="Z65" i="61" s="1"/>
  <c r="AA68" i="61" l="1"/>
  <c r="AB68" i="61" s="1"/>
  <c r="Q68" i="61"/>
  <c r="Q69" i="61"/>
  <c r="AA69" i="61" s="1"/>
  <c r="AB69" i="61" s="1"/>
  <c r="AA70" i="61"/>
  <c r="AB70" i="61" s="1"/>
  <c r="Q65" i="61"/>
  <c r="AA65" i="61" s="1"/>
  <c r="AB65" i="61" s="1"/>
  <c r="Q66" i="61"/>
  <c r="AA66" i="61" s="1"/>
  <c r="AB66" i="61" s="1"/>
  <c r="AA67" i="61"/>
  <c r="AB67" i="61" s="1"/>
  <c r="M7" i="86"/>
  <c r="N7" i="86"/>
  <c r="O7" i="86"/>
  <c r="AD6" i="101" l="1"/>
  <c r="AE6" i="82"/>
  <c r="AF6" i="82"/>
  <c r="AG6" i="82"/>
  <c r="AD6" i="82"/>
  <c r="BP6" i="99"/>
  <c r="BQ6" i="99"/>
  <c r="BR6" i="99"/>
  <c r="BS6" i="99"/>
  <c r="BT6" i="99"/>
  <c r="BU6" i="99"/>
  <c r="BV6" i="99"/>
  <c r="BW6" i="99"/>
  <c r="BX6" i="99"/>
  <c r="BY6" i="99"/>
  <c r="BZ6" i="99"/>
  <c r="CA6" i="99"/>
  <c r="AE6" i="64"/>
  <c r="AF6" i="64"/>
  <c r="AG6" i="64"/>
  <c r="AH6" i="64"/>
  <c r="AI6" i="64"/>
  <c r="AJ6" i="64"/>
  <c r="AK6" i="64"/>
  <c r="AL6" i="64"/>
  <c r="AM6" i="64"/>
  <c r="AN6" i="64"/>
  <c r="AO6" i="64"/>
  <c r="AP6" i="64"/>
  <c r="AQ6" i="64"/>
  <c r="AR6" i="64"/>
  <c r="AS6" i="64"/>
  <c r="AT6" i="64"/>
  <c r="AU6" i="64"/>
  <c r="AV6" i="64"/>
  <c r="AW6" i="64"/>
  <c r="AD6" i="64"/>
  <c r="BO22" i="99"/>
  <c r="AE6" i="19" l="1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A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AD6" i="19"/>
  <c r="AE6" i="67" l="1"/>
  <c r="AF6" i="67"/>
  <c r="AG6" i="67"/>
  <c r="AH6" i="67"/>
  <c r="AI6" i="67"/>
  <c r="AJ6" i="67"/>
  <c r="AK6" i="67"/>
  <c r="AL6" i="67"/>
  <c r="AM6" i="67"/>
  <c r="AN6" i="67"/>
  <c r="AO6" i="67"/>
  <c r="AP6" i="67"/>
  <c r="AQ6" i="67"/>
  <c r="AR6" i="67"/>
  <c r="AS6" i="67"/>
  <c r="AT6" i="67"/>
  <c r="AU6" i="67"/>
  <c r="AV6" i="67"/>
  <c r="AW6" i="67"/>
  <c r="AX6" i="67"/>
  <c r="AY6" i="67"/>
  <c r="AZ6" i="67"/>
  <c r="BA6" i="67"/>
  <c r="BB6" i="67"/>
  <c r="BC6" i="67"/>
  <c r="BD6" i="67"/>
  <c r="BE6" i="67"/>
  <c r="BF6" i="67"/>
  <c r="BG6" i="67"/>
  <c r="BH6" i="67"/>
  <c r="BI6" i="67"/>
  <c r="BJ6" i="67"/>
  <c r="BK6" i="67"/>
  <c r="BL6" i="67"/>
  <c r="BM6" i="67"/>
  <c r="BN6" i="67"/>
  <c r="BO6" i="67"/>
  <c r="BP6" i="67"/>
  <c r="BQ6" i="67"/>
  <c r="BR6" i="67"/>
  <c r="BS6" i="67"/>
  <c r="BT6" i="67"/>
  <c r="BU6" i="67"/>
  <c r="AD6" i="67"/>
  <c r="W39" i="67" l="1"/>
  <c r="S39" i="67"/>
  <c r="T39" i="67" s="1"/>
  <c r="P39" i="67" s="1"/>
  <c r="N39" i="67" s="1"/>
  <c r="O39" i="67" s="1"/>
  <c r="L39" i="67"/>
  <c r="I39" i="67"/>
  <c r="G39" i="67"/>
  <c r="Q39" i="67" l="1"/>
  <c r="AA39" i="67"/>
  <c r="AZ2" i="102" l="1"/>
  <c r="BH2" i="102"/>
  <c r="BP2" i="102"/>
  <c r="AT3" i="102"/>
  <c r="AU3" i="102"/>
  <c r="AV3" i="102"/>
  <c r="AW3" i="102"/>
  <c r="AX3" i="102"/>
  <c r="AY3" i="102"/>
  <c r="AZ3" i="102"/>
  <c r="BA3" i="102"/>
  <c r="BB3" i="102"/>
  <c r="BC3" i="102"/>
  <c r="BD3" i="102"/>
  <c r="BE3" i="102"/>
  <c r="BF3" i="102"/>
  <c r="BG3" i="102"/>
  <c r="BH3" i="102"/>
  <c r="BI3" i="102"/>
  <c r="BJ3" i="102"/>
  <c r="BK3" i="102"/>
  <c r="BL3" i="102"/>
  <c r="BM3" i="102"/>
  <c r="BN3" i="102"/>
  <c r="BO3" i="102"/>
  <c r="BP3" i="102"/>
  <c r="BQ3" i="102"/>
  <c r="BR3" i="102"/>
  <c r="BS3" i="102"/>
  <c r="BT3" i="102"/>
  <c r="BU3" i="102"/>
  <c r="BV3" i="102"/>
  <c r="AT6" i="102"/>
  <c r="AU6" i="102"/>
  <c r="AV6" i="102"/>
  <c r="AW6" i="102"/>
  <c r="AX6" i="102"/>
  <c r="AY6" i="102"/>
  <c r="AZ6" i="102"/>
  <c r="BA6" i="102"/>
  <c r="BB6" i="102"/>
  <c r="BC6" i="102"/>
  <c r="BD6" i="102"/>
  <c r="BE6" i="102"/>
  <c r="BF6" i="102"/>
  <c r="BG6" i="102"/>
  <c r="BH6" i="102"/>
  <c r="BI6" i="102"/>
  <c r="BJ6" i="102"/>
  <c r="BK6" i="102"/>
  <c r="BL6" i="102"/>
  <c r="BM6" i="102"/>
  <c r="BN6" i="102"/>
  <c r="BO6" i="102"/>
  <c r="BP6" i="102"/>
  <c r="BQ6" i="102"/>
  <c r="BR6" i="102"/>
  <c r="BS6" i="102"/>
  <c r="BT6" i="102"/>
  <c r="BU6" i="102"/>
  <c r="BV6" i="102"/>
  <c r="AT7" i="102"/>
  <c r="AU7" i="102"/>
  <c r="AV7" i="102"/>
  <c r="AW7" i="102"/>
  <c r="AX7" i="102"/>
  <c r="AY7" i="102"/>
  <c r="AZ7" i="102"/>
  <c r="BA7" i="102"/>
  <c r="BB7" i="102"/>
  <c r="BC7" i="102"/>
  <c r="BD7" i="102"/>
  <c r="BE7" i="102"/>
  <c r="BF7" i="102"/>
  <c r="BG7" i="102"/>
  <c r="BH7" i="102"/>
  <c r="BI7" i="102"/>
  <c r="BJ7" i="102"/>
  <c r="BK7" i="102"/>
  <c r="BL7" i="102"/>
  <c r="BM7" i="102"/>
  <c r="BN7" i="102"/>
  <c r="BO7" i="102"/>
  <c r="BP7" i="102"/>
  <c r="BQ7" i="102"/>
  <c r="BR7" i="102"/>
  <c r="BS7" i="102"/>
  <c r="BT7" i="102"/>
  <c r="BU7" i="102"/>
  <c r="BV7" i="102"/>
  <c r="AT8" i="102"/>
  <c r="AU8" i="102"/>
  <c r="AV8" i="102"/>
  <c r="AV9" i="102" s="1"/>
  <c r="AW8" i="102"/>
  <c r="AX8" i="102"/>
  <c r="AY8" i="102"/>
  <c r="AZ8" i="102"/>
  <c r="BA8" i="102"/>
  <c r="BA9" i="102" s="1"/>
  <c r="BA2" i="102" s="1"/>
  <c r="BB8" i="102"/>
  <c r="BC8" i="102"/>
  <c r="BD8" i="102"/>
  <c r="BD9" i="102" s="1"/>
  <c r="BE8" i="102"/>
  <c r="BF8" i="102"/>
  <c r="BG8" i="102"/>
  <c r="BH8" i="102"/>
  <c r="BI8" i="102"/>
  <c r="BI9" i="102" s="1"/>
  <c r="BI2" i="102" s="1"/>
  <c r="BJ8" i="102"/>
  <c r="BK8" i="102"/>
  <c r="BL8" i="102"/>
  <c r="BL9" i="102" s="1"/>
  <c r="BM8" i="102"/>
  <c r="BN8" i="102"/>
  <c r="BO8" i="102"/>
  <c r="BP8" i="102"/>
  <c r="BQ8" i="102"/>
  <c r="BQ9" i="102" s="1"/>
  <c r="BQ2" i="102" s="1"/>
  <c r="BR8" i="102"/>
  <c r="BS8" i="102"/>
  <c r="BT8" i="102"/>
  <c r="BT9" i="102" s="1"/>
  <c r="BU8" i="102"/>
  <c r="BV8" i="102"/>
  <c r="AT9" i="102"/>
  <c r="AT2" i="102" s="1"/>
  <c r="AU9" i="102"/>
  <c r="AU2" i="102" s="1"/>
  <c r="AW9" i="102"/>
  <c r="AW2" i="102" s="1"/>
  <c r="AX9" i="102"/>
  <c r="AX2" i="102" s="1"/>
  <c r="AY9" i="102"/>
  <c r="AY2" i="102" s="1"/>
  <c r="AZ9" i="102"/>
  <c r="BB9" i="102"/>
  <c r="BB2" i="102" s="1"/>
  <c r="BC9" i="102"/>
  <c r="BC2" i="102" s="1"/>
  <c r="BE9" i="102"/>
  <c r="BE2" i="102" s="1"/>
  <c r="BF9" i="102"/>
  <c r="BF2" i="102" s="1"/>
  <c r="BG9" i="102"/>
  <c r="BG2" i="102" s="1"/>
  <c r="BH9" i="102"/>
  <c r="BJ9" i="102"/>
  <c r="BJ2" i="102" s="1"/>
  <c r="BK9" i="102"/>
  <c r="BK2" i="102" s="1"/>
  <c r="BM9" i="102"/>
  <c r="BM2" i="102" s="1"/>
  <c r="BN9" i="102"/>
  <c r="BN2" i="102" s="1"/>
  <c r="BO9" i="102"/>
  <c r="BO2" i="102" s="1"/>
  <c r="BP9" i="102"/>
  <c r="BR9" i="102"/>
  <c r="BR2" i="102" s="1"/>
  <c r="BS9" i="102"/>
  <c r="BS2" i="102" s="1"/>
  <c r="BU9" i="102"/>
  <c r="BU2" i="102" s="1"/>
  <c r="BV9" i="102"/>
  <c r="BV2" i="102" s="1"/>
  <c r="AT10" i="102"/>
  <c r="AU10" i="102"/>
  <c r="AV10" i="102"/>
  <c r="AW10" i="102"/>
  <c r="AX10" i="102"/>
  <c r="AY10" i="102"/>
  <c r="AZ10" i="102"/>
  <c r="BA10" i="102"/>
  <c r="BB10" i="102"/>
  <c r="BC10" i="102"/>
  <c r="BD10" i="102"/>
  <c r="BE10" i="102"/>
  <c r="BF10" i="102"/>
  <c r="BG10" i="102"/>
  <c r="BH10" i="102"/>
  <c r="BI10" i="102"/>
  <c r="BJ10" i="102"/>
  <c r="BK10" i="102"/>
  <c r="BL10" i="102"/>
  <c r="BM10" i="102"/>
  <c r="BN10" i="102"/>
  <c r="BO10" i="102"/>
  <c r="BP10" i="102"/>
  <c r="BQ10" i="102"/>
  <c r="BR10" i="102"/>
  <c r="BS10" i="102"/>
  <c r="BT10" i="102"/>
  <c r="BU10" i="102"/>
  <c r="BV10" i="102"/>
  <c r="AT11" i="102"/>
  <c r="AT12" i="102" s="1"/>
  <c r="AU11" i="102"/>
  <c r="AV11" i="102"/>
  <c r="AW11" i="102"/>
  <c r="AW12" i="102" s="1"/>
  <c r="AX11" i="102"/>
  <c r="AY11" i="102"/>
  <c r="AZ11" i="102"/>
  <c r="BA11" i="102"/>
  <c r="BA12" i="102" s="1"/>
  <c r="BB11" i="102"/>
  <c r="BB12" i="102" s="1"/>
  <c r="BC11" i="102"/>
  <c r="BD11" i="102"/>
  <c r="BE11" i="102"/>
  <c r="BE12" i="102" s="1"/>
  <c r="BF11" i="102"/>
  <c r="BG11" i="102"/>
  <c r="BH11" i="102"/>
  <c r="BI11" i="102"/>
  <c r="BI12" i="102" s="1"/>
  <c r="BJ11" i="102"/>
  <c r="BJ12" i="102" s="1"/>
  <c r="BK11" i="102"/>
  <c r="BL11" i="102"/>
  <c r="BM11" i="102"/>
  <c r="BM12" i="102" s="1"/>
  <c r="BN11" i="102"/>
  <c r="BO11" i="102"/>
  <c r="BP11" i="102"/>
  <c r="BQ11" i="102"/>
  <c r="BQ12" i="102" s="1"/>
  <c r="BR11" i="102"/>
  <c r="BR12" i="102" s="1"/>
  <c r="BS11" i="102"/>
  <c r="BT11" i="102"/>
  <c r="BU11" i="102"/>
  <c r="BU12" i="102" s="1"/>
  <c r="BV11" i="102"/>
  <c r="AU12" i="102"/>
  <c r="AX12" i="102"/>
  <c r="AZ12" i="102"/>
  <c r="BC12" i="102"/>
  <c r="BF12" i="102"/>
  <c r="BH12" i="102"/>
  <c r="BK12" i="102"/>
  <c r="BN12" i="102"/>
  <c r="BP12" i="102"/>
  <c r="BS12" i="102"/>
  <c r="BV12" i="102"/>
  <c r="AP3" i="102"/>
  <c r="AQ3" i="102"/>
  <c r="AR3" i="102"/>
  <c r="AS3" i="102"/>
  <c r="AP6" i="102"/>
  <c r="AQ6" i="102"/>
  <c r="AR6" i="102"/>
  <c r="AS6" i="102"/>
  <c r="AP7" i="102"/>
  <c r="AQ7" i="102"/>
  <c r="AR7" i="102"/>
  <c r="AS7" i="102"/>
  <c r="AP8" i="102"/>
  <c r="AQ8" i="102"/>
  <c r="AR8" i="102"/>
  <c r="AS8" i="102"/>
  <c r="AP9" i="102"/>
  <c r="AP2" i="102" s="1"/>
  <c r="AQ9" i="102"/>
  <c r="AQ2" i="102" s="1"/>
  <c r="AR9" i="102"/>
  <c r="AS9" i="102"/>
  <c r="AS2" i="102" s="1"/>
  <c r="AP10" i="102"/>
  <c r="AQ10" i="102"/>
  <c r="AR10" i="102"/>
  <c r="AS10" i="102"/>
  <c r="AS11" i="102" s="1"/>
  <c r="AS12" i="102" s="1"/>
  <c r="AP11" i="102"/>
  <c r="AP12" i="102" s="1"/>
  <c r="AQ11" i="102"/>
  <c r="AQ12" i="102" s="1"/>
  <c r="AR11" i="102"/>
  <c r="AR12" i="102" s="1"/>
  <c r="BT2" i="102" l="1"/>
  <c r="BT12" i="102"/>
  <c r="BL2" i="102"/>
  <c r="BL12" i="102"/>
  <c r="BD2" i="102"/>
  <c r="BD12" i="102"/>
  <c r="AV2" i="102"/>
  <c r="AV12" i="102"/>
  <c r="BO12" i="102"/>
  <c r="BG12" i="102"/>
  <c r="AY12" i="102"/>
  <c r="AR2" i="102"/>
  <c r="AE6" i="90" l="1"/>
  <c r="AF6" i="90"/>
  <c r="AG6" i="90"/>
  <c r="AH6" i="90"/>
  <c r="AI6" i="90"/>
  <c r="AJ6" i="90"/>
  <c r="AD6" i="90"/>
  <c r="AE6" i="91" l="1"/>
  <c r="AF6" i="91"/>
  <c r="AD6" i="91"/>
  <c r="W64" i="61" l="1"/>
  <c r="S64" i="61"/>
  <c r="T64" i="61" s="1"/>
  <c r="P64" i="61" s="1"/>
  <c r="N64" i="61" s="1"/>
  <c r="O64" i="61" s="1"/>
  <c r="L64" i="61"/>
  <c r="I64" i="61"/>
  <c r="G64" i="61"/>
  <c r="Z64" i="61" s="1"/>
  <c r="W63" i="61"/>
  <c r="S63" i="61"/>
  <c r="T63" i="61" s="1"/>
  <c r="P63" i="61" s="1"/>
  <c r="N63" i="61" s="1"/>
  <c r="O63" i="61" s="1"/>
  <c r="L63" i="61"/>
  <c r="I63" i="61"/>
  <c r="G63" i="61"/>
  <c r="Z63" i="61" s="1"/>
  <c r="W62" i="61"/>
  <c r="S62" i="61"/>
  <c r="T62" i="61" s="1"/>
  <c r="P62" i="61" s="1"/>
  <c r="N62" i="61" s="1"/>
  <c r="O62" i="61" s="1"/>
  <c r="L62" i="61"/>
  <c r="I62" i="61"/>
  <c r="G62" i="61"/>
  <c r="Z62" i="61" s="1"/>
  <c r="W61" i="61"/>
  <c r="S61" i="61"/>
  <c r="T61" i="61" s="1"/>
  <c r="P61" i="61" s="1"/>
  <c r="N61" i="61" s="1"/>
  <c r="O61" i="61" s="1"/>
  <c r="L61" i="61"/>
  <c r="I61" i="61"/>
  <c r="G61" i="61"/>
  <c r="Z61" i="61" s="1"/>
  <c r="W60" i="61"/>
  <c r="S60" i="61"/>
  <c r="T60" i="61" s="1"/>
  <c r="P60" i="61" s="1"/>
  <c r="N60" i="61" s="1"/>
  <c r="O60" i="61" s="1"/>
  <c r="L60" i="61"/>
  <c r="I60" i="61"/>
  <c r="G60" i="61"/>
  <c r="Z60" i="61" s="1"/>
  <c r="W59" i="61"/>
  <c r="S59" i="61"/>
  <c r="T59" i="61" s="1"/>
  <c r="P59" i="61" s="1"/>
  <c r="N59" i="61" s="1"/>
  <c r="O59" i="61" s="1"/>
  <c r="L59" i="61"/>
  <c r="I59" i="61"/>
  <c r="G59" i="61"/>
  <c r="Z59" i="61" s="1"/>
  <c r="Q62" i="61" l="1"/>
  <c r="Q64" i="61"/>
  <c r="Q61" i="61"/>
  <c r="AA62" i="61"/>
  <c r="AB62" i="61" s="1"/>
  <c r="Q63" i="61"/>
  <c r="AA63" i="61" s="1"/>
  <c r="AB63" i="61" s="1"/>
  <c r="AA64" i="61"/>
  <c r="AB64" i="61" s="1"/>
  <c r="Q59" i="61"/>
  <c r="AA59" i="61" s="1"/>
  <c r="AB59" i="61" s="1"/>
  <c r="Q60" i="61"/>
  <c r="AA60" i="61" s="1"/>
  <c r="AB60" i="61" s="1"/>
  <c r="AA61" i="61"/>
  <c r="AB61" i="61" s="1"/>
  <c r="CY49" i="100" l="1"/>
  <c r="DD44" i="11" l="1"/>
  <c r="O51" i="11" l="1"/>
  <c r="O50" i="11"/>
  <c r="V51" i="11"/>
  <c r="W51" i="11" s="1"/>
  <c r="S51" i="11" s="1"/>
  <c r="Q51" i="11" s="1"/>
  <c r="R51" i="11" s="1"/>
  <c r="L51" i="11"/>
  <c r="G51" i="11"/>
  <c r="V50" i="11"/>
  <c r="W50" i="11" s="1"/>
  <c r="S50" i="11" s="1"/>
  <c r="Q50" i="11" s="1"/>
  <c r="R50" i="11" s="1"/>
  <c r="L50" i="11"/>
  <c r="G50" i="11"/>
  <c r="T50" i="11" l="1"/>
  <c r="T51" i="11"/>
  <c r="AD50" i="11"/>
  <c r="AD51" i="11" l="1"/>
  <c r="BE21" i="99"/>
  <c r="W99" i="100" l="1"/>
  <c r="S99" i="100"/>
  <c r="T99" i="100" s="1"/>
  <c r="P99" i="100" s="1"/>
  <c r="N99" i="100" s="1"/>
  <c r="O99" i="100" s="1"/>
  <c r="L99" i="100"/>
  <c r="I99" i="100"/>
  <c r="G99" i="100"/>
  <c r="Z99" i="100" s="1"/>
  <c r="Z98" i="100"/>
  <c r="W98" i="100"/>
  <c r="S98" i="100"/>
  <c r="T98" i="100" s="1"/>
  <c r="P98" i="100" s="1"/>
  <c r="N98" i="100" s="1"/>
  <c r="O98" i="100" s="1"/>
  <c r="L98" i="100"/>
  <c r="I98" i="100"/>
  <c r="G98" i="100"/>
  <c r="W97" i="100"/>
  <c r="S97" i="100"/>
  <c r="T97" i="100" s="1"/>
  <c r="P97" i="100" s="1"/>
  <c r="N97" i="100" s="1"/>
  <c r="O97" i="100" s="1"/>
  <c r="L97" i="100"/>
  <c r="Q97" i="100" s="1"/>
  <c r="I97" i="100"/>
  <c r="G97" i="100"/>
  <c r="Z97" i="100" s="1"/>
  <c r="W96" i="100"/>
  <c r="S96" i="100"/>
  <c r="T96" i="100" s="1"/>
  <c r="P96" i="100" s="1"/>
  <c r="N96" i="100" s="1"/>
  <c r="O96" i="100" s="1"/>
  <c r="L96" i="100"/>
  <c r="I96" i="100"/>
  <c r="G96" i="100"/>
  <c r="Z96" i="100" s="1"/>
  <c r="Z95" i="100"/>
  <c r="W95" i="100"/>
  <c r="S95" i="100"/>
  <c r="T95" i="100" s="1"/>
  <c r="P95" i="100" s="1"/>
  <c r="N95" i="100" s="1"/>
  <c r="O95" i="100" s="1"/>
  <c r="L95" i="100"/>
  <c r="I95" i="100"/>
  <c r="G95" i="100"/>
  <c r="W94" i="100"/>
  <c r="S94" i="100"/>
  <c r="T94" i="100" s="1"/>
  <c r="P94" i="100" s="1"/>
  <c r="N94" i="100" s="1"/>
  <c r="O94" i="100" s="1"/>
  <c r="L94" i="100"/>
  <c r="I94" i="100"/>
  <c r="G94" i="100"/>
  <c r="Z94" i="100" s="1"/>
  <c r="W93" i="100"/>
  <c r="S93" i="100"/>
  <c r="T93" i="100" s="1"/>
  <c r="P93" i="100" s="1"/>
  <c r="N93" i="100" s="1"/>
  <c r="O93" i="100" s="1"/>
  <c r="L93" i="100"/>
  <c r="I93" i="100"/>
  <c r="G93" i="100"/>
  <c r="Z93" i="100" s="1"/>
  <c r="W92" i="100"/>
  <c r="S92" i="100"/>
  <c r="T92" i="100" s="1"/>
  <c r="P92" i="100" s="1"/>
  <c r="N92" i="100" s="1"/>
  <c r="O92" i="100" s="1"/>
  <c r="L92" i="100"/>
  <c r="I92" i="100"/>
  <c r="G92" i="100"/>
  <c r="Z92" i="100" s="1"/>
  <c r="W90" i="100"/>
  <c r="S90" i="100"/>
  <c r="T90" i="100" s="1"/>
  <c r="P90" i="100" s="1"/>
  <c r="N90" i="100" s="1"/>
  <c r="O90" i="100" s="1"/>
  <c r="L90" i="100"/>
  <c r="I90" i="100"/>
  <c r="G90" i="100"/>
  <c r="Z90" i="100" s="1"/>
  <c r="W89" i="100"/>
  <c r="S89" i="100"/>
  <c r="T89" i="100" s="1"/>
  <c r="P89" i="100" s="1"/>
  <c r="N89" i="100" s="1"/>
  <c r="O89" i="100" s="1"/>
  <c r="L89" i="100"/>
  <c r="I89" i="100"/>
  <c r="G89" i="100"/>
  <c r="Z89" i="100" s="1"/>
  <c r="W88" i="100"/>
  <c r="S88" i="100"/>
  <c r="T88" i="100" s="1"/>
  <c r="P88" i="100" s="1"/>
  <c r="N88" i="100" s="1"/>
  <c r="O88" i="100" s="1"/>
  <c r="L88" i="100"/>
  <c r="I88" i="100"/>
  <c r="G88" i="100"/>
  <c r="Z88" i="100" s="1"/>
  <c r="W87" i="100"/>
  <c r="S87" i="100"/>
  <c r="T87" i="100" s="1"/>
  <c r="P87" i="100" s="1"/>
  <c r="N87" i="100" s="1"/>
  <c r="O87" i="100" s="1"/>
  <c r="L87" i="100"/>
  <c r="I87" i="100"/>
  <c r="G87" i="100"/>
  <c r="Z87" i="100" s="1"/>
  <c r="W86" i="100"/>
  <c r="S86" i="100"/>
  <c r="T86" i="100" s="1"/>
  <c r="P86" i="100" s="1"/>
  <c r="N86" i="100" s="1"/>
  <c r="O86" i="100" s="1"/>
  <c r="L86" i="100"/>
  <c r="I86" i="100"/>
  <c r="G86" i="100"/>
  <c r="Z86" i="100" s="1"/>
  <c r="W85" i="100"/>
  <c r="S85" i="100"/>
  <c r="T85" i="100" s="1"/>
  <c r="P85" i="100" s="1"/>
  <c r="N85" i="100" s="1"/>
  <c r="O85" i="100" s="1"/>
  <c r="L85" i="100"/>
  <c r="I85" i="100"/>
  <c r="G85" i="100"/>
  <c r="Z85" i="100" s="1"/>
  <c r="W84" i="100"/>
  <c r="S84" i="100"/>
  <c r="T84" i="100" s="1"/>
  <c r="P84" i="100" s="1"/>
  <c r="N84" i="100" s="1"/>
  <c r="O84" i="100" s="1"/>
  <c r="L84" i="100"/>
  <c r="I84" i="100"/>
  <c r="G84" i="100"/>
  <c r="Z84" i="100" s="1"/>
  <c r="W83" i="100"/>
  <c r="S83" i="100"/>
  <c r="T83" i="100" s="1"/>
  <c r="P83" i="100" s="1"/>
  <c r="N83" i="100" s="1"/>
  <c r="O83" i="100" s="1"/>
  <c r="L83" i="100"/>
  <c r="I83" i="100"/>
  <c r="G83" i="100"/>
  <c r="Z83" i="100" s="1"/>
  <c r="W82" i="100"/>
  <c r="S82" i="100"/>
  <c r="T82" i="100" s="1"/>
  <c r="P82" i="100" s="1"/>
  <c r="N82" i="100" s="1"/>
  <c r="O82" i="100" s="1"/>
  <c r="L82" i="100"/>
  <c r="I82" i="100"/>
  <c r="G82" i="100"/>
  <c r="Z82" i="100" s="1"/>
  <c r="Q86" i="100" l="1"/>
  <c r="Q84" i="100"/>
  <c r="Q93" i="100"/>
  <c r="AA93" i="100" s="1"/>
  <c r="AB93" i="100" s="1"/>
  <c r="Q96" i="100"/>
  <c r="Q99" i="100"/>
  <c r="AA99" i="100" s="1"/>
  <c r="AB99" i="100" s="1"/>
  <c r="Q94" i="100"/>
  <c r="AA94" i="100" s="1"/>
  <c r="AB94" i="100" s="1"/>
  <c r="AA86" i="100"/>
  <c r="AB86" i="100" s="1"/>
  <c r="Q90" i="100"/>
  <c r="Q87" i="100"/>
  <c r="AA87" i="100"/>
  <c r="AB87" i="100" s="1"/>
  <c r="AA97" i="100"/>
  <c r="AB97" i="100" s="1"/>
  <c r="Q92" i="100"/>
  <c r="AA92" i="100" s="1"/>
  <c r="AB92" i="100" s="1"/>
  <c r="Q95" i="100"/>
  <c r="AA95" i="100" s="1"/>
  <c r="AB95" i="100" s="1"/>
  <c r="AA96" i="100"/>
  <c r="AB96" i="100" s="1"/>
  <c r="Q98" i="100"/>
  <c r="AA98" i="100" s="1"/>
  <c r="AB98" i="100" s="1"/>
  <c r="Q88" i="100"/>
  <c r="AA88" i="100" s="1"/>
  <c r="AB88" i="100" s="1"/>
  <c r="Q89" i="100"/>
  <c r="AA89" i="100" s="1"/>
  <c r="AB89" i="100" s="1"/>
  <c r="AA90" i="100"/>
  <c r="AB90" i="100" s="1"/>
  <c r="Q85" i="100"/>
  <c r="AA85" i="100" s="1"/>
  <c r="AB85" i="100" s="1"/>
  <c r="Q82" i="100"/>
  <c r="AA82" i="100" s="1"/>
  <c r="AB82" i="100" s="1"/>
  <c r="Q83" i="100"/>
  <c r="AA83" i="100" s="1"/>
  <c r="AB83" i="100" s="1"/>
  <c r="AA84" i="100"/>
  <c r="AB84" i="100" s="1"/>
  <c r="W21" i="64" l="1"/>
  <c r="S21" i="64"/>
  <c r="T21" i="64" s="1"/>
  <c r="P21" i="64" s="1"/>
  <c r="N21" i="64" s="1"/>
  <c r="O21" i="64" s="1"/>
  <c r="Q21" i="64" s="1"/>
  <c r="L21" i="64"/>
  <c r="I21" i="64"/>
  <c r="G21" i="64"/>
  <c r="AA21" i="64" l="1"/>
  <c r="AQ20" i="83" l="1"/>
  <c r="Z14" i="12" l="1"/>
  <c r="W14" i="12"/>
  <c r="S14" i="12"/>
  <c r="T14" i="12" s="1"/>
  <c r="P14" i="12" s="1"/>
  <c r="N14" i="12" s="1"/>
  <c r="O14" i="12" s="1"/>
  <c r="Q14" i="12" s="1"/>
  <c r="L14" i="12"/>
  <c r="I14" i="12"/>
  <c r="AA14" i="12" l="1"/>
  <c r="AB14" i="12" s="1"/>
  <c r="K20" i="99"/>
  <c r="O49" i="11" l="1"/>
  <c r="V49" i="11"/>
  <c r="W49" i="11" s="1"/>
  <c r="S49" i="11" s="1"/>
  <c r="Q49" i="11" s="1"/>
  <c r="R49" i="11" s="1"/>
  <c r="L49" i="11"/>
  <c r="G49" i="11"/>
  <c r="T49" i="11" l="1"/>
  <c r="AD49" i="11" s="1"/>
  <c r="W91" i="100" l="1"/>
  <c r="S91" i="100"/>
  <c r="T91" i="100" s="1"/>
  <c r="P91" i="100" s="1"/>
  <c r="N91" i="100" s="1"/>
  <c r="O91" i="100" s="1"/>
  <c r="L91" i="100"/>
  <c r="I91" i="100"/>
  <c r="G91" i="100"/>
  <c r="Z91" i="100" s="1"/>
  <c r="W81" i="100"/>
  <c r="S81" i="100"/>
  <c r="T81" i="100" s="1"/>
  <c r="P81" i="100" s="1"/>
  <c r="N81" i="100" s="1"/>
  <c r="O81" i="100" s="1"/>
  <c r="L81" i="100"/>
  <c r="I81" i="100"/>
  <c r="G81" i="100"/>
  <c r="Z81" i="100" s="1"/>
  <c r="W80" i="100"/>
  <c r="S80" i="100"/>
  <c r="T80" i="100" s="1"/>
  <c r="P80" i="100" s="1"/>
  <c r="N80" i="100" s="1"/>
  <c r="O80" i="100" s="1"/>
  <c r="L80" i="100"/>
  <c r="I80" i="100"/>
  <c r="G80" i="100"/>
  <c r="Z80" i="100" s="1"/>
  <c r="W79" i="100"/>
  <c r="S79" i="100"/>
  <c r="T79" i="100" s="1"/>
  <c r="P79" i="100" s="1"/>
  <c r="N79" i="100" s="1"/>
  <c r="O79" i="100" s="1"/>
  <c r="L79" i="100"/>
  <c r="I79" i="100"/>
  <c r="G79" i="100"/>
  <c r="Z79" i="100" s="1"/>
  <c r="Q91" i="100" l="1"/>
  <c r="AA91" i="100" s="1"/>
  <c r="AB91" i="100" s="1"/>
  <c r="Q81" i="100"/>
  <c r="AA81" i="100" s="1"/>
  <c r="AB81" i="100" s="1"/>
  <c r="Q80" i="100"/>
  <c r="Q79" i="100"/>
  <c r="AA79" i="100" s="1"/>
  <c r="AB79" i="100" s="1"/>
  <c r="AA80" i="100"/>
  <c r="AB80" i="100" s="1"/>
  <c r="BI28" i="67" l="1"/>
  <c r="K37" i="67" l="1"/>
  <c r="CN46" i="100" l="1"/>
  <c r="L41" i="61" l="1"/>
  <c r="W78" i="100" l="1"/>
  <c r="S78" i="100"/>
  <c r="T78" i="100" s="1"/>
  <c r="P78" i="100" s="1"/>
  <c r="N78" i="100" s="1"/>
  <c r="O78" i="100" s="1"/>
  <c r="L78" i="100"/>
  <c r="I78" i="100"/>
  <c r="G78" i="100"/>
  <c r="Z78" i="100" s="1"/>
  <c r="W77" i="100"/>
  <c r="S77" i="100"/>
  <c r="T77" i="100" s="1"/>
  <c r="P77" i="100" s="1"/>
  <c r="N77" i="100" s="1"/>
  <c r="O77" i="100" s="1"/>
  <c r="L77" i="100"/>
  <c r="I77" i="100"/>
  <c r="G77" i="100"/>
  <c r="Z77" i="100" s="1"/>
  <c r="W76" i="100"/>
  <c r="S76" i="100"/>
  <c r="T76" i="100" s="1"/>
  <c r="P76" i="100" s="1"/>
  <c r="N76" i="100" s="1"/>
  <c r="O76" i="100" s="1"/>
  <c r="L76" i="100"/>
  <c r="I76" i="100"/>
  <c r="G76" i="100"/>
  <c r="Z76" i="100" s="1"/>
  <c r="W75" i="100"/>
  <c r="AA75" i="100" s="1"/>
  <c r="S75" i="100"/>
  <c r="T75" i="100" s="1"/>
  <c r="P75" i="100" s="1"/>
  <c r="N75" i="100" s="1"/>
  <c r="O75" i="100" s="1"/>
  <c r="L75" i="100"/>
  <c r="I75" i="100"/>
  <c r="G75" i="100"/>
  <c r="Z75" i="100" s="1"/>
  <c r="W74" i="100"/>
  <c r="S74" i="100"/>
  <c r="T74" i="100" s="1"/>
  <c r="P74" i="100" s="1"/>
  <c r="N74" i="100" s="1"/>
  <c r="O74" i="100" s="1"/>
  <c r="L74" i="100"/>
  <c r="I74" i="100"/>
  <c r="G74" i="100"/>
  <c r="Z74" i="100" s="1"/>
  <c r="W73" i="100"/>
  <c r="S73" i="100"/>
  <c r="T73" i="100" s="1"/>
  <c r="P73" i="100" s="1"/>
  <c r="N73" i="100" s="1"/>
  <c r="O73" i="100" s="1"/>
  <c r="L73" i="100"/>
  <c r="I73" i="100"/>
  <c r="G73" i="100"/>
  <c r="Z73" i="100" s="1"/>
  <c r="W72" i="100"/>
  <c r="S72" i="100"/>
  <c r="T72" i="100" s="1"/>
  <c r="P72" i="100" s="1"/>
  <c r="N72" i="100" s="1"/>
  <c r="O72" i="100" s="1"/>
  <c r="L72" i="100"/>
  <c r="I72" i="100"/>
  <c r="G72" i="100"/>
  <c r="Z72" i="100" s="1"/>
  <c r="W71" i="100"/>
  <c r="S71" i="100"/>
  <c r="T71" i="100" s="1"/>
  <c r="P71" i="100" s="1"/>
  <c r="N71" i="100" s="1"/>
  <c r="O71" i="100" s="1"/>
  <c r="L71" i="100"/>
  <c r="I71" i="100"/>
  <c r="G71" i="100"/>
  <c r="Z71" i="100" s="1"/>
  <c r="W70" i="100"/>
  <c r="S70" i="100"/>
  <c r="T70" i="100" s="1"/>
  <c r="P70" i="100" s="1"/>
  <c r="N70" i="100" s="1"/>
  <c r="O70" i="100" s="1"/>
  <c r="L70" i="100"/>
  <c r="I70" i="100"/>
  <c r="G70" i="100"/>
  <c r="Z70" i="100" s="1"/>
  <c r="W69" i="100"/>
  <c r="S69" i="100"/>
  <c r="T69" i="100" s="1"/>
  <c r="P69" i="100" s="1"/>
  <c r="N69" i="100" s="1"/>
  <c r="O69" i="100" s="1"/>
  <c r="L69" i="100"/>
  <c r="I69" i="100"/>
  <c r="G69" i="100"/>
  <c r="Z69" i="100" s="1"/>
  <c r="G15" i="101"/>
  <c r="W16" i="101"/>
  <c r="S16" i="101"/>
  <c r="T16" i="101" s="1"/>
  <c r="P16" i="101" s="1"/>
  <c r="N16" i="101" s="1"/>
  <c r="O16" i="101" s="1"/>
  <c r="L16" i="101"/>
  <c r="I16" i="101"/>
  <c r="Q78" i="100" l="1"/>
  <c r="Q77" i="100"/>
  <c r="AA77" i="100" s="1"/>
  <c r="AB77" i="100" s="1"/>
  <c r="AA78" i="100"/>
  <c r="AB78" i="100" s="1"/>
  <c r="Q75" i="100"/>
  <c r="Q71" i="100"/>
  <c r="Q76" i="100"/>
  <c r="AA76" i="100" s="1"/>
  <c r="AB76" i="100" s="1"/>
  <c r="AB75" i="100"/>
  <c r="Q74" i="100"/>
  <c r="AA74" i="100" s="1"/>
  <c r="AB74" i="100" s="1"/>
  <c r="Q73" i="100"/>
  <c r="AA73" i="100" s="1"/>
  <c r="AB73" i="100" s="1"/>
  <c r="Q69" i="100"/>
  <c r="AA69" i="100" s="1"/>
  <c r="AB69" i="100" s="1"/>
  <c r="Q72" i="100"/>
  <c r="AA72" i="100" s="1"/>
  <c r="AB72" i="100" s="1"/>
  <c r="AA71" i="100"/>
  <c r="AB71" i="100" s="1"/>
  <c r="Q70" i="100"/>
  <c r="AA70" i="100" s="1"/>
  <c r="AB70" i="100" s="1"/>
  <c r="Q16" i="101"/>
  <c r="AA16" i="101"/>
  <c r="BB28" i="67" l="1"/>
  <c r="W42" i="19" l="1"/>
  <c r="S42" i="19"/>
  <c r="T42" i="19" s="1"/>
  <c r="P42" i="19" s="1"/>
  <c r="N42" i="19" s="1"/>
  <c r="O42" i="19" s="1"/>
  <c r="Q42" i="19" s="1"/>
  <c r="I42" i="19"/>
  <c r="E42" i="19"/>
  <c r="AV21" i="19"/>
  <c r="AA42" i="19" l="1"/>
  <c r="O16" i="90"/>
  <c r="O14" i="90"/>
  <c r="G15" i="89" l="1"/>
  <c r="V16" i="89"/>
  <c r="W16" i="89" s="1"/>
  <c r="S16" i="89" s="1"/>
  <c r="Q16" i="89" s="1"/>
  <c r="R16" i="89" s="1"/>
  <c r="O16" i="89"/>
  <c r="L16" i="89"/>
  <c r="T16" i="89" l="1"/>
  <c r="N48" i="11"/>
  <c r="V48" i="11"/>
  <c r="W48" i="11" s="1"/>
  <c r="S48" i="11" s="1"/>
  <c r="Q48" i="11" s="1"/>
  <c r="R48" i="11" s="1"/>
  <c r="O48" i="11"/>
  <c r="L48" i="11"/>
  <c r="J48" i="11"/>
  <c r="G48" i="11"/>
  <c r="W38" i="67"/>
  <c r="S38" i="67"/>
  <c r="T38" i="67" s="1"/>
  <c r="P38" i="67" s="1"/>
  <c r="N38" i="67" s="1"/>
  <c r="O38" i="67" s="1"/>
  <c r="L38" i="67"/>
  <c r="I38" i="67"/>
  <c r="G38" i="67"/>
  <c r="W58" i="61"/>
  <c r="S58" i="61"/>
  <c r="T58" i="61" s="1"/>
  <c r="P58" i="61" s="1"/>
  <c r="N58" i="61" s="1"/>
  <c r="O58" i="61" s="1"/>
  <c r="L58" i="61"/>
  <c r="I58" i="61"/>
  <c r="G58" i="61"/>
  <c r="Z58" i="61" s="1"/>
  <c r="W57" i="61"/>
  <c r="S57" i="61"/>
  <c r="T57" i="61" s="1"/>
  <c r="P57" i="61" s="1"/>
  <c r="N57" i="61" s="1"/>
  <c r="O57" i="61" s="1"/>
  <c r="L57" i="61"/>
  <c r="I57" i="61"/>
  <c r="G57" i="61"/>
  <c r="Z57" i="61" s="1"/>
  <c r="W56" i="61"/>
  <c r="S56" i="61"/>
  <c r="T56" i="61" s="1"/>
  <c r="P56" i="61" s="1"/>
  <c r="N56" i="61" s="1"/>
  <c r="O56" i="61" s="1"/>
  <c r="L56" i="61"/>
  <c r="I56" i="61"/>
  <c r="G56" i="61"/>
  <c r="Z56" i="61" s="1"/>
  <c r="W55" i="61"/>
  <c r="S55" i="61"/>
  <c r="T55" i="61" s="1"/>
  <c r="P55" i="61" s="1"/>
  <c r="N55" i="61" s="1"/>
  <c r="O55" i="61" s="1"/>
  <c r="L55" i="61"/>
  <c r="I55" i="61"/>
  <c r="G55" i="61"/>
  <c r="Z55" i="61" s="1"/>
  <c r="W54" i="61"/>
  <c r="S54" i="61"/>
  <c r="T54" i="61" s="1"/>
  <c r="P54" i="61" s="1"/>
  <c r="N54" i="61" s="1"/>
  <c r="O54" i="61" s="1"/>
  <c r="L54" i="61"/>
  <c r="I54" i="61"/>
  <c r="G54" i="61"/>
  <c r="Z54" i="61" s="1"/>
  <c r="W53" i="61"/>
  <c r="S53" i="61"/>
  <c r="T53" i="61" s="1"/>
  <c r="P53" i="61" s="1"/>
  <c r="N53" i="61" s="1"/>
  <c r="O53" i="61" s="1"/>
  <c r="L53" i="61"/>
  <c r="I53" i="61"/>
  <c r="G53" i="61"/>
  <c r="Z53" i="61" s="1"/>
  <c r="L19" i="64"/>
  <c r="Q58" i="61" l="1"/>
  <c r="Q56" i="61"/>
  <c r="AA56" i="61" s="1"/>
  <c r="AB56" i="61" s="1"/>
  <c r="Q38" i="67"/>
  <c r="T48" i="11"/>
  <c r="AD16" i="89"/>
  <c r="AD48" i="11"/>
  <c r="AA38" i="67"/>
  <c r="Q53" i="61"/>
  <c r="AA53" i="61" s="1"/>
  <c r="AB53" i="61" s="1"/>
  <c r="Q57" i="61"/>
  <c r="AA57" i="61" s="1"/>
  <c r="AB57" i="61" s="1"/>
  <c r="AA58" i="61"/>
  <c r="AB58" i="61" s="1"/>
  <c r="Q55" i="61"/>
  <c r="AA55" i="61" s="1"/>
  <c r="AB55" i="61" s="1"/>
  <c r="Q54" i="61"/>
  <c r="AA54" i="61" s="1"/>
  <c r="AB54" i="61" s="1"/>
  <c r="H20" i="83" l="1"/>
  <c r="W21" i="83"/>
  <c r="S21" i="83"/>
  <c r="T21" i="83" s="1"/>
  <c r="P21" i="83" s="1"/>
  <c r="N21" i="83" s="1"/>
  <c r="O21" i="83" s="1"/>
  <c r="Q21" i="83" s="1"/>
  <c r="L21" i="83"/>
  <c r="I21" i="83"/>
  <c r="G21" i="83"/>
  <c r="Z21" i="83" s="1"/>
  <c r="W22" i="83"/>
  <c r="S22" i="83"/>
  <c r="T22" i="83" s="1"/>
  <c r="P22" i="83" s="1"/>
  <c r="N22" i="83" s="1"/>
  <c r="O22" i="83" s="1"/>
  <c r="L22" i="83"/>
  <c r="I22" i="83"/>
  <c r="G22" i="83"/>
  <c r="Z22" i="83" s="1"/>
  <c r="AA21" i="83" l="1"/>
  <c r="AB21" i="83" s="1"/>
  <c r="Q22" i="83"/>
  <c r="AA22" i="83"/>
  <c r="AB22" i="83" s="1"/>
  <c r="BQ6" i="100" l="1"/>
  <c r="BR6" i="100"/>
  <c r="BS6" i="100"/>
  <c r="BT6" i="100"/>
  <c r="BU6" i="100"/>
  <c r="BV6" i="100"/>
  <c r="BW6" i="100"/>
  <c r="BX6" i="100"/>
  <c r="BY6" i="100"/>
  <c r="BZ6" i="100"/>
  <c r="CA6" i="100"/>
  <c r="CB6" i="100"/>
  <c r="CC6" i="100"/>
  <c r="CD6" i="100"/>
  <c r="CE6" i="100"/>
  <c r="CF6" i="100"/>
  <c r="CG6" i="100"/>
  <c r="CH6" i="100"/>
  <c r="CI6" i="100"/>
  <c r="CJ6" i="100"/>
  <c r="CK6" i="100"/>
  <c r="CL6" i="100"/>
  <c r="CM6" i="100"/>
  <c r="CN6" i="100"/>
  <c r="CO6" i="100"/>
  <c r="CP6" i="100"/>
  <c r="CQ6" i="100"/>
  <c r="CR6" i="100"/>
  <c r="CS6" i="100"/>
  <c r="CT6" i="100"/>
  <c r="CU6" i="100"/>
  <c r="CV6" i="100"/>
  <c r="CW6" i="100"/>
  <c r="CX6" i="100"/>
  <c r="CY6" i="100"/>
  <c r="CZ6" i="100"/>
  <c r="DA6" i="100"/>
  <c r="DB6" i="100"/>
  <c r="DC6" i="100"/>
  <c r="DD6" i="100"/>
  <c r="DE6" i="100"/>
  <c r="DF6" i="100"/>
  <c r="DG6" i="100"/>
  <c r="DH6" i="100"/>
  <c r="DI6" i="100"/>
  <c r="DJ6" i="100"/>
  <c r="DK6" i="100"/>
  <c r="DL6" i="100"/>
  <c r="DM6" i="100"/>
  <c r="DN6" i="100"/>
  <c r="DO6" i="100"/>
  <c r="DP6" i="100"/>
  <c r="DQ6" i="100"/>
  <c r="DR6" i="100"/>
  <c r="DS6" i="100"/>
  <c r="BQ7" i="100"/>
  <c r="BR7" i="100"/>
  <c r="BS7" i="100"/>
  <c r="BT7" i="100"/>
  <c r="BU7" i="100"/>
  <c r="BV7" i="100"/>
  <c r="BW7" i="100"/>
  <c r="BX7" i="100"/>
  <c r="BY7" i="100"/>
  <c r="BZ7" i="100"/>
  <c r="CA7" i="100"/>
  <c r="CB7" i="100"/>
  <c r="CC7" i="100"/>
  <c r="CD7" i="100"/>
  <c r="CE7" i="100"/>
  <c r="CF7" i="100"/>
  <c r="CG7" i="100"/>
  <c r="CH7" i="100"/>
  <c r="CI7" i="100"/>
  <c r="CJ7" i="100"/>
  <c r="CK7" i="100"/>
  <c r="CL7" i="100"/>
  <c r="CM7" i="100"/>
  <c r="CN7" i="100"/>
  <c r="CO7" i="100"/>
  <c r="CP7" i="100"/>
  <c r="CQ7" i="100"/>
  <c r="CR7" i="100"/>
  <c r="CS7" i="100"/>
  <c r="CT7" i="100"/>
  <c r="CU7" i="100"/>
  <c r="CV7" i="100"/>
  <c r="CW7" i="100"/>
  <c r="CX7" i="100"/>
  <c r="CY7" i="100"/>
  <c r="CZ7" i="100"/>
  <c r="DA7" i="100"/>
  <c r="DB7" i="100"/>
  <c r="DC7" i="100"/>
  <c r="DD7" i="100"/>
  <c r="DE7" i="100"/>
  <c r="DF7" i="100"/>
  <c r="DG7" i="100"/>
  <c r="DH7" i="100"/>
  <c r="DI7" i="100"/>
  <c r="DJ7" i="100"/>
  <c r="DK7" i="100"/>
  <c r="DL7" i="100"/>
  <c r="DM7" i="100"/>
  <c r="DN7" i="100"/>
  <c r="DO7" i="100"/>
  <c r="DP7" i="100"/>
  <c r="DQ7" i="100"/>
  <c r="DR7" i="100"/>
  <c r="DS7" i="100"/>
  <c r="BQ8" i="100"/>
  <c r="BR8" i="100"/>
  <c r="BS8" i="100"/>
  <c r="BT8" i="100"/>
  <c r="BU8" i="100"/>
  <c r="BV8" i="100"/>
  <c r="BW8" i="100"/>
  <c r="BX8" i="100"/>
  <c r="BY8" i="100"/>
  <c r="BZ8" i="100"/>
  <c r="CA8" i="100"/>
  <c r="CB8" i="100"/>
  <c r="CC8" i="100"/>
  <c r="CD8" i="100"/>
  <c r="CE8" i="100"/>
  <c r="CF8" i="100"/>
  <c r="CG8" i="100"/>
  <c r="CH8" i="100"/>
  <c r="CI8" i="100"/>
  <c r="CJ8" i="100"/>
  <c r="CK8" i="100"/>
  <c r="CL8" i="100"/>
  <c r="CM8" i="100"/>
  <c r="CN8" i="100"/>
  <c r="CO8" i="100"/>
  <c r="CP8" i="100"/>
  <c r="CQ8" i="100"/>
  <c r="CR8" i="100"/>
  <c r="CS8" i="100"/>
  <c r="CT8" i="100"/>
  <c r="CU8" i="100"/>
  <c r="CV8" i="100"/>
  <c r="CW8" i="100"/>
  <c r="CX8" i="100"/>
  <c r="CY8" i="100"/>
  <c r="CZ8" i="100"/>
  <c r="DA8" i="100"/>
  <c r="DB8" i="100"/>
  <c r="DC8" i="100"/>
  <c r="DD8" i="100"/>
  <c r="DE8" i="100"/>
  <c r="DF8" i="100"/>
  <c r="DG8" i="100"/>
  <c r="DH8" i="100"/>
  <c r="DI8" i="100"/>
  <c r="DJ8" i="100"/>
  <c r="DK8" i="100"/>
  <c r="DL8" i="100"/>
  <c r="DM8" i="100"/>
  <c r="DN8" i="100"/>
  <c r="DO8" i="100"/>
  <c r="DP8" i="100"/>
  <c r="DQ8" i="100"/>
  <c r="DR8" i="100"/>
  <c r="DS8" i="100"/>
  <c r="BQ9" i="100"/>
  <c r="BR9" i="100"/>
  <c r="BS9" i="100"/>
  <c r="BT9" i="100"/>
  <c r="BU9" i="100"/>
  <c r="BV9" i="100"/>
  <c r="BW9" i="100"/>
  <c r="BX9" i="100"/>
  <c r="BY9" i="100"/>
  <c r="BZ9" i="100"/>
  <c r="CA9" i="100"/>
  <c r="CB9" i="100"/>
  <c r="CC9" i="100"/>
  <c r="CD9" i="100"/>
  <c r="CE9" i="100"/>
  <c r="CF9" i="100"/>
  <c r="CG9" i="100"/>
  <c r="CH9" i="100"/>
  <c r="CI9" i="100"/>
  <c r="CJ9" i="100"/>
  <c r="CK9" i="100"/>
  <c r="CL9" i="100"/>
  <c r="CM9" i="100"/>
  <c r="CN9" i="100"/>
  <c r="CO9" i="100"/>
  <c r="CP9" i="100"/>
  <c r="CQ9" i="100"/>
  <c r="CR9" i="100"/>
  <c r="CS9" i="100"/>
  <c r="CT9" i="100"/>
  <c r="CU9" i="100"/>
  <c r="CV9" i="100"/>
  <c r="CW9" i="100"/>
  <c r="CX9" i="100"/>
  <c r="CY9" i="100"/>
  <c r="CZ9" i="100"/>
  <c r="DA9" i="100"/>
  <c r="DB9" i="100"/>
  <c r="DC9" i="100"/>
  <c r="DD9" i="100"/>
  <c r="DE9" i="100"/>
  <c r="DF9" i="100"/>
  <c r="DG9" i="100"/>
  <c r="DH9" i="100"/>
  <c r="DI9" i="100"/>
  <c r="DJ9" i="100"/>
  <c r="DK9" i="100"/>
  <c r="DL9" i="100"/>
  <c r="DM9" i="100"/>
  <c r="DN9" i="100"/>
  <c r="DO9" i="100"/>
  <c r="DP9" i="100"/>
  <c r="DQ9" i="100"/>
  <c r="DR9" i="100"/>
  <c r="DS9" i="100"/>
  <c r="CD10" i="100"/>
  <c r="CD11" i="100" s="1"/>
  <c r="CE10" i="100"/>
  <c r="CE11" i="100" s="1"/>
  <c r="CF10" i="100"/>
  <c r="CF11" i="100" s="1"/>
  <c r="CG10" i="100"/>
  <c r="CG11" i="100" s="1"/>
  <c r="CH10" i="100"/>
  <c r="CH11" i="100" s="1"/>
  <c r="CI10" i="100"/>
  <c r="CI11" i="100" s="1"/>
  <c r="CJ10" i="100"/>
  <c r="CJ11" i="100" s="1"/>
  <c r="CT10" i="100"/>
  <c r="CW10" i="100"/>
  <c r="CW11" i="100" s="1"/>
  <c r="CX10" i="100"/>
  <c r="CX11" i="100" s="1"/>
  <c r="CY10" i="100"/>
  <c r="CY11" i="100" s="1"/>
  <c r="CZ10" i="100"/>
  <c r="CZ11" i="100" s="1"/>
  <c r="DA10" i="100"/>
  <c r="DB10" i="100"/>
  <c r="DC10" i="100"/>
  <c r="DD10" i="100"/>
  <c r="DE10" i="100"/>
  <c r="DE11" i="100" s="1"/>
  <c r="DF10" i="100"/>
  <c r="DG10" i="100"/>
  <c r="DH10" i="100"/>
  <c r="DI10" i="100"/>
  <c r="DJ10" i="100"/>
  <c r="DK10" i="100"/>
  <c r="DL10" i="100"/>
  <c r="DM10" i="100"/>
  <c r="DN10" i="100"/>
  <c r="DO10" i="100"/>
  <c r="DP10" i="100"/>
  <c r="DQ10" i="100"/>
  <c r="DR10" i="100"/>
  <c r="DS10" i="100"/>
  <c r="CT11" i="100"/>
  <c r="DA11" i="100"/>
  <c r="DB11" i="100"/>
  <c r="DC11" i="100"/>
  <c r="DD11" i="100"/>
  <c r="DF11" i="100"/>
  <c r="DG11" i="100"/>
  <c r="DH11" i="100"/>
  <c r="DI11" i="100"/>
  <c r="DJ11" i="100"/>
  <c r="DK11" i="100"/>
  <c r="DL11" i="100"/>
  <c r="DM11" i="100"/>
  <c r="DN11" i="100"/>
  <c r="DO11" i="100"/>
  <c r="DP11" i="100"/>
  <c r="DQ11" i="100"/>
  <c r="DR11" i="100"/>
  <c r="DS11" i="100"/>
  <c r="W41" i="19"/>
  <c r="S41" i="19"/>
  <c r="T41" i="19" s="1"/>
  <c r="P41" i="19" s="1"/>
  <c r="N41" i="19" s="1"/>
  <c r="O41" i="19" s="1"/>
  <c r="Q41" i="19" s="1"/>
  <c r="I41" i="19"/>
  <c r="E41" i="19"/>
  <c r="DL12" i="100" l="1"/>
  <c r="DD12" i="100"/>
  <c r="DE12" i="100"/>
  <c r="DM12" i="100"/>
  <c r="CW12" i="100"/>
  <c r="CT12" i="100"/>
  <c r="AA41" i="19"/>
  <c r="DG12" i="100"/>
  <c r="CY12" i="100"/>
  <c r="CF12" i="100"/>
  <c r="DN12" i="100"/>
  <c r="DF12" i="100"/>
  <c r="CX12" i="100"/>
  <c r="CE12" i="100"/>
  <c r="DO12" i="100"/>
  <c r="CD12" i="100"/>
  <c r="DA12" i="100"/>
  <c r="CH12" i="100"/>
  <c r="DQ12" i="100"/>
  <c r="DI12" i="100"/>
  <c r="DK12" i="100"/>
  <c r="DS12" i="100"/>
  <c r="DC12" i="100"/>
  <c r="CJ12" i="100"/>
  <c r="DP12" i="100"/>
  <c r="DH12" i="100"/>
  <c r="CZ12" i="100"/>
  <c r="CG12" i="100"/>
  <c r="DR12" i="100"/>
  <c r="DJ12" i="100"/>
  <c r="DB12" i="100"/>
  <c r="CI12" i="100"/>
  <c r="AT7" i="99"/>
  <c r="AT8" i="99"/>
  <c r="AT9" i="99"/>
  <c r="AT35" i="19" l="1"/>
  <c r="W61" i="100" l="1"/>
  <c r="S61" i="100"/>
  <c r="T61" i="100" s="1"/>
  <c r="P61" i="100" s="1"/>
  <c r="N61" i="100" s="1"/>
  <c r="O61" i="100" s="1"/>
  <c r="L61" i="100"/>
  <c r="I61" i="100"/>
  <c r="G61" i="100"/>
  <c r="Z61" i="100" s="1"/>
  <c r="W60" i="100"/>
  <c r="CA10" i="100" s="1"/>
  <c r="CA11" i="100" s="1"/>
  <c r="CA12" i="100" s="1"/>
  <c r="S60" i="100"/>
  <c r="T60" i="100" s="1"/>
  <c r="P60" i="100" s="1"/>
  <c r="N60" i="100" s="1"/>
  <c r="O60" i="100" s="1"/>
  <c r="L60" i="100"/>
  <c r="I60" i="100"/>
  <c r="G60" i="100"/>
  <c r="Z60" i="100" s="1"/>
  <c r="W59" i="100"/>
  <c r="CS10" i="100" s="1"/>
  <c r="CS11" i="100" s="1"/>
  <c r="CS12" i="100" s="1"/>
  <c r="S59" i="100"/>
  <c r="T59" i="100" s="1"/>
  <c r="P59" i="100" s="1"/>
  <c r="N59" i="100" s="1"/>
  <c r="O59" i="100" s="1"/>
  <c r="L59" i="100"/>
  <c r="I59" i="100"/>
  <c r="G59" i="100"/>
  <c r="Z59" i="100" s="1"/>
  <c r="W58" i="100"/>
  <c r="CR10" i="100" s="1"/>
  <c r="CR11" i="100" s="1"/>
  <c r="CR12" i="100" s="1"/>
  <c r="S58" i="100"/>
  <c r="T58" i="100" s="1"/>
  <c r="P58" i="100" s="1"/>
  <c r="N58" i="100" s="1"/>
  <c r="O58" i="100" s="1"/>
  <c r="L58" i="100"/>
  <c r="I58" i="100"/>
  <c r="G58" i="100"/>
  <c r="Z58" i="100" s="1"/>
  <c r="W57" i="100"/>
  <c r="CM10" i="100" s="1"/>
  <c r="CM11" i="100" s="1"/>
  <c r="CM12" i="100" s="1"/>
  <c r="S57" i="100"/>
  <c r="T57" i="100" s="1"/>
  <c r="P57" i="100" s="1"/>
  <c r="N57" i="100" s="1"/>
  <c r="O57" i="100" s="1"/>
  <c r="L57" i="100"/>
  <c r="I57" i="100"/>
  <c r="G57" i="100"/>
  <c r="Z57" i="100" s="1"/>
  <c r="W56" i="100"/>
  <c r="S56" i="100"/>
  <c r="T56" i="100" s="1"/>
  <c r="P56" i="100" s="1"/>
  <c r="N56" i="100" s="1"/>
  <c r="O56" i="100" s="1"/>
  <c r="L56" i="100"/>
  <c r="I56" i="100"/>
  <c r="G56" i="100"/>
  <c r="Z56" i="100" s="1"/>
  <c r="W68" i="100"/>
  <c r="S68" i="100"/>
  <c r="T68" i="100" s="1"/>
  <c r="P68" i="100" s="1"/>
  <c r="N68" i="100" s="1"/>
  <c r="O68" i="100" s="1"/>
  <c r="L68" i="100"/>
  <c r="I68" i="100"/>
  <c r="G68" i="100"/>
  <c r="Z68" i="100" s="1"/>
  <c r="W67" i="100"/>
  <c r="S67" i="100"/>
  <c r="T67" i="100" s="1"/>
  <c r="P67" i="100" s="1"/>
  <c r="N67" i="100" s="1"/>
  <c r="O67" i="100" s="1"/>
  <c r="L67" i="100"/>
  <c r="I67" i="100"/>
  <c r="G67" i="100"/>
  <c r="Z67" i="100" s="1"/>
  <c r="W66" i="100"/>
  <c r="S66" i="100"/>
  <c r="T66" i="100" s="1"/>
  <c r="P66" i="100" s="1"/>
  <c r="N66" i="100" s="1"/>
  <c r="O66" i="100" s="1"/>
  <c r="L66" i="100"/>
  <c r="I66" i="100"/>
  <c r="G66" i="100"/>
  <c r="Z66" i="100" s="1"/>
  <c r="W65" i="100"/>
  <c r="BQ10" i="100" s="1"/>
  <c r="BQ11" i="100" s="1"/>
  <c r="BQ12" i="100" s="1"/>
  <c r="S65" i="100"/>
  <c r="T65" i="100" s="1"/>
  <c r="P65" i="100" s="1"/>
  <c r="N65" i="100" s="1"/>
  <c r="O65" i="100" s="1"/>
  <c r="L65" i="100"/>
  <c r="I65" i="100"/>
  <c r="G65" i="100"/>
  <c r="Z65" i="100" s="1"/>
  <c r="W64" i="100"/>
  <c r="S64" i="100"/>
  <c r="T64" i="100" s="1"/>
  <c r="P64" i="100" s="1"/>
  <c r="N64" i="100" s="1"/>
  <c r="O64" i="100" s="1"/>
  <c r="L64" i="100"/>
  <c r="I64" i="100"/>
  <c r="G64" i="100"/>
  <c r="Z64" i="100" s="1"/>
  <c r="W63" i="100"/>
  <c r="S63" i="100"/>
  <c r="T63" i="100" s="1"/>
  <c r="P63" i="100" s="1"/>
  <c r="N63" i="100" s="1"/>
  <c r="O63" i="100" s="1"/>
  <c r="L63" i="100"/>
  <c r="I63" i="100"/>
  <c r="G63" i="100"/>
  <c r="Z63" i="100" s="1"/>
  <c r="W20" i="64"/>
  <c r="S20" i="64"/>
  <c r="T20" i="64" s="1"/>
  <c r="P20" i="64" s="1"/>
  <c r="N20" i="64" s="1"/>
  <c r="O20" i="64" s="1"/>
  <c r="I20" i="64"/>
  <c r="G20" i="64"/>
  <c r="AZ28" i="67"/>
  <c r="CU10" i="100" l="1"/>
  <c r="CU11" i="100" s="1"/>
  <c r="CU12" i="100" s="1"/>
  <c r="CV10" i="100"/>
  <c r="CV11" i="100" s="1"/>
  <c r="CV12" i="100" s="1"/>
  <c r="Q61" i="100"/>
  <c r="Q65" i="100"/>
  <c r="CP10" i="100"/>
  <c r="CP11" i="100" s="1"/>
  <c r="CP12" i="100" s="1"/>
  <c r="CQ10" i="100"/>
  <c r="CQ11" i="100" s="1"/>
  <c r="CQ12" i="100" s="1"/>
  <c r="CB10" i="100"/>
  <c r="CB11" i="100" s="1"/>
  <c r="CB12" i="100" s="1"/>
  <c r="CC10" i="100"/>
  <c r="CC11" i="100" s="1"/>
  <c r="CC12" i="100" s="1"/>
  <c r="Q59" i="100"/>
  <c r="Q56" i="100"/>
  <c r="Q58" i="100"/>
  <c r="Q68" i="100"/>
  <c r="AA68" i="100" s="1"/>
  <c r="AB68" i="100" s="1"/>
  <c r="Q64" i="100"/>
  <c r="AA56" i="100"/>
  <c r="AB56" i="100" s="1"/>
  <c r="AA59" i="100"/>
  <c r="AB59" i="100" s="1"/>
  <c r="Q57" i="100"/>
  <c r="AA57" i="100" s="1"/>
  <c r="AB57" i="100" s="1"/>
  <c r="AA58" i="100"/>
  <c r="AB58" i="100" s="1"/>
  <c r="Q60" i="100"/>
  <c r="AA60" i="100" s="1"/>
  <c r="AB60" i="100" s="1"/>
  <c r="AA61" i="100"/>
  <c r="AB61" i="100" s="1"/>
  <c r="Q63" i="100"/>
  <c r="AA63" i="100" s="1"/>
  <c r="AB63" i="100" s="1"/>
  <c r="AA64" i="100"/>
  <c r="AB64" i="100" s="1"/>
  <c r="Q66" i="100"/>
  <c r="AA66" i="100" s="1"/>
  <c r="AB66" i="100" s="1"/>
  <c r="AA65" i="100"/>
  <c r="AB65" i="100" s="1"/>
  <c r="Q67" i="100"/>
  <c r="AA67" i="100" s="1"/>
  <c r="AB67" i="100" s="1"/>
  <c r="Q20" i="64"/>
  <c r="AA20" i="64" s="1"/>
  <c r="AS21" i="99"/>
  <c r="AS35" i="19"/>
  <c r="BM37" i="100" l="1"/>
  <c r="BH43" i="100"/>
  <c r="BG42" i="100"/>
  <c r="BF41" i="100"/>
  <c r="BR6" i="61"/>
  <c r="BS6" i="61"/>
  <c r="BT6" i="61"/>
  <c r="BU6" i="61"/>
  <c r="BV6" i="61"/>
  <c r="BW6" i="61"/>
  <c r="BX6" i="61"/>
  <c r="BY6" i="61"/>
  <c r="BZ6" i="61"/>
  <c r="CA6" i="61"/>
  <c r="CB6" i="61"/>
  <c r="CC6" i="61"/>
  <c r="CD6" i="61"/>
  <c r="CE6" i="61"/>
  <c r="CF6" i="61"/>
  <c r="CG6" i="61"/>
  <c r="CH6" i="61"/>
  <c r="CI6" i="61"/>
  <c r="CJ6" i="61"/>
  <c r="CK6" i="61"/>
  <c r="CL6" i="61"/>
  <c r="CM6" i="61"/>
  <c r="CN6" i="61"/>
  <c r="CO6" i="61"/>
  <c r="CP6" i="61"/>
  <c r="CQ6" i="61"/>
  <c r="CR6" i="61"/>
  <c r="CS6" i="61"/>
  <c r="CT6" i="61"/>
  <c r="CU6" i="61"/>
  <c r="CV6" i="61"/>
  <c r="CW6" i="61"/>
  <c r="CX6" i="61"/>
  <c r="CY6" i="61"/>
  <c r="CZ6" i="61"/>
  <c r="DA6" i="61"/>
  <c r="DB6" i="61"/>
  <c r="DC6" i="61"/>
  <c r="DD6" i="61"/>
  <c r="DE6" i="61"/>
  <c r="DF6" i="61"/>
  <c r="DG6" i="61"/>
  <c r="DH6" i="61"/>
  <c r="DI6" i="61"/>
  <c r="DJ6" i="61"/>
  <c r="DK6" i="61"/>
  <c r="DL6" i="61"/>
  <c r="DM6" i="61"/>
  <c r="DN6" i="61"/>
  <c r="DO6" i="61"/>
  <c r="DP6" i="61"/>
  <c r="DQ6" i="61"/>
  <c r="DR6" i="61"/>
  <c r="DS6" i="61"/>
  <c r="DT6" i="61"/>
  <c r="DU6" i="61"/>
  <c r="DV6" i="61"/>
  <c r="DW6" i="61"/>
  <c r="DX6" i="61"/>
  <c r="DY6" i="61"/>
  <c r="DZ6" i="61"/>
  <c r="EA6" i="61"/>
  <c r="EB6" i="61"/>
  <c r="EC6" i="61"/>
  <c r="ED6" i="61"/>
  <c r="EE6" i="61"/>
  <c r="EF6" i="61"/>
  <c r="EG6" i="61"/>
  <c r="EH6" i="61"/>
  <c r="EI6" i="61"/>
  <c r="EJ6" i="61"/>
  <c r="EK6" i="61"/>
  <c r="EL6" i="61"/>
  <c r="EM6" i="61"/>
  <c r="EN6" i="61"/>
  <c r="EO6" i="61"/>
  <c r="EP6" i="61"/>
  <c r="EQ6" i="61"/>
  <c r="ER6" i="61"/>
  <c r="ES6" i="61"/>
  <c r="ET6" i="61"/>
  <c r="EU6" i="61"/>
  <c r="EV6" i="61"/>
  <c r="EW6" i="61"/>
  <c r="EX6" i="61"/>
  <c r="EY6" i="61"/>
  <c r="EZ6" i="61"/>
  <c r="FA6" i="61"/>
  <c r="FB6" i="61"/>
  <c r="FC6" i="61"/>
  <c r="FD6" i="61"/>
  <c r="FE6" i="61"/>
  <c r="FF6" i="61"/>
  <c r="FG6" i="61"/>
  <c r="FH6" i="61"/>
  <c r="FI6" i="61"/>
  <c r="FJ6" i="61"/>
  <c r="FK6" i="61"/>
  <c r="FL6" i="61"/>
  <c r="FM6" i="61"/>
  <c r="FN6" i="61"/>
  <c r="FO6" i="61"/>
  <c r="FP6" i="61"/>
  <c r="FQ6" i="61"/>
  <c r="FR6" i="61"/>
  <c r="FS6" i="61"/>
  <c r="FT6" i="61"/>
  <c r="FU6" i="61"/>
  <c r="FV6" i="61"/>
  <c r="FW6" i="61"/>
  <c r="FX6" i="61"/>
  <c r="FY6" i="61"/>
  <c r="FZ6" i="61"/>
  <c r="GA6" i="61"/>
  <c r="GB6" i="61"/>
  <c r="GC6" i="61"/>
  <c r="GD6" i="61"/>
  <c r="GE6" i="61"/>
  <c r="GF6" i="61"/>
  <c r="GG6" i="61"/>
  <c r="GH6" i="61"/>
  <c r="GI6" i="61"/>
  <c r="GJ6" i="61"/>
  <c r="GK6" i="61"/>
  <c r="GL6" i="61"/>
  <c r="GM6" i="61"/>
  <c r="GN6" i="61"/>
  <c r="GO6" i="61"/>
  <c r="GP6" i="61"/>
  <c r="GQ6" i="61"/>
  <c r="GR6" i="61"/>
  <c r="GS6" i="61"/>
  <c r="GT6" i="61"/>
  <c r="GU6" i="61"/>
  <c r="GV6" i="61"/>
  <c r="GW6" i="61"/>
  <c r="GX6" i="61"/>
  <c r="GY6" i="61"/>
  <c r="GZ6" i="61"/>
  <c r="HA6" i="61"/>
  <c r="HB6" i="61"/>
  <c r="HC6" i="61"/>
  <c r="HD6" i="61"/>
  <c r="HE6" i="61"/>
  <c r="HF6" i="61"/>
  <c r="HG6" i="61"/>
  <c r="HH6" i="61"/>
  <c r="HI6" i="61"/>
  <c r="HJ6" i="61"/>
  <c r="HK6" i="61"/>
  <c r="HL6" i="61"/>
  <c r="HM6" i="61"/>
  <c r="HN6" i="61"/>
  <c r="HO6" i="61"/>
  <c r="BR7" i="61"/>
  <c r="BS7" i="61"/>
  <c r="BT7" i="61"/>
  <c r="BU7" i="61"/>
  <c r="BV7" i="61"/>
  <c r="BW7" i="61"/>
  <c r="BX7" i="61"/>
  <c r="BY7" i="61"/>
  <c r="BZ7" i="61"/>
  <c r="CA7" i="61"/>
  <c r="CB7" i="61"/>
  <c r="CC7" i="61"/>
  <c r="CD7" i="61"/>
  <c r="CE7" i="61"/>
  <c r="CF7" i="61"/>
  <c r="CG7" i="61"/>
  <c r="CH7" i="61"/>
  <c r="CI7" i="61"/>
  <c r="CJ7" i="61"/>
  <c r="CK7" i="61"/>
  <c r="CL7" i="61"/>
  <c r="CM7" i="61"/>
  <c r="CN7" i="61"/>
  <c r="CO7" i="61"/>
  <c r="CP7" i="61"/>
  <c r="CQ7" i="61"/>
  <c r="CR7" i="61"/>
  <c r="CS7" i="61"/>
  <c r="CT7" i="61"/>
  <c r="CU7" i="61"/>
  <c r="CV7" i="61"/>
  <c r="CW7" i="61"/>
  <c r="CX7" i="61"/>
  <c r="CY7" i="61"/>
  <c r="CZ7" i="61"/>
  <c r="DA7" i="61"/>
  <c r="DB7" i="61"/>
  <c r="DC7" i="61"/>
  <c r="DD7" i="61"/>
  <c r="DE7" i="61"/>
  <c r="DF7" i="61"/>
  <c r="DG7" i="61"/>
  <c r="DH7" i="61"/>
  <c r="DI7" i="61"/>
  <c r="DJ7" i="61"/>
  <c r="DK7" i="61"/>
  <c r="DL7" i="61"/>
  <c r="DM7" i="61"/>
  <c r="DN7" i="61"/>
  <c r="DO7" i="61"/>
  <c r="DP7" i="61"/>
  <c r="DQ7" i="61"/>
  <c r="DR7" i="61"/>
  <c r="DS7" i="61"/>
  <c r="DT7" i="61"/>
  <c r="DU7" i="61"/>
  <c r="DV7" i="61"/>
  <c r="DW7" i="61"/>
  <c r="DX7" i="61"/>
  <c r="DY7" i="61"/>
  <c r="DZ7" i="61"/>
  <c r="EA7" i="61"/>
  <c r="EB7" i="61"/>
  <c r="EC7" i="61"/>
  <c r="ED7" i="61"/>
  <c r="EE7" i="61"/>
  <c r="EF7" i="61"/>
  <c r="EG7" i="61"/>
  <c r="EH7" i="61"/>
  <c r="EI7" i="61"/>
  <c r="EJ7" i="61"/>
  <c r="EK7" i="61"/>
  <c r="EL7" i="61"/>
  <c r="EM7" i="61"/>
  <c r="EN7" i="61"/>
  <c r="EO7" i="61"/>
  <c r="EP7" i="61"/>
  <c r="EQ7" i="61"/>
  <c r="ER7" i="61"/>
  <c r="ES7" i="61"/>
  <c r="ET7" i="61"/>
  <c r="EU7" i="61"/>
  <c r="EV7" i="61"/>
  <c r="EW7" i="61"/>
  <c r="EX7" i="61"/>
  <c r="EY7" i="61"/>
  <c r="EZ7" i="61"/>
  <c r="FA7" i="61"/>
  <c r="FB7" i="61"/>
  <c r="FC7" i="61"/>
  <c r="FD7" i="61"/>
  <c r="FE7" i="61"/>
  <c r="FF7" i="61"/>
  <c r="FG7" i="61"/>
  <c r="FH7" i="61"/>
  <c r="FI7" i="61"/>
  <c r="FJ7" i="61"/>
  <c r="FK7" i="61"/>
  <c r="FL7" i="61"/>
  <c r="FM7" i="61"/>
  <c r="FN7" i="61"/>
  <c r="FO7" i="61"/>
  <c r="FP7" i="61"/>
  <c r="FQ7" i="61"/>
  <c r="FR7" i="61"/>
  <c r="FS7" i="61"/>
  <c r="FT7" i="61"/>
  <c r="FU7" i="61"/>
  <c r="FV7" i="61"/>
  <c r="FW7" i="61"/>
  <c r="FX7" i="61"/>
  <c r="FY7" i="61"/>
  <c r="FZ7" i="61"/>
  <c r="GA7" i="61"/>
  <c r="GB7" i="61"/>
  <c r="GC7" i="61"/>
  <c r="GD7" i="61"/>
  <c r="GE7" i="61"/>
  <c r="GF7" i="61"/>
  <c r="GG7" i="61"/>
  <c r="GH7" i="61"/>
  <c r="GI7" i="61"/>
  <c r="GJ7" i="61"/>
  <c r="GK7" i="61"/>
  <c r="GL7" i="61"/>
  <c r="GM7" i="61"/>
  <c r="GN7" i="61"/>
  <c r="GO7" i="61"/>
  <c r="GP7" i="61"/>
  <c r="GQ7" i="61"/>
  <c r="GR7" i="61"/>
  <c r="GS7" i="61"/>
  <c r="GT7" i="61"/>
  <c r="GU7" i="61"/>
  <c r="GV7" i="61"/>
  <c r="GW7" i="61"/>
  <c r="GX7" i="61"/>
  <c r="GY7" i="61"/>
  <c r="GZ7" i="61"/>
  <c r="HA7" i="61"/>
  <c r="HB7" i="61"/>
  <c r="HC7" i="61"/>
  <c r="HD7" i="61"/>
  <c r="HE7" i="61"/>
  <c r="HF7" i="61"/>
  <c r="HG7" i="61"/>
  <c r="HH7" i="61"/>
  <c r="HI7" i="61"/>
  <c r="HJ7" i="61"/>
  <c r="HK7" i="61"/>
  <c r="HL7" i="61"/>
  <c r="HM7" i="61"/>
  <c r="HN7" i="61"/>
  <c r="HO7" i="61"/>
  <c r="BR8" i="61"/>
  <c r="BS8" i="61"/>
  <c r="BT8" i="61"/>
  <c r="BU8" i="61"/>
  <c r="BV8" i="61"/>
  <c r="BW8" i="61"/>
  <c r="BX8" i="61"/>
  <c r="BY8" i="61"/>
  <c r="BZ8" i="61"/>
  <c r="CA8" i="61"/>
  <c r="CB8" i="61"/>
  <c r="CC8" i="61"/>
  <c r="CD8" i="61"/>
  <c r="CE8" i="61"/>
  <c r="CF8" i="61"/>
  <c r="CG8" i="61"/>
  <c r="CH8" i="61"/>
  <c r="CI8" i="61"/>
  <c r="CJ8" i="61"/>
  <c r="CK8" i="61"/>
  <c r="CL8" i="61"/>
  <c r="CM8" i="61"/>
  <c r="CN8" i="61"/>
  <c r="CO8" i="61"/>
  <c r="CP8" i="61"/>
  <c r="CQ8" i="61"/>
  <c r="CR8" i="61"/>
  <c r="CS8" i="61"/>
  <c r="CT8" i="61"/>
  <c r="CU8" i="61"/>
  <c r="CV8" i="61"/>
  <c r="CW8" i="61"/>
  <c r="CX8" i="61"/>
  <c r="CY8" i="61"/>
  <c r="CZ8" i="61"/>
  <c r="DA8" i="61"/>
  <c r="DB8" i="61"/>
  <c r="DC8" i="61"/>
  <c r="DD8" i="61"/>
  <c r="DE8" i="61"/>
  <c r="DF8" i="61"/>
  <c r="DG8" i="61"/>
  <c r="DH8" i="61"/>
  <c r="DI8" i="61"/>
  <c r="DJ8" i="61"/>
  <c r="DK8" i="61"/>
  <c r="DL8" i="61"/>
  <c r="DM8" i="61"/>
  <c r="DN8" i="61"/>
  <c r="DO8" i="61"/>
  <c r="DP8" i="61"/>
  <c r="DQ8" i="61"/>
  <c r="DR8" i="61"/>
  <c r="DS8" i="61"/>
  <c r="DT8" i="61"/>
  <c r="DU8" i="61"/>
  <c r="DV8" i="61"/>
  <c r="DW8" i="61"/>
  <c r="DX8" i="61"/>
  <c r="DY8" i="61"/>
  <c r="DZ8" i="61"/>
  <c r="EA8" i="61"/>
  <c r="EB8" i="61"/>
  <c r="EC8" i="61"/>
  <c r="ED8" i="61"/>
  <c r="EE8" i="61"/>
  <c r="EF8" i="61"/>
  <c r="EG8" i="61"/>
  <c r="EH8" i="61"/>
  <c r="EI8" i="61"/>
  <c r="EJ8" i="61"/>
  <c r="EK8" i="61"/>
  <c r="EL8" i="61"/>
  <c r="EM8" i="61"/>
  <c r="EN8" i="61"/>
  <c r="EO8" i="61"/>
  <c r="EP8" i="61"/>
  <c r="EQ8" i="61"/>
  <c r="ER8" i="61"/>
  <c r="ES8" i="61"/>
  <c r="ET8" i="61"/>
  <c r="EU8" i="61"/>
  <c r="EV8" i="61"/>
  <c r="EW8" i="61"/>
  <c r="EX8" i="61"/>
  <c r="EY8" i="61"/>
  <c r="EZ8" i="61"/>
  <c r="FA8" i="61"/>
  <c r="FB8" i="61"/>
  <c r="FC8" i="61"/>
  <c r="FD8" i="61"/>
  <c r="FE8" i="61"/>
  <c r="FF8" i="61"/>
  <c r="FG8" i="61"/>
  <c r="FH8" i="61"/>
  <c r="FI8" i="61"/>
  <c r="FJ8" i="61"/>
  <c r="FK8" i="61"/>
  <c r="FL8" i="61"/>
  <c r="FM8" i="61"/>
  <c r="FN8" i="61"/>
  <c r="FO8" i="61"/>
  <c r="FP8" i="61"/>
  <c r="FQ8" i="61"/>
  <c r="FR8" i="61"/>
  <c r="FS8" i="61"/>
  <c r="FT8" i="61"/>
  <c r="FU8" i="61"/>
  <c r="FV8" i="61"/>
  <c r="FW8" i="61"/>
  <c r="FX8" i="61"/>
  <c r="FY8" i="61"/>
  <c r="FZ8" i="61"/>
  <c r="GA8" i="61"/>
  <c r="GB8" i="61"/>
  <c r="GC8" i="61"/>
  <c r="GD8" i="61"/>
  <c r="GE8" i="61"/>
  <c r="GF8" i="61"/>
  <c r="GG8" i="61"/>
  <c r="GH8" i="61"/>
  <c r="GI8" i="61"/>
  <c r="GJ8" i="61"/>
  <c r="GK8" i="61"/>
  <c r="GL8" i="61"/>
  <c r="GM8" i="61"/>
  <c r="GN8" i="61"/>
  <c r="GO8" i="61"/>
  <c r="GP8" i="61"/>
  <c r="GQ8" i="61"/>
  <c r="GR8" i="61"/>
  <c r="GS8" i="61"/>
  <c r="GT8" i="61"/>
  <c r="GU8" i="61"/>
  <c r="GV8" i="61"/>
  <c r="GW8" i="61"/>
  <c r="GX8" i="61"/>
  <c r="GY8" i="61"/>
  <c r="GZ8" i="61"/>
  <c r="HA8" i="61"/>
  <c r="HB8" i="61"/>
  <c r="HC8" i="61"/>
  <c r="HD8" i="61"/>
  <c r="HE8" i="61"/>
  <c r="HF8" i="61"/>
  <c r="HG8" i="61"/>
  <c r="HH8" i="61"/>
  <c r="HI8" i="61"/>
  <c r="HJ8" i="61"/>
  <c r="HK8" i="61"/>
  <c r="HL8" i="61"/>
  <c r="HM8" i="61"/>
  <c r="HN8" i="61"/>
  <c r="HO8" i="61"/>
  <c r="BR9" i="61"/>
  <c r="BS9" i="61"/>
  <c r="BT9" i="61"/>
  <c r="BU9" i="61"/>
  <c r="BV9" i="61"/>
  <c r="BW9" i="61"/>
  <c r="BX9" i="61"/>
  <c r="BY9" i="61"/>
  <c r="BZ9" i="61"/>
  <c r="CA9" i="61"/>
  <c r="CB9" i="61"/>
  <c r="CC9" i="61"/>
  <c r="CD9" i="61"/>
  <c r="CE9" i="61"/>
  <c r="CF9" i="61"/>
  <c r="CG9" i="61"/>
  <c r="CH9" i="61"/>
  <c r="CI9" i="61"/>
  <c r="CJ9" i="61"/>
  <c r="CK9" i="61"/>
  <c r="CL9" i="61"/>
  <c r="CM9" i="61"/>
  <c r="CN9" i="61"/>
  <c r="CO9" i="61"/>
  <c r="CP9" i="61"/>
  <c r="CQ9" i="61"/>
  <c r="CR9" i="61"/>
  <c r="CS9" i="61"/>
  <c r="CT9" i="61"/>
  <c r="CU9" i="61"/>
  <c r="CV9" i="61"/>
  <c r="CW9" i="61"/>
  <c r="CX9" i="61"/>
  <c r="CY9" i="61"/>
  <c r="CZ9" i="61"/>
  <c r="DA9" i="61"/>
  <c r="DB9" i="61"/>
  <c r="DC9" i="61"/>
  <c r="DD9" i="61"/>
  <c r="DE9" i="61"/>
  <c r="DF9" i="61"/>
  <c r="DG9" i="61"/>
  <c r="DH9" i="61"/>
  <c r="DI9" i="61"/>
  <c r="DJ9" i="61"/>
  <c r="DK9" i="61"/>
  <c r="DL9" i="61"/>
  <c r="DM9" i="61"/>
  <c r="DN9" i="61"/>
  <c r="DO9" i="61"/>
  <c r="DP9" i="61"/>
  <c r="DQ9" i="61"/>
  <c r="DR9" i="61"/>
  <c r="DS9" i="61"/>
  <c r="DT9" i="61"/>
  <c r="DU9" i="61"/>
  <c r="DV9" i="61"/>
  <c r="DW9" i="61"/>
  <c r="DX9" i="61"/>
  <c r="DY9" i="61"/>
  <c r="DZ9" i="61"/>
  <c r="EA9" i="61"/>
  <c r="EB9" i="61"/>
  <c r="EC9" i="61"/>
  <c r="ED9" i="61"/>
  <c r="EE9" i="61"/>
  <c r="EF9" i="61"/>
  <c r="EG9" i="61"/>
  <c r="EH9" i="61"/>
  <c r="EI9" i="61"/>
  <c r="EJ9" i="61"/>
  <c r="EK9" i="61"/>
  <c r="EL9" i="61"/>
  <c r="EM9" i="61"/>
  <c r="EN9" i="61"/>
  <c r="EO9" i="61"/>
  <c r="EP9" i="61"/>
  <c r="EQ9" i="61"/>
  <c r="ER9" i="61"/>
  <c r="ES9" i="61"/>
  <c r="ET9" i="61"/>
  <c r="EU9" i="61"/>
  <c r="EV9" i="61"/>
  <c r="EW9" i="61"/>
  <c r="EX9" i="61"/>
  <c r="EY9" i="61"/>
  <c r="EZ9" i="61"/>
  <c r="FA9" i="61"/>
  <c r="FB9" i="61"/>
  <c r="FC9" i="61"/>
  <c r="FD9" i="61"/>
  <c r="FE9" i="61"/>
  <c r="FF9" i="61"/>
  <c r="FG9" i="61"/>
  <c r="FH9" i="61"/>
  <c r="FI9" i="61"/>
  <c r="FJ9" i="61"/>
  <c r="FK9" i="61"/>
  <c r="FL9" i="61"/>
  <c r="FM9" i="61"/>
  <c r="FN9" i="61"/>
  <c r="FO9" i="61"/>
  <c r="FP9" i="61"/>
  <c r="FQ9" i="61"/>
  <c r="FR9" i="61"/>
  <c r="FS9" i="61"/>
  <c r="FT9" i="61"/>
  <c r="FU9" i="61"/>
  <c r="FV9" i="61"/>
  <c r="FW9" i="61"/>
  <c r="FX9" i="61"/>
  <c r="FY9" i="61"/>
  <c r="FZ9" i="61"/>
  <c r="GA9" i="61"/>
  <c r="GB9" i="61"/>
  <c r="GC9" i="61"/>
  <c r="GD9" i="61"/>
  <c r="GE9" i="61"/>
  <c r="GF9" i="61"/>
  <c r="GG9" i="61"/>
  <c r="GH9" i="61"/>
  <c r="GI9" i="61"/>
  <c r="GJ9" i="61"/>
  <c r="GK9" i="61"/>
  <c r="GL9" i="61"/>
  <c r="GM9" i="61"/>
  <c r="GN9" i="61"/>
  <c r="GO9" i="61"/>
  <c r="GP9" i="61"/>
  <c r="GQ9" i="61"/>
  <c r="GR9" i="61"/>
  <c r="GS9" i="61"/>
  <c r="GT9" i="61"/>
  <c r="GU9" i="61"/>
  <c r="GV9" i="61"/>
  <c r="GW9" i="61"/>
  <c r="GX9" i="61"/>
  <c r="GY9" i="61"/>
  <c r="GZ9" i="61"/>
  <c r="HA9" i="61"/>
  <c r="HB9" i="61"/>
  <c r="HC9" i="61"/>
  <c r="HD9" i="61"/>
  <c r="HE9" i="61"/>
  <c r="HF9" i="61"/>
  <c r="HG9" i="61"/>
  <c r="HH9" i="61"/>
  <c r="HI9" i="61"/>
  <c r="HJ9" i="61"/>
  <c r="HK9" i="61"/>
  <c r="HL9" i="61"/>
  <c r="HM9" i="61"/>
  <c r="HN9" i="61"/>
  <c r="HO9" i="61"/>
  <c r="BV10" i="61"/>
  <c r="BV11" i="61" s="1"/>
  <c r="BW10" i="61"/>
  <c r="BW11" i="61" s="1"/>
  <c r="BX10" i="61"/>
  <c r="BX11" i="61" s="1"/>
  <c r="BY10" i="61"/>
  <c r="BY11" i="61" s="1"/>
  <c r="BZ10" i="61"/>
  <c r="CA10" i="61"/>
  <c r="CA11" i="61" s="1"/>
  <c r="CB10" i="61"/>
  <c r="CC10" i="61"/>
  <c r="CC11" i="61" s="1"/>
  <c r="CD10" i="61"/>
  <c r="CE10" i="61"/>
  <c r="CF10" i="61"/>
  <c r="CG10" i="61"/>
  <c r="CH10" i="61"/>
  <c r="CI10" i="61"/>
  <c r="CJ10" i="61"/>
  <c r="CK10" i="61"/>
  <c r="CL10" i="61"/>
  <c r="CM10" i="61"/>
  <c r="CN10" i="61"/>
  <c r="CO10" i="61"/>
  <c r="CP10" i="61"/>
  <c r="CQ10" i="61"/>
  <c r="CR10" i="61"/>
  <c r="CS10" i="61"/>
  <c r="CT10" i="61"/>
  <c r="CU10" i="61"/>
  <c r="CV10" i="61"/>
  <c r="CW10" i="61"/>
  <c r="CX10" i="61"/>
  <c r="CY10" i="61"/>
  <c r="CZ10" i="61"/>
  <c r="DA10" i="61"/>
  <c r="DB10" i="61"/>
  <c r="DC10" i="61"/>
  <c r="DD10" i="61"/>
  <c r="DE10" i="61"/>
  <c r="DF10" i="61"/>
  <c r="DG10" i="61"/>
  <c r="DH10" i="61"/>
  <c r="DI10" i="61"/>
  <c r="DJ10" i="61"/>
  <c r="DK10" i="61"/>
  <c r="DL10" i="61"/>
  <c r="DM10" i="61"/>
  <c r="DN10" i="61"/>
  <c r="DO10" i="61"/>
  <c r="DP10" i="61"/>
  <c r="DQ10" i="61"/>
  <c r="DR10" i="61"/>
  <c r="DS10" i="61"/>
  <c r="DT10" i="61"/>
  <c r="DU10" i="61"/>
  <c r="DV10" i="61"/>
  <c r="DW10" i="61"/>
  <c r="DX10" i="61"/>
  <c r="DY10" i="61"/>
  <c r="DZ10" i="61"/>
  <c r="EA10" i="61"/>
  <c r="EB10" i="61"/>
  <c r="EC10" i="61"/>
  <c r="ED10" i="61"/>
  <c r="EE10" i="61"/>
  <c r="EF10" i="61"/>
  <c r="EG10" i="61"/>
  <c r="EH10" i="61"/>
  <c r="EI10" i="61"/>
  <c r="EJ10" i="61"/>
  <c r="EK10" i="61"/>
  <c r="EL10" i="61"/>
  <c r="EM10" i="61"/>
  <c r="EN10" i="61"/>
  <c r="EO10" i="61"/>
  <c r="EP10" i="61"/>
  <c r="EQ10" i="61"/>
  <c r="ER10" i="61"/>
  <c r="ES10" i="61"/>
  <c r="ET10" i="61"/>
  <c r="EU10" i="61"/>
  <c r="EV10" i="61"/>
  <c r="EW10" i="61"/>
  <c r="EX10" i="61"/>
  <c r="EY10" i="61"/>
  <c r="EZ10" i="61"/>
  <c r="FA10" i="61"/>
  <c r="FB10" i="61"/>
  <c r="FC10" i="61"/>
  <c r="FD10" i="61"/>
  <c r="FE10" i="61"/>
  <c r="FF10" i="61"/>
  <c r="FG10" i="61"/>
  <c r="FH10" i="61"/>
  <c r="FI10" i="61"/>
  <c r="FJ10" i="61"/>
  <c r="FK10" i="61"/>
  <c r="FL10" i="61"/>
  <c r="FM10" i="61"/>
  <c r="FN10" i="61"/>
  <c r="FO10" i="61"/>
  <c r="FP10" i="61"/>
  <c r="FQ10" i="61"/>
  <c r="FR10" i="61"/>
  <c r="FS10" i="61"/>
  <c r="FT10" i="61"/>
  <c r="FU10" i="61"/>
  <c r="FV10" i="61"/>
  <c r="FW10" i="61"/>
  <c r="FX10" i="61"/>
  <c r="FY10" i="61"/>
  <c r="FZ10" i="61"/>
  <c r="GA10" i="61"/>
  <c r="GB10" i="61"/>
  <c r="GC10" i="61"/>
  <c r="GD10" i="61"/>
  <c r="GE10" i="61"/>
  <c r="GF10" i="61"/>
  <c r="GG10" i="61"/>
  <c r="GH10" i="61"/>
  <c r="GI10" i="61"/>
  <c r="GJ10" i="61"/>
  <c r="GK10" i="61"/>
  <c r="GL10" i="61"/>
  <c r="GM10" i="61"/>
  <c r="GN10" i="61"/>
  <c r="GO10" i="61"/>
  <c r="GP10" i="61"/>
  <c r="GQ10" i="61"/>
  <c r="GR10" i="61"/>
  <c r="GS10" i="61"/>
  <c r="GT10" i="61"/>
  <c r="GU10" i="61"/>
  <c r="GV10" i="61"/>
  <c r="GW10" i="61"/>
  <c r="GX10" i="61"/>
  <c r="GY10" i="61"/>
  <c r="GZ10" i="61"/>
  <c r="HA10" i="61"/>
  <c r="HB10" i="61"/>
  <c r="HC10" i="61"/>
  <c r="HD10" i="61"/>
  <c r="HE10" i="61"/>
  <c r="HF10" i="61"/>
  <c r="HG10" i="61"/>
  <c r="HH10" i="61"/>
  <c r="HI10" i="61"/>
  <c r="HJ10" i="61"/>
  <c r="HK10" i="61"/>
  <c r="HL10" i="61"/>
  <c r="HM10" i="61"/>
  <c r="HN10" i="61"/>
  <c r="HO10" i="61"/>
  <c r="BZ11" i="61"/>
  <c r="CB11" i="61"/>
  <c r="CD11" i="61"/>
  <c r="CE11" i="61"/>
  <c r="CF11" i="61"/>
  <c r="CG11" i="61"/>
  <c r="CH11" i="61"/>
  <c r="CI11" i="61"/>
  <c r="CJ11" i="61"/>
  <c r="CK11" i="61"/>
  <c r="CL11" i="61"/>
  <c r="CM11" i="61"/>
  <c r="CN11" i="61"/>
  <c r="CO11" i="61"/>
  <c r="CP11" i="61"/>
  <c r="CQ11" i="61"/>
  <c r="CR11" i="61"/>
  <c r="CS11" i="61"/>
  <c r="CT11" i="61"/>
  <c r="CU11" i="61"/>
  <c r="CV11" i="61"/>
  <c r="CW11" i="61"/>
  <c r="CX11" i="61"/>
  <c r="CY11" i="61"/>
  <c r="CZ11" i="61"/>
  <c r="DA11" i="61"/>
  <c r="DB11" i="61"/>
  <c r="DC11" i="61"/>
  <c r="DD11" i="61"/>
  <c r="DE11" i="61"/>
  <c r="DF11" i="61"/>
  <c r="DG11" i="61"/>
  <c r="DH11" i="61"/>
  <c r="DI11" i="61"/>
  <c r="DJ11" i="61"/>
  <c r="DK11" i="61"/>
  <c r="DL11" i="61"/>
  <c r="DM11" i="61"/>
  <c r="DN11" i="61"/>
  <c r="DO11" i="61"/>
  <c r="DP11" i="61"/>
  <c r="DQ11" i="61"/>
  <c r="DR11" i="61"/>
  <c r="DS11" i="61"/>
  <c r="DT11" i="61"/>
  <c r="DU11" i="61"/>
  <c r="DV11" i="61"/>
  <c r="DW11" i="61"/>
  <c r="DX11" i="61"/>
  <c r="DY11" i="61"/>
  <c r="DZ11" i="61"/>
  <c r="EA11" i="61"/>
  <c r="EB11" i="61"/>
  <c r="EC11" i="61"/>
  <c r="ED11" i="61"/>
  <c r="EE11" i="61"/>
  <c r="EF11" i="61"/>
  <c r="EG11" i="61"/>
  <c r="EH11" i="61"/>
  <c r="EI11" i="61"/>
  <c r="EJ11" i="61"/>
  <c r="EK11" i="61"/>
  <c r="EL11" i="61"/>
  <c r="EM11" i="61"/>
  <c r="EN11" i="61"/>
  <c r="EO11" i="61"/>
  <c r="EP11" i="61"/>
  <c r="EQ11" i="61"/>
  <c r="ER11" i="61"/>
  <c r="ES11" i="61"/>
  <c r="ET11" i="61"/>
  <c r="EU11" i="61"/>
  <c r="EV11" i="61"/>
  <c r="EW11" i="61"/>
  <c r="EX11" i="61"/>
  <c r="EY11" i="61"/>
  <c r="EZ11" i="61"/>
  <c r="FA11" i="61"/>
  <c r="FB11" i="61"/>
  <c r="FC11" i="61"/>
  <c r="FD11" i="61"/>
  <c r="FE11" i="61"/>
  <c r="FF11" i="61"/>
  <c r="FG11" i="61"/>
  <c r="FH11" i="61"/>
  <c r="FI11" i="61"/>
  <c r="FJ11" i="61"/>
  <c r="FK11" i="61"/>
  <c r="FL11" i="61"/>
  <c r="FM11" i="61"/>
  <c r="FN11" i="61"/>
  <c r="FO11" i="61"/>
  <c r="FP11" i="61"/>
  <c r="FQ11" i="61"/>
  <c r="FR11" i="61"/>
  <c r="FS11" i="61"/>
  <c r="FT11" i="61"/>
  <c r="FU11" i="61"/>
  <c r="FV11" i="61"/>
  <c r="FW11" i="61"/>
  <c r="FX11" i="61"/>
  <c r="FY11" i="61"/>
  <c r="FZ11" i="61"/>
  <c r="GA11" i="61"/>
  <c r="GB11" i="61"/>
  <c r="GC11" i="61"/>
  <c r="GD11" i="61"/>
  <c r="GE11" i="61"/>
  <c r="GF11" i="61"/>
  <c r="GG11" i="61"/>
  <c r="GH11" i="61"/>
  <c r="GI11" i="61"/>
  <c r="GJ11" i="61"/>
  <c r="GK11" i="61"/>
  <c r="GL11" i="61"/>
  <c r="GM11" i="61"/>
  <c r="GN11" i="61"/>
  <c r="GO11" i="61"/>
  <c r="GP11" i="61"/>
  <c r="GQ11" i="61"/>
  <c r="GR11" i="61"/>
  <c r="GS11" i="61"/>
  <c r="GT11" i="61"/>
  <c r="GU11" i="61"/>
  <c r="GV11" i="61"/>
  <c r="GW11" i="61"/>
  <c r="GX11" i="61"/>
  <c r="GY11" i="61"/>
  <c r="GZ11" i="61"/>
  <c r="HA11" i="61"/>
  <c r="HB11" i="61"/>
  <c r="HC11" i="61"/>
  <c r="HD11" i="61"/>
  <c r="HE11" i="61"/>
  <c r="HF11" i="61"/>
  <c r="HG11" i="61"/>
  <c r="HH11" i="61"/>
  <c r="HI11" i="61"/>
  <c r="HJ11" i="61"/>
  <c r="HK11" i="61"/>
  <c r="HL11" i="61"/>
  <c r="HM11" i="61"/>
  <c r="HN11" i="61"/>
  <c r="HO11" i="61"/>
  <c r="GL12" i="61" l="1"/>
  <c r="EX12" i="61"/>
  <c r="DJ12" i="61"/>
  <c r="HJ12" i="61"/>
  <c r="GD12" i="61"/>
  <c r="FF12" i="61"/>
  <c r="EH12" i="61"/>
  <c r="DZ12" i="61"/>
  <c r="DB12" i="61"/>
  <c r="CL12" i="61"/>
  <c r="CD12" i="61"/>
  <c r="BV12" i="61"/>
  <c r="GT12" i="61"/>
  <c r="FN12" i="61"/>
  <c r="CT12" i="61"/>
  <c r="HB12" i="61"/>
  <c r="FV12" i="61"/>
  <c r="EP12" i="61"/>
  <c r="DR12" i="61"/>
  <c r="HI12" i="61"/>
  <c r="HA12" i="61"/>
  <c r="GS12" i="61"/>
  <c r="GK12" i="61"/>
  <c r="GC12" i="61"/>
  <c r="FU12" i="61"/>
  <c r="FM12" i="61"/>
  <c r="FE12" i="61"/>
  <c r="EW12" i="61"/>
  <c r="EO12" i="61"/>
  <c r="EG12" i="61"/>
  <c r="DY12" i="61"/>
  <c r="DQ12" i="61"/>
  <c r="DI12" i="61"/>
  <c r="DA12" i="61"/>
  <c r="CS12" i="61"/>
  <c r="CK12" i="61"/>
  <c r="CC12" i="61"/>
  <c r="GZ12" i="61"/>
  <c r="GJ12" i="61"/>
  <c r="FD12" i="61"/>
  <c r="CB12" i="61"/>
  <c r="HG12" i="61"/>
  <c r="GQ12" i="61"/>
  <c r="GA12" i="61"/>
  <c r="FK12" i="61"/>
  <c r="EU12" i="61"/>
  <c r="DW12" i="61"/>
  <c r="DG12" i="61"/>
  <c r="CY12" i="61"/>
  <c r="CA12" i="61"/>
  <c r="HH12" i="61"/>
  <c r="GR12" i="61"/>
  <c r="GB12" i="61"/>
  <c r="FT12" i="61"/>
  <c r="FL12" i="61"/>
  <c r="EV12" i="61"/>
  <c r="EN12" i="61"/>
  <c r="EF12" i="61"/>
  <c r="DX12" i="61"/>
  <c r="DP12" i="61"/>
  <c r="DH12" i="61"/>
  <c r="CZ12" i="61"/>
  <c r="CR12" i="61"/>
  <c r="CJ12" i="61"/>
  <c r="HO12" i="61"/>
  <c r="GY12" i="61"/>
  <c r="GI12" i="61"/>
  <c r="FS12" i="61"/>
  <c r="FC12" i="61"/>
  <c r="EM12" i="61"/>
  <c r="EE12" i="61"/>
  <c r="DO12" i="61"/>
  <c r="CQ12" i="61"/>
  <c r="CI12" i="61"/>
  <c r="HN12" i="61"/>
  <c r="HF12" i="61"/>
  <c r="GX12" i="61"/>
  <c r="GP12" i="61"/>
  <c r="GH12" i="61"/>
  <c r="FZ12" i="61"/>
  <c r="FR12" i="61"/>
  <c r="FJ12" i="61"/>
  <c r="FB12" i="61"/>
  <c r="ET12" i="61"/>
  <c r="EL12" i="61"/>
  <c r="ED12" i="61"/>
  <c r="DV12" i="61"/>
  <c r="DN12" i="61"/>
  <c r="DF12" i="61"/>
  <c r="CX12" i="61"/>
  <c r="CP12" i="61"/>
  <c r="CH12" i="61"/>
  <c r="BZ12" i="61"/>
  <c r="HM12" i="61"/>
  <c r="HE12" i="61"/>
  <c r="GW12" i="61"/>
  <c r="GO12" i="61"/>
  <c r="GG12" i="61"/>
  <c r="FY12" i="61"/>
  <c r="FI12" i="61"/>
  <c r="FA12" i="61"/>
  <c r="ES12" i="61"/>
  <c r="EK12" i="61"/>
  <c r="HL12" i="61"/>
  <c r="HD12" i="61"/>
  <c r="GV12" i="61"/>
  <c r="GN12" i="61"/>
  <c r="GF12" i="61"/>
  <c r="FX12" i="61"/>
  <c r="FP12" i="61"/>
  <c r="FH12" i="61"/>
  <c r="EZ12" i="61"/>
  <c r="ER12" i="61"/>
  <c r="EJ12" i="61"/>
  <c r="EB12" i="61"/>
  <c r="DT12" i="61"/>
  <c r="DL12" i="61"/>
  <c r="DD12" i="61"/>
  <c r="CV12" i="61"/>
  <c r="CN12" i="61"/>
  <c r="EC12" i="61"/>
  <c r="DU12" i="61"/>
  <c r="DM12" i="61"/>
  <c r="DE12" i="61"/>
  <c r="CW12" i="61"/>
  <c r="CO12" i="61"/>
  <c r="CG12" i="61"/>
  <c r="BY12" i="61"/>
  <c r="CF12" i="61"/>
  <c r="FQ12" i="61"/>
  <c r="BX12" i="61"/>
  <c r="HK12" i="61"/>
  <c r="HC12" i="61"/>
  <c r="GU12" i="61"/>
  <c r="GM12" i="61"/>
  <c r="GE12" i="61"/>
  <c r="FW12" i="61"/>
  <c r="FO12" i="61"/>
  <c r="FG12" i="61"/>
  <c r="EY12" i="61"/>
  <c r="EQ12" i="61"/>
  <c r="EI12" i="61"/>
  <c r="EA12" i="61"/>
  <c r="DS12" i="61"/>
  <c r="DK12" i="61"/>
  <c r="DC12" i="61"/>
  <c r="CU12" i="61"/>
  <c r="CM12" i="61"/>
  <c r="CE12" i="61"/>
  <c r="BW12" i="61"/>
  <c r="W19" i="91" l="1"/>
  <c r="S19" i="91"/>
  <c r="T19" i="91" s="1"/>
  <c r="P19" i="91" s="1"/>
  <c r="N19" i="91" s="1"/>
  <c r="O19" i="91" s="1"/>
  <c r="Q19" i="91" s="1"/>
  <c r="AA19" i="91" s="1"/>
  <c r="L19" i="91"/>
  <c r="I19" i="91"/>
  <c r="G19" i="91"/>
  <c r="AY48" i="100"/>
  <c r="W24" i="99" l="1"/>
  <c r="S24" i="99"/>
  <c r="T24" i="99" s="1"/>
  <c r="P24" i="99" s="1"/>
  <c r="N24" i="99" s="1"/>
  <c r="O24" i="99" s="1"/>
  <c r="L24" i="99"/>
  <c r="I24" i="99"/>
  <c r="G24" i="99"/>
  <c r="W22" i="99"/>
  <c r="S22" i="99"/>
  <c r="T22" i="99" s="1"/>
  <c r="P22" i="99" s="1"/>
  <c r="N22" i="99" s="1"/>
  <c r="O22" i="99" s="1"/>
  <c r="L22" i="99"/>
  <c r="I22" i="99"/>
  <c r="G22" i="99"/>
  <c r="BO6" i="99" l="1"/>
  <c r="BN6" i="99"/>
  <c r="BL6" i="99"/>
  <c r="BM6" i="99"/>
  <c r="Q22" i="99"/>
  <c r="Q24" i="99"/>
  <c r="AA24" i="99"/>
  <c r="AA22" i="99"/>
  <c r="I40" i="19" l="1"/>
  <c r="W40" i="19"/>
  <c r="S40" i="19"/>
  <c r="T40" i="19" s="1"/>
  <c r="E40" i="19"/>
  <c r="I48" i="61"/>
  <c r="W49" i="61"/>
  <c r="S49" i="61"/>
  <c r="T49" i="61" s="1"/>
  <c r="P49" i="61" s="1"/>
  <c r="N49" i="61" s="1"/>
  <c r="O49" i="61" s="1"/>
  <c r="L49" i="61"/>
  <c r="I49" i="61"/>
  <c r="G49" i="61"/>
  <c r="Z49" i="61" s="1"/>
  <c r="W48" i="61"/>
  <c r="S48" i="61"/>
  <c r="T48" i="61" s="1"/>
  <c r="P48" i="61" s="1"/>
  <c r="N48" i="61" s="1"/>
  <c r="O48" i="61" s="1"/>
  <c r="L48" i="61"/>
  <c r="G48" i="61"/>
  <c r="Z48" i="61" s="1"/>
  <c r="W47" i="61"/>
  <c r="S47" i="61"/>
  <c r="T47" i="61" s="1"/>
  <c r="P47" i="61" s="1"/>
  <c r="N47" i="61" s="1"/>
  <c r="O47" i="61" s="1"/>
  <c r="L47" i="61"/>
  <c r="I47" i="61"/>
  <c r="G47" i="61"/>
  <c r="Z47" i="61" s="1"/>
  <c r="W53" i="100"/>
  <c r="S53" i="100"/>
  <c r="T53" i="100" s="1"/>
  <c r="P53" i="100" s="1"/>
  <c r="N53" i="100" s="1"/>
  <c r="O53" i="100" s="1"/>
  <c r="L53" i="100"/>
  <c r="I53" i="100"/>
  <c r="G53" i="100"/>
  <c r="Z53" i="100" s="1"/>
  <c r="W52" i="100"/>
  <c r="BZ10" i="100" s="1"/>
  <c r="BZ11" i="100" s="1"/>
  <c r="BZ12" i="100" s="1"/>
  <c r="S52" i="100"/>
  <c r="T52" i="100" s="1"/>
  <c r="P52" i="100" s="1"/>
  <c r="N52" i="100" s="1"/>
  <c r="O52" i="100" s="1"/>
  <c r="L52" i="100"/>
  <c r="I52" i="100"/>
  <c r="G52" i="100"/>
  <c r="Z52" i="100" s="1"/>
  <c r="W51" i="100"/>
  <c r="BY10" i="100" s="1"/>
  <c r="BY11" i="100" s="1"/>
  <c r="BY12" i="100" s="1"/>
  <c r="S51" i="100"/>
  <c r="T51" i="100" s="1"/>
  <c r="P51" i="100" s="1"/>
  <c r="N51" i="100" s="1"/>
  <c r="O51" i="100" s="1"/>
  <c r="L51" i="100"/>
  <c r="I51" i="100"/>
  <c r="G51" i="100"/>
  <c r="Z51" i="100" s="1"/>
  <c r="O20" i="90"/>
  <c r="I20" i="90"/>
  <c r="W22" i="90"/>
  <c r="S22" i="90"/>
  <c r="T22" i="90" s="1"/>
  <c r="P22" i="90" s="1"/>
  <c r="N22" i="90" s="1"/>
  <c r="O22" i="90" s="1"/>
  <c r="Q22" i="90" s="1"/>
  <c r="L22" i="90"/>
  <c r="I22" i="90"/>
  <c r="G22" i="90"/>
  <c r="W21" i="90"/>
  <c r="S21" i="90"/>
  <c r="T21" i="90" s="1"/>
  <c r="P21" i="90" s="1"/>
  <c r="N21" i="90" s="1"/>
  <c r="O21" i="90" s="1"/>
  <c r="Q21" i="90" s="1"/>
  <c r="AA21" i="90" s="1"/>
  <c r="L21" i="90"/>
  <c r="I21" i="90"/>
  <c r="G21" i="90"/>
  <c r="AW28" i="67"/>
  <c r="AV28" i="67"/>
  <c r="Q53" i="100" l="1"/>
  <c r="P40" i="19"/>
  <c r="N40" i="19" s="1"/>
  <c r="O40" i="19" s="1"/>
  <c r="Q40" i="19" s="1"/>
  <c r="AA40" i="19" s="1"/>
  <c r="Q47" i="61"/>
  <c r="AA47" i="61" s="1"/>
  <c r="AB47" i="61" s="1"/>
  <c r="Q49" i="61"/>
  <c r="AA49" i="61" s="1"/>
  <c r="AB49" i="61" s="1"/>
  <c r="Q48" i="61"/>
  <c r="AA48" i="61" s="1"/>
  <c r="AB48" i="61" s="1"/>
  <c r="Q51" i="100"/>
  <c r="AA51" i="100" s="1"/>
  <c r="AB51" i="100" s="1"/>
  <c r="Q52" i="100"/>
  <c r="AA52" i="100" s="1"/>
  <c r="AB52" i="100" s="1"/>
  <c r="AA53" i="100"/>
  <c r="AB53" i="100" s="1"/>
  <c r="AA22" i="90"/>
  <c r="O17" i="82" l="1"/>
  <c r="L17" i="82"/>
  <c r="W50" i="61" l="1"/>
  <c r="BS10" i="61" s="1"/>
  <c r="BS11" i="61" s="1"/>
  <c r="BS12" i="61" s="1"/>
  <c r="S50" i="61"/>
  <c r="T50" i="61" s="1"/>
  <c r="P50" i="61" s="1"/>
  <c r="N50" i="61" s="1"/>
  <c r="O50" i="61" s="1"/>
  <c r="L50" i="61"/>
  <c r="I50" i="61"/>
  <c r="G50" i="61"/>
  <c r="Z50" i="61" s="1"/>
  <c r="W46" i="61"/>
  <c r="S46" i="61"/>
  <c r="T46" i="61" s="1"/>
  <c r="P46" i="61" s="1"/>
  <c r="N46" i="61" s="1"/>
  <c r="O46" i="61" s="1"/>
  <c r="L46" i="61"/>
  <c r="I46" i="61"/>
  <c r="G46" i="61"/>
  <c r="Z46" i="61" s="1"/>
  <c r="W45" i="61"/>
  <c r="S45" i="61"/>
  <c r="T45" i="61" s="1"/>
  <c r="P45" i="61" s="1"/>
  <c r="N45" i="61" s="1"/>
  <c r="O45" i="61" s="1"/>
  <c r="L45" i="61"/>
  <c r="I45" i="61"/>
  <c r="G45" i="61"/>
  <c r="Z45" i="61" s="1"/>
  <c r="W44" i="61"/>
  <c r="S44" i="61"/>
  <c r="T44" i="61" s="1"/>
  <c r="P44" i="61" s="1"/>
  <c r="N44" i="61" s="1"/>
  <c r="O44" i="61" s="1"/>
  <c r="L44" i="61"/>
  <c r="I44" i="61"/>
  <c r="G44" i="61"/>
  <c r="Z44" i="61" s="1"/>
  <c r="W43" i="61"/>
  <c r="BR10" i="61" s="1"/>
  <c r="BR11" i="61" s="1"/>
  <c r="BR12" i="61" s="1"/>
  <c r="S43" i="61"/>
  <c r="T43" i="61" s="1"/>
  <c r="P43" i="61" s="1"/>
  <c r="N43" i="61" s="1"/>
  <c r="O43" i="61" s="1"/>
  <c r="L43" i="61"/>
  <c r="I43" i="61"/>
  <c r="G43" i="61"/>
  <c r="Z43" i="61" s="1"/>
  <c r="Q45" i="61" l="1"/>
  <c r="Q44" i="61"/>
  <c r="Q50" i="61"/>
  <c r="AA50" i="61" s="1"/>
  <c r="AB50" i="61" s="1"/>
  <c r="AA45" i="61"/>
  <c r="AB45" i="61" s="1"/>
  <c r="AA44" i="61"/>
  <c r="AB44" i="61" s="1"/>
  <c r="Q46" i="61"/>
  <c r="AA46" i="61" s="1"/>
  <c r="AB46" i="61" s="1"/>
  <c r="Q43" i="61"/>
  <c r="AA43" i="61" s="1"/>
  <c r="AB43" i="61" s="1"/>
  <c r="W46" i="100"/>
  <c r="S46" i="100"/>
  <c r="T46" i="100" s="1"/>
  <c r="P46" i="100" s="1"/>
  <c r="N46" i="100" s="1"/>
  <c r="O46" i="100" s="1"/>
  <c r="L46" i="100"/>
  <c r="I46" i="100"/>
  <c r="G46" i="100"/>
  <c r="Z46" i="100" s="1"/>
  <c r="W48" i="100"/>
  <c r="S48" i="100"/>
  <c r="T48" i="100" s="1"/>
  <c r="P48" i="100" s="1"/>
  <c r="N48" i="100" s="1"/>
  <c r="O48" i="100" s="1"/>
  <c r="L48" i="100"/>
  <c r="I48" i="100"/>
  <c r="G48" i="100"/>
  <c r="Z48" i="100" s="1"/>
  <c r="W47" i="100"/>
  <c r="S47" i="100"/>
  <c r="T47" i="100" s="1"/>
  <c r="P47" i="100" s="1"/>
  <c r="N47" i="100" s="1"/>
  <c r="O47" i="100" s="1"/>
  <c r="L47" i="100"/>
  <c r="I47" i="100"/>
  <c r="G47" i="100"/>
  <c r="Z47" i="100" s="1"/>
  <c r="W49" i="100"/>
  <c r="S49" i="100"/>
  <c r="T49" i="100" s="1"/>
  <c r="P49" i="100" s="1"/>
  <c r="N49" i="100" s="1"/>
  <c r="O49" i="100" s="1"/>
  <c r="L49" i="100"/>
  <c r="I49" i="100"/>
  <c r="G49" i="100"/>
  <c r="Z49" i="100" s="1"/>
  <c r="W62" i="100"/>
  <c r="S62" i="100"/>
  <c r="T62" i="100" s="1"/>
  <c r="P62" i="100" s="1"/>
  <c r="N62" i="100" s="1"/>
  <c r="O62" i="100" s="1"/>
  <c r="L62" i="100"/>
  <c r="I62" i="100"/>
  <c r="G62" i="100"/>
  <c r="Z62" i="100" s="1"/>
  <c r="W55" i="100"/>
  <c r="BS10" i="100" s="1"/>
  <c r="BS11" i="100" s="1"/>
  <c r="BS12" i="100" s="1"/>
  <c r="S55" i="100"/>
  <c r="T55" i="100" s="1"/>
  <c r="P55" i="100" s="1"/>
  <c r="N55" i="100" s="1"/>
  <c r="O55" i="100" s="1"/>
  <c r="L55" i="100"/>
  <c r="I55" i="100"/>
  <c r="G55" i="100"/>
  <c r="Z55" i="100" s="1"/>
  <c r="W54" i="100"/>
  <c r="BR10" i="100" s="1"/>
  <c r="BR11" i="100" s="1"/>
  <c r="BR12" i="100" s="1"/>
  <c r="S54" i="100"/>
  <c r="T54" i="100" s="1"/>
  <c r="P54" i="100" s="1"/>
  <c r="N54" i="100" s="1"/>
  <c r="O54" i="100" s="1"/>
  <c r="L54" i="100"/>
  <c r="I54" i="100"/>
  <c r="G54" i="100"/>
  <c r="Z54" i="100" s="1"/>
  <c r="W50" i="100"/>
  <c r="S50" i="100"/>
  <c r="T50" i="100" s="1"/>
  <c r="P50" i="100" s="1"/>
  <c r="N50" i="100" s="1"/>
  <c r="O50" i="100" s="1"/>
  <c r="L50" i="100"/>
  <c r="I50" i="100"/>
  <c r="G50" i="100"/>
  <c r="Z50" i="100" s="1"/>
  <c r="W45" i="100"/>
  <c r="S45" i="100"/>
  <c r="T45" i="100" s="1"/>
  <c r="P45" i="100" s="1"/>
  <c r="N45" i="100" s="1"/>
  <c r="O45" i="100" s="1"/>
  <c r="L45" i="100"/>
  <c r="I45" i="100"/>
  <c r="G45" i="100"/>
  <c r="Z45" i="100" s="1"/>
  <c r="W44" i="100"/>
  <c r="S44" i="100"/>
  <c r="T44" i="100" s="1"/>
  <c r="P44" i="100" s="1"/>
  <c r="N44" i="100" s="1"/>
  <c r="O44" i="100" s="1"/>
  <c r="L44" i="100"/>
  <c r="I44" i="100"/>
  <c r="G44" i="100"/>
  <c r="Z44" i="100" s="1"/>
  <c r="W43" i="100"/>
  <c r="S43" i="100"/>
  <c r="T43" i="100" s="1"/>
  <c r="P43" i="100" s="1"/>
  <c r="N43" i="100" s="1"/>
  <c r="O43" i="100" s="1"/>
  <c r="L43" i="100"/>
  <c r="I43" i="100"/>
  <c r="G43" i="100"/>
  <c r="Z43" i="100" s="1"/>
  <c r="W42" i="100"/>
  <c r="S42" i="100"/>
  <c r="T42" i="100" s="1"/>
  <c r="P42" i="100" s="1"/>
  <c r="N42" i="100" s="1"/>
  <c r="O42" i="100" s="1"/>
  <c r="L42" i="100"/>
  <c r="I42" i="100"/>
  <c r="G42" i="100"/>
  <c r="Z42" i="100" s="1"/>
  <c r="W41" i="100"/>
  <c r="S41" i="100"/>
  <c r="T41" i="100" s="1"/>
  <c r="P41" i="100" s="1"/>
  <c r="N41" i="100" s="1"/>
  <c r="O41" i="100" s="1"/>
  <c r="L41" i="100"/>
  <c r="I41" i="100"/>
  <c r="G41" i="100"/>
  <c r="Z41" i="100" s="1"/>
  <c r="CL10" i="100" l="1"/>
  <c r="CL11" i="100" s="1"/>
  <c r="CL12" i="100" s="1"/>
  <c r="CO10" i="100"/>
  <c r="CO11" i="100" s="1"/>
  <c r="CO12" i="100" s="1"/>
  <c r="BV10" i="100"/>
  <c r="BV11" i="100" s="1"/>
  <c r="BV12" i="100" s="1"/>
  <c r="CN10" i="100"/>
  <c r="CN11" i="100" s="1"/>
  <c r="CN12" i="100" s="1"/>
  <c r="CK10" i="100"/>
  <c r="CK11" i="100" s="1"/>
  <c r="CK12" i="100" s="1"/>
  <c r="Q47" i="100"/>
  <c r="Q49" i="100"/>
  <c r="AA49" i="100" s="1"/>
  <c r="AB49" i="100" s="1"/>
  <c r="Q44" i="100"/>
  <c r="Q46" i="100"/>
  <c r="Q62" i="100"/>
  <c r="AA62" i="100" s="1"/>
  <c r="AB62" i="100" s="1"/>
  <c r="AA47" i="100"/>
  <c r="AB47" i="100" s="1"/>
  <c r="Q48" i="100"/>
  <c r="AA48" i="100" s="1"/>
  <c r="AB48" i="100" s="1"/>
  <c r="AA46" i="100"/>
  <c r="AB46" i="100" s="1"/>
  <c r="Q50" i="100"/>
  <c r="AA50" i="100" s="1"/>
  <c r="AB50" i="100" s="1"/>
  <c r="Q43" i="100"/>
  <c r="AA43" i="100" s="1"/>
  <c r="AB43" i="100" s="1"/>
  <c r="AA44" i="100"/>
  <c r="AB44" i="100" s="1"/>
  <c r="Q45" i="100"/>
  <c r="AA45" i="100" s="1"/>
  <c r="AB45" i="100" s="1"/>
  <c r="Q55" i="100"/>
  <c r="AA55" i="100" s="1"/>
  <c r="AB55" i="100" s="1"/>
  <c r="Q54" i="100"/>
  <c r="AA54" i="100" s="1"/>
  <c r="AB54" i="100" s="1"/>
  <c r="Q41" i="100"/>
  <c r="AA41" i="100" s="1"/>
  <c r="AB41" i="100" s="1"/>
  <c r="Q42" i="100"/>
  <c r="AA42" i="100" s="1"/>
  <c r="AB42" i="100" s="1"/>
  <c r="O47" i="11"/>
  <c r="V47" i="11"/>
  <c r="W47" i="11" s="1"/>
  <c r="S47" i="11" s="1"/>
  <c r="Q47" i="11" s="1"/>
  <c r="R47" i="11" s="1"/>
  <c r="L47" i="11"/>
  <c r="G47" i="11"/>
  <c r="T47" i="11" l="1"/>
  <c r="AD47" i="11" l="1"/>
  <c r="AR35" i="19" l="1"/>
  <c r="W52" i="61"/>
  <c r="BU10" i="61" s="1"/>
  <c r="BU11" i="61" s="1"/>
  <c r="BU12" i="61" s="1"/>
  <c r="S52" i="61"/>
  <c r="T52" i="61" s="1"/>
  <c r="P52" i="61" s="1"/>
  <c r="N52" i="61" s="1"/>
  <c r="O52" i="61" s="1"/>
  <c r="L52" i="61"/>
  <c r="I52" i="61"/>
  <c r="G52" i="61"/>
  <c r="Z52" i="61" s="1"/>
  <c r="W51" i="61"/>
  <c r="BT10" i="61" s="1"/>
  <c r="BT11" i="61" s="1"/>
  <c r="BT12" i="61" s="1"/>
  <c r="S51" i="61"/>
  <c r="T51" i="61" s="1"/>
  <c r="P51" i="61" s="1"/>
  <c r="N51" i="61" s="1"/>
  <c r="O51" i="61" s="1"/>
  <c r="L51" i="61"/>
  <c r="I51" i="61"/>
  <c r="G51" i="61"/>
  <c r="Z51" i="61" s="1"/>
  <c r="W42" i="61"/>
  <c r="S42" i="61"/>
  <c r="T42" i="61" s="1"/>
  <c r="P42" i="61" s="1"/>
  <c r="N42" i="61" s="1"/>
  <c r="O42" i="61" s="1"/>
  <c r="L42" i="61"/>
  <c r="I42" i="61"/>
  <c r="G42" i="61"/>
  <c r="Z42" i="61" s="1"/>
  <c r="W41" i="61"/>
  <c r="S41" i="61"/>
  <c r="T41" i="61" s="1"/>
  <c r="P41" i="61" s="1"/>
  <c r="N41" i="61" s="1"/>
  <c r="O41" i="61" s="1"/>
  <c r="I41" i="61"/>
  <c r="G41" i="61"/>
  <c r="Z41" i="61" s="1"/>
  <c r="W40" i="61"/>
  <c r="S40" i="61"/>
  <c r="T40" i="61" s="1"/>
  <c r="P40" i="61" s="1"/>
  <c r="N40" i="61" s="1"/>
  <c r="O40" i="61" s="1"/>
  <c r="L40" i="61"/>
  <c r="I40" i="61"/>
  <c r="G40" i="61"/>
  <c r="Z40" i="61" s="1"/>
  <c r="W39" i="61"/>
  <c r="S39" i="61"/>
  <c r="T39" i="61" s="1"/>
  <c r="P39" i="61" s="1"/>
  <c r="N39" i="61" s="1"/>
  <c r="O39" i="61" s="1"/>
  <c r="L39" i="61"/>
  <c r="I39" i="61"/>
  <c r="G39" i="61"/>
  <c r="Z39" i="61" s="1"/>
  <c r="W38" i="61"/>
  <c r="S38" i="61"/>
  <c r="T38" i="61" s="1"/>
  <c r="P38" i="61" s="1"/>
  <c r="N38" i="61" s="1"/>
  <c r="O38" i="61" s="1"/>
  <c r="L38" i="61"/>
  <c r="I38" i="61"/>
  <c r="G38" i="61"/>
  <c r="Z38" i="61" s="1"/>
  <c r="W37" i="61"/>
  <c r="S37" i="61"/>
  <c r="T37" i="61" s="1"/>
  <c r="P37" i="61" s="1"/>
  <c r="N37" i="61" s="1"/>
  <c r="O37" i="61" s="1"/>
  <c r="L37" i="61"/>
  <c r="I37" i="61"/>
  <c r="G37" i="61"/>
  <c r="Z37" i="61" s="1"/>
  <c r="Q52" i="61" l="1"/>
  <c r="Q42" i="61"/>
  <c r="AA42" i="61" s="1"/>
  <c r="AB42" i="61" s="1"/>
  <c r="Q51" i="61"/>
  <c r="AA51" i="61" s="1"/>
  <c r="AB51" i="61" s="1"/>
  <c r="AA52" i="61"/>
  <c r="AB52" i="61" s="1"/>
  <c r="Q40" i="61"/>
  <c r="AA40" i="61" s="1"/>
  <c r="AB40" i="61" s="1"/>
  <c r="Q39" i="61"/>
  <c r="AA39" i="61" s="1"/>
  <c r="AB39" i="61" s="1"/>
  <c r="Q41" i="61"/>
  <c r="AA41" i="61" s="1"/>
  <c r="AB41" i="61" s="1"/>
  <c r="Q38" i="61"/>
  <c r="AA38" i="61" s="1"/>
  <c r="AB38" i="61" s="1"/>
  <c r="Q37" i="61"/>
  <c r="AA37" i="61" s="1"/>
  <c r="AB37" i="61" s="1"/>
  <c r="AT28" i="67" l="1"/>
  <c r="K15" i="99"/>
  <c r="O35" i="11" l="1"/>
  <c r="W36" i="61" l="1"/>
  <c r="S36" i="61"/>
  <c r="T36" i="61" s="1"/>
  <c r="P36" i="61" s="1"/>
  <c r="N36" i="61" s="1"/>
  <c r="O36" i="61" s="1"/>
  <c r="L36" i="61"/>
  <c r="I36" i="61"/>
  <c r="G36" i="61"/>
  <c r="Z36" i="61" s="1"/>
  <c r="W35" i="61"/>
  <c r="S35" i="61"/>
  <c r="T35" i="61" s="1"/>
  <c r="P35" i="61" s="1"/>
  <c r="N35" i="61" s="1"/>
  <c r="O35" i="61" s="1"/>
  <c r="L35" i="61"/>
  <c r="I35" i="61"/>
  <c r="G35" i="61"/>
  <c r="Z35" i="61" s="1"/>
  <c r="W34" i="61"/>
  <c r="S34" i="61"/>
  <c r="T34" i="61" s="1"/>
  <c r="P34" i="61" s="1"/>
  <c r="N34" i="61" s="1"/>
  <c r="O34" i="61" s="1"/>
  <c r="L34" i="61"/>
  <c r="I34" i="61"/>
  <c r="G34" i="61"/>
  <c r="Z34" i="61" s="1"/>
  <c r="W33" i="61"/>
  <c r="S33" i="61"/>
  <c r="T33" i="61" s="1"/>
  <c r="P33" i="61" s="1"/>
  <c r="N33" i="61" s="1"/>
  <c r="O33" i="61" s="1"/>
  <c r="L33" i="61"/>
  <c r="I33" i="61"/>
  <c r="G33" i="61"/>
  <c r="Z33" i="61" s="1"/>
  <c r="Q36" i="61" l="1"/>
  <c r="AA36" i="61" s="1"/>
  <c r="AB36" i="61" s="1"/>
  <c r="Q35" i="61"/>
  <c r="AA35" i="61" s="1"/>
  <c r="AB35" i="61" s="1"/>
  <c r="Q33" i="61"/>
  <c r="AA33" i="61" s="1"/>
  <c r="AB33" i="61" s="1"/>
  <c r="Q34" i="61"/>
  <c r="AA34" i="61"/>
  <c r="AB34" i="61" s="1"/>
  <c r="AP32" i="19" l="1"/>
  <c r="F55" i="99" l="1"/>
  <c r="F56" i="99" s="1"/>
  <c r="AR28" i="67" l="1"/>
  <c r="W32" i="61" l="1"/>
  <c r="S32" i="61"/>
  <c r="T32" i="61" s="1"/>
  <c r="P32" i="61" s="1"/>
  <c r="N32" i="61" s="1"/>
  <c r="O32" i="61" s="1"/>
  <c r="L32" i="61"/>
  <c r="I32" i="61"/>
  <c r="G32" i="61"/>
  <c r="Z32" i="61" s="1"/>
  <c r="W31" i="61"/>
  <c r="S31" i="61"/>
  <c r="T31" i="61" s="1"/>
  <c r="P31" i="61" s="1"/>
  <c r="N31" i="61" s="1"/>
  <c r="O31" i="61" s="1"/>
  <c r="L31" i="61"/>
  <c r="I31" i="61"/>
  <c r="G31" i="61"/>
  <c r="Z31" i="61" s="1"/>
  <c r="W30" i="61"/>
  <c r="S30" i="61"/>
  <c r="T30" i="61" s="1"/>
  <c r="P30" i="61" s="1"/>
  <c r="N30" i="61" s="1"/>
  <c r="O30" i="61" s="1"/>
  <c r="L30" i="61"/>
  <c r="I30" i="61"/>
  <c r="G30" i="61"/>
  <c r="Z30" i="61" s="1"/>
  <c r="W37" i="100"/>
  <c r="BT10" i="100" s="1"/>
  <c r="BT11" i="100" s="1"/>
  <c r="BT12" i="100" s="1"/>
  <c r="S37" i="100"/>
  <c r="T37" i="100" s="1"/>
  <c r="P37" i="100" s="1"/>
  <c r="N37" i="100" s="1"/>
  <c r="O37" i="100" s="1"/>
  <c r="L37" i="100"/>
  <c r="I37" i="100"/>
  <c r="G37" i="100"/>
  <c r="Z37" i="100" s="1"/>
  <c r="Q32" i="61" l="1"/>
  <c r="Q31" i="61"/>
  <c r="AA31" i="61" s="1"/>
  <c r="AB31" i="61" s="1"/>
  <c r="AA32" i="61"/>
  <c r="AB32" i="61" s="1"/>
  <c r="Q30" i="61"/>
  <c r="AA30" i="61"/>
  <c r="AB30" i="61" s="1"/>
  <c r="Q37" i="100"/>
  <c r="AA37" i="100"/>
  <c r="AB37" i="100" s="1"/>
  <c r="AI18" i="83"/>
  <c r="AH15" i="83"/>
  <c r="AG14" i="83"/>
  <c r="W37" i="67" l="1"/>
  <c r="S37" i="67"/>
  <c r="T37" i="67" s="1"/>
  <c r="P37" i="67" s="1"/>
  <c r="N37" i="67" s="1"/>
  <c r="O37" i="67" s="1"/>
  <c r="Q37" i="67" s="1"/>
  <c r="L37" i="67"/>
  <c r="I37" i="67"/>
  <c r="G37" i="67"/>
  <c r="W36" i="67"/>
  <c r="S36" i="67"/>
  <c r="T36" i="67" s="1"/>
  <c r="P36" i="67" s="1"/>
  <c r="N36" i="67" s="1"/>
  <c r="O36" i="67" s="1"/>
  <c r="L36" i="67"/>
  <c r="I36" i="67"/>
  <c r="G36" i="67"/>
  <c r="W35" i="67"/>
  <c r="S35" i="67"/>
  <c r="T35" i="67" s="1"/>
  <c r="P35" i="67" s="1"/>
  <c r="N35" i="67" s="1"/>
  <c r="O35" i="67" s="1"/>
  <c r="L35" i="67"/>
  <c r="I35" i="67"/>
  <c r="G35" i="67"/>
  <c r="Q35" i="67" l="1"/>
  <c r="AA37" i="67"/>
  <c r="Q36" i="67"/>
  <c r="AA36" i="67"/>
  <c r="AA35" i="67"/>
  <c r="G17" i="64" l="1"/>
  <c r="I17" i="64"/>
  <c r="L17" i="64"/>
  <c r="S17" i="64"/>
  <c r="T17" i="64" s="1"/>
  <c r="P17" i="64" s="1"/>
  <c r="N17" i="64" s="1"/>
  <c r="O17" i="64" s="1"/>
  <c r="W17" i="64"/>
  <c r="G18" i="64"/>
  <c r="I18" i="64"/>
  <c r="L18" i="64"/>
  <c r="S18" i="64"/>
  <c r="T18" i="64" s="1"/>
  <c r="P18" i="64" s="1"/>
  <c r="N18" i="64" s="1"/>
  <c r="O18" i="64" s="1"/>
  <c r="W18" i="64"/>
  <c r="L15" i="64"/>
  <c r="Q17" i="64" l="1"/>
  <c r="AA17" i="64" s="1"/>
  <c r="Q18" i="64"/>
  <c r="AA18" i="64"/>
  <c r="W29" i="61" l="1"/>
  <c r="S29" i="61"/>
  <c r="T29" i="61" s="1"/>
  <c r="P29" i="61" s="1"/>
  <c r="N29" i="61" s="1"/>
  <c r="O29" i="61" s="1"/>
  <c r="L29" i="61"/>
  <c r="I29" i="61"/>
  <c r="G29" i="61"/>
  <c r="Z29" i="61" s="1"/>
  <c r="Q29" i="61" l="1"/>
  <c r="AA29" i="61"/>
  <c r="AB29" i="61" s="1"/>
  <c r="O46" i="11"/>
  <c r="V46" i="11"/>
  <c r="W46" i="11" s="1"/>
  <c r="S46" i="11" s="1"/>
  <c r="Q46" i="11" s="1"/>
  <c r="R46" i="11" s="1"/>
  <c r="L46" i="11"/>
  <c r="G46" i="11"/>
  <c r="T46" i="11" l="1"/>
  <c r="AD46" i="11" l="1"/>
  <c r="W39" i="19" l="1"/>
  <c r="S39" i="19"/>
  <c r="T39" i="19" s="1"/>
  <c r="P39" i="19" s="1"/>
  <c r="N39" i="19" s="1"/>
  <c r="O39" i="19" s="1"/>
  <c r="Q39" i="19" s="1"/>
  <c r="I39" i="19"/>
  <c r="E39" i="19"/>
  <c r="W20" i="83"/>
  <c r="S20" i="83"/>
  <c r="T20" i="83" s="1"/>
  <c r="P20" i="83" s="1"/>
  <c r="N20" i="83" s="1"/>
  <c r="O20" i="83" s="1"/>
  <c r="L20" i="83"/>
  <c r="I20" i="83"/>
  <c r="G20" i="83"/>
  <c r="Z20" i="83" s="1"/>
  <c r="AA39" i="19" l="1"/>
  <c r="Q20" i="83"/>
  <c r="AA20" i="83" s="1"/>
  <c r="AB20" i="83" s="1"/>
  <c r="K29" i="67" l="1"/>
  <c r="I27" i="61" l="1"/>
  <c r="W27" i="61"/>
  <c r="S27" i="61"/>
  <c r="T27" i="61" s="1"/>
  <c r="P27" i="61" s="1"/>
  <c r="N27" i="61" s="1"/>
  <c r="O27" i="61" s="1"/>
  <c r="L27" i="61"/>
  <c r="G27" i="61"/>
  <c r="Z27" i="61" s="1"/>
  <c r="W26" i="61"/>
  <c r="S26" i="61"/>
  <c r="T26" i="61" s="1"/>
  <c r="P26" i="61" s="1"/>
  <c r="N26" i="61" s="1"/>
  <c r="O26" i="61" s="1"/>
  <c r="L26" i="61"/>
  <c r="I26" i="61"/>
  <c r="G26" i="61"/>
  <c r="Z26" i="61" s="1"/>
  <c r="W25" i="61"/>
  <c r="S25" i="61"/>
  <c r="T25" i="61" s="1"/>
  <c r="P25" i="61" s="1"/>
  <c r="N25" i="61" s="1"/>
  <c r="O25" i="61" s="1"/>
  <c r="L25" i="61"/>
  <c r="I25" i="61"/>
  <c r="G25" i="61"/>
  <c r="Z25" i="61" s="1"/>
  <c r="Q27" i="61" l="1"/>
  <c r="AA27" i="61" s="1"/>
  <c r="AB27" i="61" s="1"/>
  <c r="Q25" i="61"/>
  <c r="AA25" i="61" s="1"/>
  <c r="AB25" i="61" s="1"/>
  <c r="Q26" i="61"/>
  <c r="AA26" i="61"/>
  <c r="AB26" i="61" s="1"/>
  <c r="AK17" i="100"/>
  <c r="W24" i="61" l="1"/>
  <c r="S24" i="61"/>
  <c r="T24" i="61" s="1"/>
  <c r="P24" i="61" s="1"/>
  <c r="N24" i="61" s="1"/>
  <c r="O24" i="61" s="1"/>
  <c r="L24" i="61"/>
  <c r="I24" i="61"/>
  <c r="G24" i="61"/>
  <c r="Z24" i="61" s="1"/>
  <c r="W23" i="61"/>
  <c r="S23" i="61"/>
  <c r="T23" i="61" s="1"/>
  <c r="P23" i="61" s="1"/>
  <c r="N23" i="61" s="1"/>
  <c r="O23" i="61" s="1"/>
  <c r="L23" i="61"/>
  <c r="I23" i="61"/>
  <c r="G23" i="61"/>
  <c r="Z23" i="61" s="1"/>
  <c r="W22" i="61"/>
  <c r="S22" i="61"/>
  <c r="T22" i="61" s="1"/>
  <c r="P22" i="61" s="1"/>
  <c r="N22" i="61" s="1"/>
  <c r="O22" i="61" s="1"/>
  <c r="L22" i="61"/>
  <c r="I22" i="61"/>
  <c r="G22" i="61"/>
  <c r="Z22" i="61" s="1"/>
  <c r="W21" i="61"/>
  <c r="S21" i="61"/>
  <c r="T21" i="61" s="1"/>
  <c r="P21" i="61" s="1"/>
  <c r="N21" i="61" s="1"/>
  <c r="O21" i="61" s="1"/>
  <c r="L21" i="61"/>
  <c r="I21" i="61"/>
  <c r="G21" i="61"/>
  <c r="Z21" i="61" s="1"/>
  <c r="W20" i="61"/>
  <c r="S20" i="61"/>
  <c r="T20" i="61" s="1"/>
  <c r="P20" i="61" s="1"/>
  <c r="N20" i="61" s="1"/>
  <c r="O20" i="61" s="1"/>
  <c r="L20" i="61"/>
  <c r="I20" i="61"/>
  <c r="G20" i="61"/>
  <c r="Z20" i="61" s="1"/>
  <c r="W19" i="61"/>
  <c r="S19" i="61"/>
  <c r="T19" i="61" s="1"/>
  <c r="P19" i="61" s="1"/>
  <c r="N19" i="61" s="1"/>
  <c r="O19" i="61" s="1"/>
  <c r="L19" i="61"/>
  <c r="I19" i="61"/>
  <c r="G19" i="61"/>
  <c r="Z19" i="61" s="1"/>
  <c r="W18" i="61"/>
  <c r="S18" i="61"/>
  <c r="T18" i="61" s="1"/>
  <c r="P18" i="61" s="1"/>
  <c r="N18" i="61" s="1"/>
  <c r="O18" i="61" s="1"/>
  <c r="L18" i="61"/>
  <c r="I18" i="61"/>
  <c r="G18" i="61"/>
  <c r="Z18" i="61" s="1"/>
  <c r="W17" i="61"/>
  <c r="S17" i="61"/>
  <c r="T17" i="61" s="1"/>
  <c r="P17" i="61" s="1"/>
  <c r="N17" i="61" s="1"/>
  <c r="O17" i="61" s="1"/>
  <c r="L17" i="61"/>
  <c r="I17" i="61"/>
  <c r="G17" i="61"/>
  <c r="Z17" i="61" s="1"/>
  <c r="W19" i="83"/>
  <c r="S19" i="83"/>
  <c r="T19" i="83" s="1"/>
  <c r="P19" i="83" s="1"/>
  <c r="N19" i="83" s="1"/>
  <c r="O19" i="83" s="1"/>
  <c r="L19" i="83"/>
  <c r="I19" i="83"/>
  <c r="G19" i="83"/>
  <c r="Z19" i="83" s="1"/>
  <c r="W18" i="83"/>
  <c r="S18" i="83"/>
  <c r="T18" i="83" s="1"/>
  <c r="P18" i="83" s="1"/>
  <c r="N18" i="83" s="1"/>
  <c r="O18" i="83" s="1"/>
  <c r="L18" i="83"/>
  <c r="I18" i="83"/>
  <c r="G18" i="83"/>
  <c r="Z18" i="83" s="1"/>
  <c r="Q18" i="83" l="1"/>
  <c r="Q19" i="83"/>
  <c r="Q21" i="61"/>
  <c r="Q24" i="61"/>
  <c r="AA24" i="61" s="1"/>
  <c r="AB24" i="61" s="1"/>
  <c r="Q20" i="61"/>
  <c r="AA20" i="61" s="1"/>
  <c r="AB20" i="61" s="1"/>
  <c r="Q22" i="61"/>
  <c r="AA22" i="61"/>
  <c r="AB22" i="61" s="1"/>
  <c r="AA21" i="61"/>
  <c r="AB21" i="61" s="1"/>
  <c r="Q23" i="61"/>
  <c r="AA23" i="61" s="1"/>
  <c r="AB23" i="61" s="1"/>
  <c r="Q17" i="61"/>
  <c r="Q18" i="61"/>
  <c r="AA18" i="61" s="1"/>
  <c r="AB18" i="61" s="1"/>
  <c r="AA17" i="61"/>
  <c r="AB17" i="61" s="1"/>
  <c r="Q19" i="61"/>
  <c r="AA19" i="61" s="1"/>
  <c r="AB19" i="61" s="1"/>
  <c r="AA19" i="83"/>
  <c r="AB19" i="83" s="1"/>
  <c r="AA18" i="83"/>
  <c r="AB18" i="83" s="1"/>
  <c r="W34" i="67" l="1"/>
  <c r="S34" i="67"/>
  <c r="T34" i="67" s="1"/>
  <c r="P34" i="67" s="1"/>
  <c r="N34" i="67" s="1"/>
  <c r="O34" i="67" s="1"/>
  <c r="Q34" i="67" s="1"/>
  <c r="L34" i="67"/>
  <c r="I34" i="67"/>
  <c r="G34" i="67"/>
  <c r="W33" i="67"/>
  <c r="S33" i="67"/>
  <c r="T33" i="67" s="1"/>
  <c r="P33" i="67" s="1"/>
  <c r="N33" i="67" s="1"/>
  <c r="O33" i="67" s="1"/>
  <c r="L33" i="67"/>
  <c r="I33" i="67"/>
  <c r="G33" i="67"/>
  <c r="W32" i="67"/>
  <c r="S32" i="67"/>
  <c r="T32" i="67" s="1"/>
  <c r="P32" i="67" s="1"/>
  <c r="N32" i="67" s="1"/>
  <c r="O32" i="67" s="1"/>
  <c r="L32" i="67"/>
  <c r="I32" i="67"/>
  <c r="G32" i="67"/>
  <c r="Q33" i="67" l="1"/>
  <c r="AA33" i="67"/>
  <c r="AA34" i="67"/>
  <c r="Q32" i="67"/>
  <c r="AA32" i="67"/>
  <c r="W38" i="19" l="1"/>
  <c r="S38" i="19"/>
  <c r="T38" i="19" s="1"/>
  <c r="P38" i="19" s="1"/>
  <c r="N38" i="19" s="1"/>
  <c r="O38" i="19" s="1"/>
  <c r="Q38" i="19" s="1"/>
  <c r="I38" i="19"/>
  <c r="E38" i="19"/>
  <c r="W31" i="67"/>
  <c r="S31" i="67"/>
  <c r="T31" i="67" s="1"/>
  <c r="P31" i="67" s="1"/>
  <c r="N31" i="67" s="1"/>
  <c r="O31" i="67" s="1"/>
  <c r="L31" i="67"/>
  <c r="I31" i="67"/>
  <c r="G31" i="67"/>
  <c r="W30" i="67"/>
  <c r="S30" i="67"/>
  <c r="T30" i="67" s="1"/>
  <c r="P30" i="67" s="1"/>
  <c r="N30" i="67" s="1"/>
  <c r="O30" i="67" s="1"/>
  <c r="L30" i="67"/>
  <c r="I30" i="67"/>
  <c r="G30" i="67"/>
  <c r="AA38" i="19" l="1"/>
  <c r="Q31" i="67"/>
  <c r="AA31" i="67"/>
  <c r="Q30" i="67"/>
  <c r="AA30" i="67" s="1"/>
  <c r="AZ3" i="11" l="1"/>
  <c r="BA3" i="11"/>
  <c r="BB3" i="11"/>
  <c r="BC3" i="11"/>
  <c r="BD3" i="11"/>
  <c r="BE3" i="11"/>
  <c r="BF3" i="11"/>
  <c r="BG3" i="11"/>
  <c r="BH3" i="11"/>
  <c r="BI3" i="11"/>
  <c r="BJ3" i="11"/>
  <c r="BK3" i="11"/>
  <c r="BL3" i="11"/>
  <c r="BM3" i="11"/>
  <c r="BN3" i="11"/>
  <c r="BO3" i="11"/>
  <c r="BP3" i="11"/>
  <c r="BQ3" i="11"/>
  <c r="BR3" i="11"/>
  <c r="BS3" i="11"/>
  <c r="BT3" i="11"/>
  <c r="BU3" i="11"/>
  <c r="BV3" i="11"/>
  <c r="BW3" i="11"/>
  <c r="BX3" i="11"/>
  <c r="BY3" i="11"/>
  <c r="BZ3" i="11"/>
  <c r="CA3" i="11"/>
  <c r="CB3" i="11"/>
  <c r="CC3" i="11"/>
  <c r="CD3" i="11"/>
  <c r="CE3" i="11"/>
  <c r="CF3" i="11"/>
  <c r="CG3" i="11"/>
  <c r="CH3" i="11"/>
  <c r="CI3" i="11"/>
  <c r="CJ3" i="11"/>
  <c r="CK3" i="11"/>
  <c r="CL3" i="11"/>
  <c r="CM3" i="11"/>
  <c r="CN3" i="11"/>
  <c r="CO3" i="11"/>
  <c r="CP3" i="11"/>
  <c r="CQ3" i="11"/>
  <c r="CR3" i="11"/>
  <c r="CS3" i="11"/>
  <c r="CT3" i="11"/>
  <c r="CU3" i="11"/>
  <c r="CV3" i="11"/>
  <c r="CW3" i="11"/>
  <c r="CX3" i="11"/>
  <c r="CY3" i="11"/>
  <c r="CZ3" i="11"/>
  <c r="DA3" i="11"/>
  <c r="DB3" i="11"/>
  <c r="DC3" i="11"/>
  <c r="DD3" i="11"/>
  <c r="DE3" i="11"/>
  <c r="DF3" i="11"/>
  <c r="DG3" i="11"/>
  <c r="DH3" i="11"/>
  <c r="DI3" i="11"/>
  <c r="DJ3" i="11"/>
  <c r="DK3" i="11"/>
  <c r="DL3" i="11"/>
  <c r="DM3" i="11"/>
  <c r="DN3" i="11"/>
  <c r="DO3" i="11"/>
  <c r="DP3" i="11"/>
  <c r="DQ3" i="11"/>
  <c r="DR3" i="11"/>
  <c r="DS3" i="11"/>
  <c r="DT3" i="11"/>
  <c r="DU3" i="11"/>
  <c r="DV3" i="11"/>
  <c r="DW3" i="11"/>
  <c r="DX3" i="11"/>
  <c r="DY3" i="11"/>
  <c r="DZ3" i="11"/>
  <c r="EA3" i="11"/>
  <c r="EB3" i="11"/>
  <c r="EC3" i="11"/>
  <c r="ED3" i="11"/>
  <c r="EE3" i="11"/>
  <c r="EF3" i="11"/>
  <c r="EG3" i="11"/>
  <c r="EH3" i="11"/>
  <c r="EI3" i="11"/>
  <c r="EJ3" i="11"/>
  <c r="EK3" i="11"/>
  <c r="EL3" i="11"/>
  <c r="EM3" i="11"/>
  <c r="EN3" i="11"/>
  <c r="EO3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BQ6" i="11"/>
  <c r="BR6" i="11"/>
  <c r="BS6" i="11"/>
  <c r="BT6" i="11"/>
  <c r="BU6" i="11"/>
  <c r="BV6" i="11"/>
  <c r="BW6" i="11"/>
  <c r="BX6" i="11"/>
  <c r="BY6" i="11"/>
  <c r="BZ6" i="11"/>
  <c r="CA6" i="11"/>
  <c r="CB6" i="11"/>
  <c r="CC6" i="11"/>
  <c r="CD6" i="11"/>
  <c r="CE6" i="11"/>
  <c r="CF6" i="11"/>
  <c r="CG6" i="11"/>
  <c r="CH6" i="11"/>
  <c r="CI6" i="11"/>
  <c r="CJ6" i="11"/>
  <c r="CK6" i="11"/>
  <c r="CL6" i="11"/>
  <c r="CM6" i="11"/>
  <c r="CN6" i="11"/>
  <c r="CO6" i="11"/>
  <c r="CP6" i="11"/>
  <c r="CQ6" i="11"/>
  <c r="CR6" i="11"/>
  <c r="CS6" i="11"/>
  <c r="CT6" i="11"/>
  <c r="CU6" i="11"/>
  <c r="CV6" i="11"/>
  <c r="CW6" i="11"/>
  <c r="CX6" i="11"/>
  <c r="CY6" i="11"/>
  <c r="CZ6" i="11"/>
  <c r="DA6" i="11"/>
  <c r="DB6" i="11"/>
  <c r="DC6" i="11"/>
  <c r="DD6" i="11"/>
  <c r="DE6" i="11"/>
  <c r="DF6" i="11"/>
  <c r="DG6" i="11"/>
  <c r="DH6" i="11"/>
  <c r="DI6" i="11"/>
  <c r="DJ6" i="11"/>
  <c r="DK6" i="11"/>
  <c r="DL6" i="11"/>
  <c r="DM6" i="11"/>
  <c r="DN6" i="11"/>
  <c r="DO6" i="11"/>
  <c r="DP6" i="11"/>
  <c r="DQ6" i="11"/>
  <c r="DR6" i="11"/>
  <c r="DS6" i="11"/>
  <c r="DT6" i="11"/>
  <c r="DU6" i="11"/>
  <c r="DV6" i="11"/>
  <c r="DW6" i="11"/>
  <c r="DX6" i="11"/>
  <c r="DY6" i="11"/>
  <c r="DZ6" i="11"/>
  <c r="EA6" i="11"/>
  <c r="EB6" i="11"/>
  <c r="EC6" i="11"/>
  <c r="ED6" i="11"/>
  <c r="EE6" i="11"/>
  <c r="EF6" i="11"/>
  <c r="EG6" i="11"/>
  <c r="EH6" i="11"/>
  <c r="EI6" i="11"/>
  <c r="EJ6" i="11"/>
  <c r="EK6" i="11"/>
  <c r="EL6" i="11"/>
  <c r="EM6" i="11"/>
  <c r="EN6" i="11"/>
  <c r="EO6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BS7" i="11"/>
  <c r="BT7" i="11"/>
  <c r="BU7" i="11"/>
  <c r="BV7" i="11"/>
  <c r="BW7" i="11"/>
  <c r="BX7" i="11"/>
  <c r="BY7" i="11"/>
  <c r="BZ7" i="11"/>
  <c r="CA7" i="11"/>
  <c r="CB7" i="11"/>
  <c r="CC7" i="11"/>
  <c r="CD7" i="11"/>
  <c r="CE7" i="11"/>
  <c r="CF7" i="11"/>
  <c r="CG7" i="11"/>
  <c r="CH7" i="11"/>
  <c r="CI7" i="11"/>
  <c r="CJ7" i="11"/>
  <c r="CK7" i="11"/>
  <c r="CL7" i="11"/>
  <c r="CM7" i="11"/>
  <c r="CN7" i="11"/>
  <c r="CO7" i="11"/>
  <c r="CP7" i="11"/>
  <c r="CQ7" i="11"/>
  <c r="CR7" i="11"/>
  <c r="CS7" i="11"/>
  <c r="CT7" i="11"/>
  <c r="CU7" i="11"/>
  <c r="CV7" i="11"/>
  <c r="CW7" i="11"/>
  <c r="CX7" i="11"/>
  <c r="CY7" i="11"/>
  <c r="CZ7" i="11"/>
  <c r="DA7" i="11"/>
  <c r="DB7" i="11"/>
  <c r="DC7" i="11"/>
  <c r="DD7" i="11"/>
  <c r="DE7" i="11"/>
  <c r="DF7" i="11"/>
  <c r="DG7" i="11"/>
  <c r="DH7" i="11"/>
  <c r="DI7" i="11"/>
  <c r="DJ7" i="11"/>
  <c r="DK7" i="11"/>
  <c r="DL7" i="11"/>
  <c r="DM7" i="11"/>
  <c r="DN7" i="11"/>
  <c r="DO7" i="11"/>
  <c r="DP7" i="11"/>
  <c r="DQ7" i="11"/>
  <c r="DR7" i="11"/>
  <c r="DS7" i="11"/>
  <c r="DT7" i="11"/>
  <c r="DU7" i="11"/>
  <c r="DV7" i="11"/>
  <c r="DW7" i="11"/>
  <c r="DX7" i="11"/>
  <c r="DY7" i="11"/>
  <c r="DZ7" i="11"/>
  <c r="EA7" i="11"/>
  <c r="EB7" i="11"/>
  <c r="EC7" i="11"/>
  <c r="ED7" i="11"/>
  <c r="EE7" i="11"/>
  <c r="EF7" i="11"/>
  <c r="EG7" i="11"/>
  <c r="EH7" i="11"/>
  <c r="EI7" i="11"/>
  <c r="EJ7" i="11"/>
  <c r="EK7" i="11"/>
  <c r="EL7" i="11"/>
  <c r="EM7" i="11"/>
  <c r="EN7" i="11"/>
  <c r="EO7" i="11"/>
  <c r="AZ8" i="11"/>
  <c r="AZ9" i="11" s="1"/>
  <c r="BA8" i="11"/>
  <c r="BA9" i="11" s="1"/>
  <c r="BB8" i="11"/>
  <c r="BB9" i="11" s="1"/>
  <c r="BC8" i="11"/>
  <c r="BC9" i="11" s="1"/>
  <c r="BD8" i="11"/>
  <c r="BD9" i="11" s="1"/>
  <c r="BE8" i="11"/>
  <c r="BE9" i="11" s="1"/>
  <c r="BF8" i="11"/>
  <c r="BF9" i="11" s="1"/>
  <c r="BG8" i="11"/>
  <c r="BG9" i="11" s="1"/>
  <c r="BH8" i="11"/>
  <c r="BH9" i="11" s="1"/>
  <c r="BI8" i="11"/>
  <c r="BI9" i="11" s="1"/>
  <c r="BJ8" i="11"/>
  <c r="BK8" i="11"/>
  <c r="BL8" i="11"/>
  <c r="BL9" i="11" s="1"/>
  <c r="BM8" i="11"/>
  <c r="BM9" i="11" s="1"/>
  <c r="BN8" i="11"/>
  <c r="BN9" i="11" s="1"/>
  <c r="BO8" i="11"/>
  <c r="BO9" i="11" s="1"/>
  <c r="BP8" i="11"/>
  <c r="BQ8" i="11"/>
  <c r="BQ9" i="11" s="1"/>
  <c r="BR8" i="11"/>
  <c r="BR9" i="11" s="1"/>
  <c r="BS8" i="11"/>
  <c r="BT8" i="11"/>
  <c r="BU8" i="11"/>
  <c r="BV8" i="11"/>
  <c r="BV9" i="11" s="1"/>
  <c r="BW8" i="11"/>
  <c r="BW9" i="11" s="1"/>
  <c r="BX8" i="11"/>
  <c r="BX9" i="11" s="1"/>
  <c r="BY8" i="11"/>
  <c r="BY9" i="11" s="1"/>
  <c r="BZ8" i="11"/>
  <c r="CA8" i="11"/>
  <c r="CA9" i="11" s="1"/>
  <c r="CB8" i="11"/>
  <c r="CB9" i="11" s="1"/>
  <c r="CC8" i="11"/>
  <c r="CC9" i="11" s="1"/>
  <c r="CD8" i="11"/>
  <c r="CD9" i="11" s="1"/>
  <c r="CE8" i="11"/>
  <c r="CE9" i="11" s="1"/>
  <c r="CF8" i="11"/>
  <c r="CF9" i="11" s="1"/>
  <c r="CG8" i="11"/>
  <c r="CG9" i="11" s="1"/>
  <c r="CH8" i="11"/>
  <c r="CH9" i="11" s="1"/>
  <c r="CI8" i="11"/>
  <c r="CJ8" i="11"/>
  <c r="CJ9" i="11" s="1"/>
  <c r="CK8" i="11"/>
  <c r="CK9" i="11" s="1"/>
  <c r="CL8" i="11"/>
  <c r="CL9" i="11" s="1"/>
  <c r="CM8" i="11"/>
  <c r="CM9" i="11" s="1"/>
  <c r="CN8" i="11"/>
  <c r="CN9" i="11" s="1"/>
  <c r="CO8" i="11"/>
  <c r="CO9" i="11" s="1"/>
  <c r="CP8" i="11"/>
  <c r="CP9" i="11" s="1"/>
  <c r="CQ8" i="11"/>
  <c r="CQ9" i="11" s="1"/>
  <c r="CR8" i="11"/>
  <c r="CR9" i="11" s="1"/>
  <c r="CS8" i="11"/>
  <c r="CS9" i="11" s="1"/>
  <c r="CT8" i="11"/>
  <c r="CU8" i="11"/>
  <c r="CU9" i="11" s="1"/>
  <c r="CV8" i="11"/>
  <c r="CV9" i="11" s="1"/>
  <c r="CW8" i="11"/>
  <c r="CW9" i="11" s="1"/>
  <c r="CX8" i="11"/>
  <c r="CX9" i="11" s="1"/>
  <c r="CY8" i="11"/>
  <c r="CY9" i="11" s="1"/>
  <c r="CZ8" i="11"/>
  <c r="CZ9" i="11" s="1"/>
  <c r="DA8" i="11"/>
  <c r="DA9" i="11" s="1"/>
  <c r="DB8" i="11"/>
  <c r="DB9" i="11" s="1"/>
  <c r="DC8" i="11"/>
  <c r="DC9" i="11" s="1"/>
  <c r="DD8" i="11"/>
  <c r="DD9" i="11" s="1"/>
  <c r="DE8" i="11"/>
  <c r="DE9" i="11" s="1"/>
  <c r="DF8" i="11"/>
  <c r="DF9" i="11" s="1"/>
  <c r="DG8" i="11"/>
  <c r="DG9" i="11" s="1"/>
  <c r="DH8" i="11"/>
  <c r="DH9" i="11" s="1"/>
  <c r="DI8" i="11"/>
  <c r="DI9" i="11" s="1"/>
  <c r="DJ8" i="11"/>
  <c r="DJ9" i="11" s="1"/>
  <c r="DK8" i="11"/>
  <c r="DK9" i="11" s="1"/>
  <c r="DL8" i="11"/>
  <c r="DL9" i="11" s="1"/>
  <c r="DM8" i="11"/>
  <c r="DM9" i="11" s="1"/>
  <c r="DN8" i="11"/>
  <c r="DN9" i="11" s="1"/>
  <c r="DO8" i="11"/>
  <c r="DO9" i="11" s="1"/>
  <c r="DP8" i="11"/>
  <c r="DP9" i="11" s="1"/>
  <c r="DQ8" i="11"/>
  <c r="DQ9" i="11" s="1"/>
  <c r="DR8" i="11"/>
  <c r="DR9" i="11" s="1"/>
  <c r="DS8" i="11"/>
  <c r="DS9" i="11" s="1"/>
  <c r="DT8" i="11"/>
  <c r="DT9" i="11" s="1"/>
  <c r="DU8" i="11"/>
  <c r="DU9" i="11" s="1"/>
  <c r="DV8" i="11"/>
  <c r="DV9" i="11" s="1"/>
  <c r="DW8" i="11"/>
  <c r="DW9" i="11" s="1"/>
  <c r="DX8" i="11"/>
  <c r="DX9" i="11" s="1"/>
  <c r="DY8" i="11"/>
  <c r="DY9" i="11" s="1"/>
  <c r="DZ8" i="11"/>
  <c r="DZ9" i="11" s="1"/>
  <c r="EA8" i="11"/>
  <c r="EA9" i="11" s="1"/>
  <c r="EB8" i="11"/>
  <c r="EB9" i="11" s="1"/>
  <c r="EC8" i="11"/>
  <c r="EC9" i="11" s="1"/>
  <c r="ED8" i="11"/>
  <c r="ED9" i="11" s="1"/>
  <c r="EE8" i="11"/>
  <c r="EE9" i="11" s="1"/>
  <c r="EF8" i="11"/>
  <c r="EF9" i="11" s="1"/>
  <c r="EG8" i="11"/>
  <c r="EG9" i="11" s="1"/>
  <c r="EH8" i="11"/>
  <c r="EH9" i="11" s="1"/>
  <c r="EI8" i="11"/>
  <c r="EI9" i="11" s="1"/>
  <c r="EJ8" i="11"/>
  <c r="EJ9" i="11" s="1"/>
  <c r="EK8" i="11"/>
  <c r="EK9" i="11" s="1"/>
  <c r="EL8" i="11"/>
  <c r="EL9" i="11" s="1"/>
  <c r="EM8" i="11"/>
  <c r="EM9" i="11" s="1"/>
  <c r="EN8" i="11"/>
  <c r="EN9" i="11" s="1"/>
  <c r="EO8" i="11"/>
  <c r="EO9" i="11" s="1"/>
  <c r="AZ10" i="11"/>
  <c r="AZ11" i="11" s="1"/>
  <c r="BA10" i="11"/>
  <c r="BA11" i="11" s="1"/>
  <c r="BB10" i="11"/>
  <c r="BB11" i="11" s="1"/>
  <c r="BC10" i="11"/>
  <c r="BC11" i="11" s="1"/>
  <c r="BD10" i="11"/>
  <c r="BD11" i="11" s="1"/>
  <c r="BE10" i="11"/>
  <c r="BE11" i="11" s="1"/>
  <c r="BF10" i="11"/>
  <c r="BF11" i="11" s="1"/>
  <c r="BG10" i="11"/>
  <c r="BG11" i="11" s="1"/>
  <c r="BH10" i="11"/>
  <c r="BH11" i="11" s="1"/>
  <c r="BI10" i="11"/>
  <c r="BI11" i="11" s="1"/>
  <c r="BJ10" i="11"/>
  <c r="BJ11" i="11" s="1"/>
  <c r="BK10" i="11"/>
  <c r="BL10" i="11"/>
  <c r="BL11" i="11" s="1"/>
  <c r="BM10" i="11"/>
  <c r="BM11" i="11" s="1"/>
  <c r="BN10" i="11"/>
  <c r="BN11" i="11" s="1"/>
  <c r="BO10" i="11"/>
  <c r="BO11" i="11" s="1"/>
  <c r="BP10" i="11"/>
  <c r="BP11" i="11" s="1"/>
  <c r="BQ10" i="11"/>
  <c r="BQ11" i="11" s="1"/>
  <c r="BR10" i="11"/>
  <c r="BR11" i="11" s="1"/>
  <c r="BS10" i="11"/>
  <c r="BS11" i="11" s="1"/>
  <c r="BT10" i="11"/>
  <c r="BT11" i="11" s="1"/>
  <c r="BU10" i="11"/>
  <c r="BU11" i="11" s="1"/>
  <c r="BV10" i="11"/>
  <c r="BV11" i="11" s="1"/>
  <c r="BW10" i="11"/>
  <c r="BW11" i="11" s="1"/>
  <c r="BX10" i="11"/>
  <c r="BX11" i="11" s="1"/>
  <c r="BY10" i="11"/>
  <c r="BY11" i="11" s="1"/>
  <c r="BZ10" i="11"/>
  <c r="BZ11" i="11" s="1"/>
  <c r="CA10" i="11"/>
  <c r="CA11" i="11" s="1"/>
  <c r="CB10" i="11"/>
  <c r="CB11" i="11" s="1"/>
  <c r="CC10" i="11"/>
  <c r="CC11" i="11" s="1"/>
  <c r="CD10" i="11"/>
  <c r="CD11" i="11" s="1"/>
  <c r="CE10" i="11"/>
  <c r="CE11" i="11" s="1"/>
  <c r="CF10" i="11"/>
  <c r="CF11" i="11" s="1"/>
  <c r="CG10" i="11"/>
  <c r="CG11" i="11" s="1"/>
  <c r="CH10" i="11"/>
  <c r="CH11" i="11" s="1"/>
  <c r="CI10" i="11"/>
  <c r="CI11" i="11" s="1"/>
  <c r="CJ10" i="11"/>
  <c r="CJ11" i="11" s="1"/>
  <c r="CK10" i="11"/>
  <c r="CK11" i="11" s="1"/>
  <c r="CL10" i="11"/>
  <c r="CL11" i="11" s="1"/>
  <c r="CM10" i="11"/>
  <c r="CM11" i="11" s="1"/>
  <c r="CN10" i="11"/>
  <c r="CN11" i="11" s="1"/>
  <c r="CO10" i="11"/>
  <c r="CO11" i="11" s="1"/>
  <c r="CP10" i="11"/>
  <c r="CP11" i="11" s="1"/>
  <c r="CQ10" i="11"/>
  <c r="CQ11" i="11" s="1"/>
  <c r="CR10" i="11"/>
  <c r="CR11" i="11" s="1"/>
  <c r="CS10" i="11"/>
  <c r="CS11" i="11" s="1"/>
  <c r="CT10" i="11"/>
  <c r="CT11" i="11" s="1"/>
  <c r="CX10" i="11"/>
  <c r="CX11" i="11" s="1"/>
  <c r="DG10" i="11"/>
  <c r="DH10" i="11"/>
  <c r="DI10" i="11"/>
  <c r="DJ10" i="11"/>
  <c r="DK10" i="11"/>
  <c r="DL10" i="11"/>
  <c r="DM10" i="11"/>
  <c r="DN10" i="11"/>
  <c r="DO10" i="11"/>
  <c r="DP10" i="11"/>
  <c r="DQ10" i="11"/>
  <c r="DR10" i="11"/>
  <c r="DS10" i="11"/>
  <c r="DT10" i="11"/>
  <c r="DU10" i="11"/>
  <c r="DV10" i="11"/>
  <c r="DW10" i="11"/>
  <c r="DX10" i="11"/>
  <c r="DY10" i="11"/>
  <c r="DZ10" i="11"/>
  <c r="EA10" i="11"/>
  <c r="EB10" i="11"/>
  <c r="EC10" i="11"/>
  <c r="ED10" i="11"/>
  <c r="EE10" i="11"/>
  <c r="EF10" i="11"/>
  <c r="EG10" i="11"/>
  <c r="EH10" i="11"/>
  <c r="EI10" i="11"/>
  <c r="EJ10" i="11"/>
  <c r="EK10" i="11"/>
  <c r="EL10" i="11"/>
  <c r="EM10" i="11"/>
  <c r="EN10" i="11"/>
  <c r="EO10" i="11"/>
  <c r="BK11" i="11"/>
  <c r="DG11" i="11"/>
  <c r="DH11" i="11"/>
  <c r="DI11" i="11"/>
  <c r="DJ11" i="11"/>
  <c r="DK11" i="11"/>
  <c r="DL11" i="11"/>
  <c r="DM11" i="11"/>
  <c r="DN11" i="11"/>
  <c r="DO11" i="11"/>
  <c r="DP11" i="11"/>
  <c r="DQ11" i="11"/>
  <c r="DR11" i="11"/>
  <c r="DS11" i="11"/>
  <c r="DT11" i="11"/>
  <c r="DU11" i="11"/>
  <c r="DV11" i="11"/>
  <c r="DW11" i="11"/>
  <c r="DX11" i="11"/>
  <c r="DY11" i="11"/>
  <c r="DZ11" i="11"/>
  <c r="EA11" i="11"/>
  <c r="EB11" i="11"/>
  <c r="EC11" i="11"/>
  <c r="ED11" i="11"/>
  <c r="EE11" i="11"/>
  <c r="EF11" i="11"/>
  <c r="EG11" i="11"/>
  <c r="EH11" i="11"/>
  <c r="EI11" i="11"/>
  <c r="EJ11" i="11"/>
  <c r="EK11" i="11"/>
  <c r="EL11" i="11"/>
  <c r="EM11" i="11"/>
  <c r="EN11" i="11"/>
  <c r="EO11" i="11"/>
  <c r="AY3" i="11"/>
  <c r="AY6" i="11"/>
  <c r="AY7" i="11"/>
  <c r="AY8" i="11"/>
  <c r="AY9" i="11" s="1"/>
  <c r="AY10" i="11"/>
  <c r="AY11" i="11" s="1"/>
  <c r="BB12" i="11" l="1"/>
  <c r="EN2" i="11"/>
  <c r="EF2" i="11"/>
  <c r="DX2" i="11"/>
  <c r="DP2" i="11"/>
  <c r="CR2" i="11"/>
  <c r="CG2" i="11"/>
  <c r="BY2" i="11"/>
  <c r="BT2" i="11"/>
  <c r="BH2" i="11"/>
  <c r="EO12" i="11"/>
  <c r="DQ2" i="11"/>
  <c r="CH12" i="11"/>
  <c r="BI12" i="11"/>
  <c r="DM12" i="11"/>
  <c r="EH12" i="11"/>
  <c r="DR12" i="11"/>
  <c r="CT12" i="11"/>
  <c r="CA12" i="11"/>
  <c r="BJ12" i="11"/>
  <c r="DJ12" i="11"/>
  <c r="BO12" i="11"/>
  <c r="BG12" i="11"/>
  <c r="EI2" i="11"/>
  <c r="DK12" i="11"/>
  <c r="CM2" i="11"/>
  <c r="CJ2" i="11"/>
  <c r="CB2" i="11"/>
  <c r="CO12" i="11"/>
  <c r="BQ12" i="11"/>
  <c r="DI12" i="11"/>
  <c r="EC12" i="11"/>
  <c r="BV12" i="11"/>
  <c r="BM12" i="11"/>
  <c r="BK12" i="11"/>
  <c r="BC12" i="11"/>
  <c r="AZ2" i="11"/>
  <c r="CM12" i="11"/>
  <c r="CJ12" i="11"/>
  <c r="CK2" i="11"/>
  <c r="BJ2" i="11"/>
  <c r="EG2" i="11"/>
  <c r="CS2" i="11"/>
  <c r="CI2" i="11"/>
  <c r="BG2" i="11"/>
  <c r="EE2" i="11"/>
  <c r="DW2" i="11"/>
  <c r="CQ2" i="11"/>
  <c r="BX2" i="11"/>
  <c r="BS2" i="11"/>
  <c r="DH12" i="11"/>
  <c r="BP12" i="11"/>
  <c r="CO2" i="11"/>
  <c r="CH2" i="11"/>
  <c r="BU2" i="11"/>
  <c r="BE2" i="11"/>
  <c r="DG12" i="11"/>
  <c r="CN2" i="11"/>
  <c r="BD2" i="11"/>
  <c r="DU2" i="11"/>
  <c r="CL2" i="11"/>
  <c r="DZ2" i="11"/>
  <c r="EO2" i="11"/>
  <c r="DY2" i="11"/>
  <c r="CA2" i="11"/>
  <c r="BM2" i="11"/>
  <c r="BK2" i="11"/>
  <c r="EH2" i="11"/>
  <c r="DT2" i="11"/>
  <c r="BZ2" i="11"/>
  <c r="BL2" i="11"/>
  <c r="BA2" i="11"/>
  <c r="DO2" i="11"/>
  <c r="DO12" i="11"/>
  <c r="CD2" i="11"/>
  <c r="CD12" i="11"/>
  <c r="EM2" i="11"/>
  <c r="EM12" i="11"/>
  <c r="EE12" i="11"/>
  <c r="DW12" i="11"/>
  <c r="CQ12" i="11"/>
  <c r="BX12" i="11"/>
  <c r="EK2" i="11"/>
  <c r="EK12" i="11"/>
  <c r="CL12" i="11"/>
  <c r="DU12" i="11"/>
  <c r="EA2" i="11"/>
  <c r="EA12" i="11"/>
  <c r="DS2" i="11"/>
  <c r="DS12" i="11"/>
  <c r="CF2" i="11"/>
  <c r="CF12" i="11"/>
  <c r="BS12" i="11"/>
  <c r="DM2" i="11"/>
  <c r="BC2" i="11"/>
  <c r="AY2" i="11"/>
  <c r="DL2" i="11"/>
  <c r="CT2" i="11"/>
  <c r="BB2" i="11"/>
  <c r="CR12" i="11"/>
  <c r="CG12" i="11"/>
  <c r="BT12" i="11"/>
  <c r="BH12" i="11"/>
  <c r="DZ12" i="11"/>
  <c r="DG2" i="11"/>
  <c r="EN12" i="11"/>
  <c r="EF12" i="11"/>
  <c r="DX12" i="11"/>
  <c r="DP12" i="11"/>
  <c r="BY12" i="11"/>
  <c r="AZ12" i="11"/>
  <c r="DH2" i="11"/>
  <c r="BP2" i="11"/>
  <c r="EI12" i="11"/>
  <c r="EG12" i="11"/>
  <c r="EC2" i="11"/>
  <c r="DK2" i="11"/>
  <c r="BA12" i="11"/>
  <c r="EB2" i="11"/>
  <c r="DJ2" i="11"/>
  <c r="BI2" i="11"/>
  <c r="BO2" i="11"/>
  <c r="DY12" i="11"/>
  <c r="BU12" i="11"/>
  <c r="CB12" i="11"/>
  <c r="BE12" i="11"/>
  <c r="BZ12" i="11"/>
  <c r="BV2" i="11"/>
  <c r="CS12" i="11"/>
  <c r="DQ12" i="11"/>
  <c r="CI12" i="11"/>
  <c r="EJ2" i="11"/>
  <c r="DR2" i="11"/>
  <c r="DI2" i="11"/>
  <c r="CC2" i="11"/>
  <c r="BQ2" i="11"/>
  <c r="EL12" i="11"/>
  <c r="EL2" i="11"/>
  <c r="ED12" i="11"/>
  <c r="ED2" i="11"/>
  <c r="DV2" i="11"/>
  <c r="DV12" i="11"/>
  <c r="DN2" i="11"/>
  <c r="DN12" i="11"/>
  <c r="CX12" i="11"/>
  <c r="CX2" i="11"/>
  <c r="CP12" i="11"/>
  <c r="CP2" i="11"/>
  <c r="CE12" i="11"/>
  <c r="CE2" i="11"/>
  <c r="BW2" i="11"/>
  <c r="BW12" i="11"/>
  <c r="BR2" i="11"/>
  <c r="BR12" i="11"/>
  <c r="BN12" i="11"/>
  <c r="BN2" i="11"/>
  <c r="BF12" i="11"/>
  <c r="BF2" i="11"/>
  <c r="EJ12" i="11"/>
  <c r="EB12" i="11"/>
  <c r="DT12" i="11"/>
  <c r="DL12" i="11"/>
  <c r="CN12" i="11"/>
  <c r="CK12" i="11"/>
  <c r="CC12" i="11"/>
  <c r="BL12" i="11"/>
  <c r="BD12" i="11"/>
  <c r="AY12" i="11"/>
  <c r="W39" i="100" l="1"/>
  <c r="BU10" i="100" s="1"/>
  <c r="BU11" i="100" s="1"/>
  <c r="BU12" i="100" s="1"/>
  <c r="S39" i="100"/>
  <c r="T39" i="100" s="1"/>
  <c r="P39" i="100" s="1"/>
  <c r="N39" i="100" s="1"/>
  <c r="O39" i="100" s="1"/>
  <c r="L39" i="100"/>
  <c r="I39" i="100"/>
  <c r="G39" i="100"/>
  <c r="Z39" i="100" s="1"/>
  <c r="W38" i="100"/>
  <c r="S38" i="100"/>
  <c r="T38" i="100" s="1"/>
  <c r="P38" i="100" s="1"/>
  <c r="N38" i="100" s="1"/>
  <c r="O38" i="100" s="1"/>
  <c r="L38" i="100"/>
  <c r="I38" i="100"/>
  <c r="G38" i="100"/>
  <c r="Z38" i="100" s="1"/>
  <c r="Q39" i="100" l="1"/>
  <c r="AA39" i="100" s="1"/>
  <c r="AB39" i="100" s="1"/>
  <c r="Q38" i="100"/>
  <c r="AA38" i="100" s="1"/>
  <c r="AB38" i="100" s="1"/>
  <c r="V45" i="11" l="1"/>
  <c r="W45" i="11" s="1"/>
  <c r="S45" i="11" s="1"/>
  <c r="Q45" i="11" s="1"/>
  <c r="R45" i="11" s="1"/>
  <c r="O45" i="11"/>
  <c r="L45" i="11"/>
  <c r="G45" i="11"/>
  <c r="T45" i="11" l="1"/>
  <c r="AD45" i="11" s="1"/>
  <c r="W17" i="83" l="1"/>
  <c r="S17" i="83"/>
  <c r="T17" i="83" s="1"/>
  <c r="P17" i="83" s="1"/>
  <c r="N17" i="83" s="1"/>
  <c r="O17" i="83" s="1"/>
  <c r="L17" i="83"/>
  <c r="I17" i="83"/>
  <c r="G17" i="83"/>
  <c r="Z17" i="83" s="1"/>
  <c r="Q17" i="83" l="1"/>
  <c r="AA17" i="83" s="1"/>
  <c r="AB17" i="83" s="1"/>
  <c r="K23" i="67"/>
  <c r="J13" i="102" l="1"/>
  <c r="G13" i="102"/>
  <c r="G14" i="89"/>
  <c r="V14" i="102"/>
  <c r="W14" i="102" s="1"/>
  <c r="S14" i="102" s="1"/>
  <c r="Q14" i="102" s="1"/>
  <c r="R14" i="102" s="1"/>
  <c r="O14" i="102"/>
  <c r="L14" i="102"/>
  <c r="V13" i="102"/>
  <c r="W13" i="102" s="1"/>
  <c r="S13" i="102" s="1"/>
  <c r="Q13" i="102" s="1"/>
  <c r="R13" i="102" s="1"/>
  <c r="O13" i="102"/>
  <c r="L13" i="102"/>
  <c r="AJ11" i="102"/>
  <c r="AO10" i="102"/>
  <c r="AO11" i="102" s="1"/>
  <c r="AN10" i="102"/>
  <c r="AN11" i="102" s="1"/>
  <c r="AM10" i="102"/>
  <c r="AM11" i="102" s="1"/>
  <c r="AL10" i="102"/>
  <c r="AL11" i="102" s="1"/>
  <c r="AK10" i="102"/>
  <c r="AK11" i="102" s="1"/>
  <c r="AJ10" i="102"/>
  <c r="AI10" i="102"/>
  <c r="AI11" i="102" s="1"/>
  <c r="AH10" i="102"/>
  <c r="AH11" i="102" s="1"/>
  <c r="AG10" i="102"/>
  <c r="AG11" i="102" s="1"/>
  <c r="AO8" i="102"/>
  <c r="AO9" i="102" s="1"/>
  <c r="AN8" i="102"/>
  <c r="AN9" i="102" s="1"/>
  <c r="AM8" i="102"/>
  <c r="AM9" i="102" s="1"/>
  <c r="AL8" i="102"/>
  <c r="AL9" i="102" s="1"/>
  <c r="AK8" i="102"/>
  <c r="AK9" i="102" s="1"/>
  <c r="AJ8" i="102"/>
  <c r="AJ9" i="102" s="1"/>
  <c r="AJ2" i="102" s="1"/>
  <c r="AI8" i="102"/>
  <c r="AI9" i="102" s="1"/>
  <c r="AH8" i="102"/>
  <c r="AH9" i="102" s="1"/>
  <c r="AG8" i="102"/>
  <c r="AG9" i="102" s="1"/>
  <c r="AO7" i="102"/>
  <c r="AN7" i="102"/>
  <c r="AM7" i="102"/>
  <c r="AL7" i="102"/>
  <c r="AK7" i="102"/>
  <c r="AJ7" i="102"/>
  <c r="AI7" i="102"/>
  <c r="AH7" i="102"/>
  <c r="AG7" i="102"/>
  <c r="AO6" i="102"/>
  <c r="AN6" i="102"/>
  <c r="AM6" i="102"/>
  <c r="AL6" i="102"/>
  <c r="AK6" i="102"/>
  <c r="AJ6" i="102"/>
  <c r="AI6" i="102"/>
  <c r="AH6" i="102"/>
  <c r="AG6" i="102"/>
  <c r="AO3" i="102"/>
  <c r="AN3" i="102"/>
  <c r="AM3" i="102"/>
  <c r="AL3" i="102"/>
  <c r="AK3" i="102"/>
  <c r="AJ3" i="102"/>
  <c r="AI3" i="102"/>
  <c r="AH3" i="102"/>
  <c r="AG3" i="102"/>
  <c r="AN2" i="102" l="1"/>
  <c r="AL2" i="102"/>
  <c r="AK2" i="102"/>
  <c r="T13" i="102"/>
  <c r="AC14" i="102"/>
  <c r="T14" i="102"/>
  <c r="AJ12" i="102"/>
  <c r="AM2" i="102"/>
  <c r="AG2" i="102"/>
  <c r="AO2" i="102"/>
  <c r="AH2" i="102"/>
  <c r="AI2" i="102"/>
  <c r="AC13" i="102"/>
  <c r="AH12" i="102"/>
  <c r="AM12" i="102"/>
  <c r="AK12" i="102"/>
  <c r="AG12" i="102"/>
  <c r="AO12" i="102"/>
  <c r="AL12" i="102"/>
  <c r="AN12" i="102"/>
  <c r="AD13" i="102"/>
  <c r="I13" i="102"/>
  <c r="AI12" i="102"/>
  <c r="Z44" i="11"/>
  <c r="DF10" i="11" s="1"/>
  <c r="DF11" i="11" s="1"/>
  <c r="J44" i="11"/>
  <c r="V44" i="11"/>
  <c r="W44" i="11" s="1"/>
  <c r="S44" i="11" s="1"/>
  <c r="Q44" i="11" s="1"/>
  <c r="R44" i="11" s="1"/>
  <c r="O44" i="11"/>
  <c r="L44" i="11"/>
  <c r="G44" i="11"/>
  <c r="W23" i="99"/>
  <c r="S23" i="99"/>
  <c r="T23" i="99" s="1"/>
  <c r="P23" i="99" s="1"/>
  <c r="N23" i="99" s="1"/>
  <c r="O23" i="99" s="1"/>
  <c r="L23" i="99"/>
  <c r="I23" i="99"/>
  <c r="G23" i="99"/>
  <c r="W21" i="99"/>
  <c r="S21" i="99"/>
  <c r="T21" i="99" s="1"/>
  <c r="P21" i="99" s="1"/>
  <c r="N21" i="99" s="1"/>
  <c r="O21" i="99" s="1"/>
  <c r="L21" i="99"/>
  <c r="I21" i="99"/>
  <c r="G21" i="99"/>
  <c r="BG6" i="99" l="1"/>
  <c r="AS6" i="99"/>
  <c r="AQ6" i="99"/>
  <c r="BE6" i="99"/>
  <c r="DF12" i="11"/>
  <c r="DF2" i="11"/>
  <c r="DD10" i="11"/>
  <c r="DD11" i="11" s="1"/>
  <c r="DD12" i="11" s="1"/>
  <c r="DE10" i="11"/>
  <c r="DE11" i="11" s="1"/>
  <c r="CY10" i="11"/>
  <c r="CY11" i="11" s="1"/>
  <c r="CY12" i="11" s="1"/>
  <c r="CZ10" i="11"/>
  <c r="CZ11" i="11" s="1"/>
  <c r="DA10" i="11"/>
  <c r="DA11" i="11" s="1"/>
  <c r="DB10" i="11"/>
  <c r="DB11" i="11" s="1"/>
  <c r="DC10" i="11"/>
  <c r="DC11" i="11" s="1"/>
  <c r="CV10" i="11"/>
  <c r="CV11" i="11" s="1"/>
  <c r="CU10" i="11"/>
  <c r="CU11" i="11" s="1"/>
  <c r="CW10" i="11"/>
  <c r="CW11" i="11" s="1"/>
  <c r="AE13" i="102"/>
  <c r="I14" i="102"/>
  <c r="AD14" i="102"/>
  <c r="AE14" i="102" s="1"/>
  <c r="T44" i="11"/>
  <c r="Q23" i="99"/>
  <c r="AA23" i="99"/>
  <c r="Q21" i="99"/>
  <c r="AA21" i="99"/>
  <c r="DD2" i="11" l="1"/>
  <c r="CY2" i="11"/>
  <c r="DE2" i="11"/>
  <c r="DE12" i="11"/>
  <c r="DC12" i="11"/>
  <c r="DC2" i="11"/>
  <c r="DB12" i="11"/>
  <c r="DB2" i="11"/>
  <c r="DA12" i="11"/>
  <c r="DA2" i="11"/>
  <c r="CZ2" i="11"/>
  <c r="CZ12" i="11"/>
  <c r="CW2" i="11"/>
  <c r="CW12" i="11"/>
  <c r="CU12" i="11"/>
  <c r="CU2" i="11"/>
  <c r="CV12" i="11"/>
  <c r="CV2" i="11"/>
  <c r="AD44" i="11"/>
  <c r="N43" i="11" l="1"/>
  <c r="O43" i="11" s="1"/>
  <c r="V43" i="11"/>
  <c r="W43" i="11" s="1"/>
  <c r="S43" i="11" s="1"/>
  <c r="L43" i="11"/>
  <c r="G43" i="11"/>
  <c r="Q43" i="11" l="1"/>
  <c r="R43" i="11" s="1"/>
  <c r="T43" i="11" s="1"/>
  <c r="AD43" i="11" l="1"/>
  <c r="V42" i="11" l="1"/>
  <c r="W42" i="11" s="1"/>
  <c r="S42" i="11" s="1"/>
  <c r="Q42" i="11" s="1"/>
  <c r="R42" i="11" s="1"/>
  <c r="O42" i="11"/>
  <c r="L42" i="11"/>
  <c r="G42" i="11"/>
  <c r="T42" i="11" l="1"/>
  <c r="AD42" i="11" l="1"/>
  <c r="W16" i="83"/>
  <c r="S16" i="83"/>
  <c r="T16" i="83" s="1"/>
  <c r="P16" i="83" s="1"/>
  <c r="N16" i="83" s="1"/>
  <c r="O16" i="83" s="1"/>
  <c r="L16" i="83"/>
  <c r="I16" i="83"/>
  <c r="G16" i="83"/>
  <c r="Z16" i="83" s="1"/>
  <c r="Q16" i="83" l="1"/>
  <c r="AA16" i="83"/>
  <c r="AB16" i="83" s="1"/>
  <c r="CB6" i="99" l="1"/>
  <c r="CC6" i="99"/>
  <c r="CD6" i="99"/>
  <c r="CE6" i="99"/>
  <c r="CF6" i="99"/>
  <c r="CG6" i="99"/>
  <c r="CH6" i="99"/>
  <c r="CI6" i="99"/>
  <c r="CJ6" i="99"/>
  <c r="CK6" i="99"/>
  <c r="CL6" i="99"/>
  <c r="CM6" i="99"/>
  <c r="CN6" i="99"/>
  <c r="CO6" i="99"/>
  <c r="CP6" i="99"/>
  <c r="CQ6" i="99"/>
  <c r="CR6" i="99"/>
  <c r="CS6" i="99"/>
  <c r="CT6" i="99"/>
  <c r="CU6" i="99"/>
  <c r="CV6" i="99"/>
  <c r="CW6" i="99"/>
  <c r="CX6" i="99"/>
  <c r="CY6" i="99"/>
  <c r="CZ6" i="99"/>
  <c r="DA6" i="99"/>
  <c r="DB6" i="99"/>
  <c r="DC6" i="99"/>
  <c r="DD6" i="99"/>
  <c r="DE6" i="99"/>
  <c r="DF6" i="99"/>
  <c r="DG6" i="99"/>
  <c r="DH6" i="99"/>
  <c r="DI6" i="99"/>
  <c r="DJ6" i="99"/>
  <c r="DK6" i="99"/>
  <c r="DL6" i="99"/>
  <c r="DM6" i="99"/>
  <c r="DN6" i="99"/>
  <c r="DO6" i="99"/>
  <c r="DP6" i="99"/>
  <c r="DQ6" i="99"/>
  <c r="AD7" i="99"/>
  <c r="AE7" i="99"/>
  <c r="AF7" i="99"/>
  <c r="AG7" i="99"/>
  <c r="AH7" i="99"/>
  <c r="AI7" i="99"/>
  <c r="AJ7" i="99"/>
  <c r="AK7" i="99"/>
  <c r="AL7" i="99"/>
  <c r="AM7" i="99"/>
  <c r="AN7" i="99"/>
  <c r="AO7" i="99"/>
  <c r="AP7" i="99"/>
  <c r="AQ7" i="99"/>
  <c r="AR7" i="99"/>
  <c r="AS7" i="99"/>
  <c r="AU7" i="99"/>
  <c r="AV7" i="99"/>
  <c r="AW7" i="99"/>
  <c r="AX7" i="99"/>
  <c r="AY7" i="99"/>
  <c r="AZ7" i="99"/>
  <c r="BA7" i="99"/>
  <c r="BB7" i="99"/>
  <c r="BC7" i="99"/>
  <c r="BD7" i="99"/>
  <c r="BE7" i="99"/>
  <c r="BF7" i="99"/>
  <c r="BG7" i="99"/>
  <c r="BH7" i="99"/>
  <c r="BI7" i="99"/>
  <c r="BJ7" i="99"/>
  <c r="BK7" i="99"/>
  <c r="BL7" i="99"/>
  <c r="BM7" i="99"/>
  <c r="BN7" i="99"/>
  <c r="BO7" i="99"/>
  <c r="BP7" i="99"/>
  <c r="BQ7" i="99"/>
  <c r="BR7" i="99"/>
  <c r="BS7" i="99"/>
  <c r="BT7" i="99"/>
  <c r="BU7" i="99"/>
  <c r="BV7" i="99"/>
  <c r="BW7" i="99"/>
  <c r="BX7" i="99"/>
  <c r="BY7" i="99"/>
  <c r="BZ7" i="99"/>
  <c r="CA7" i="99"/>
  <c r="CB7" i="99"/>
  <c r="CC7" i="99"/>
  <c r="CD7" i="99"/>
  <c r="CE7" i="99"/>
  <c r="CF7" i="99"/>
  <c r="CG7" i="99"/>
  <c r="CH7" i="99"/>
  <c r="CI7" i="99"/>
  <c r="CJ7" i="99"/>
  <c r="CK7" i="99"/>
  <c r="CL7" i="99"/>
  <c r="CM7" i="99"/>
  <c r="CN7" i="99"/>
  <c r="CO7" i="99"/>
  <c r="CP7" i="99"/>
  <c r="CQ7" i="99"/>
  <c r="CR7" i="99"/>
  <c r="CS7" i="99"/>
  <c r="CT7" i="99"/>
  <c r="CU7" i="99"/>
  <c r="CV7" i="99"/>
  <c r="CW7" i="99"/>
  <c r="CX7" i="99"/>
  <c r="CY7" i="99"/>
  <c r="CZ7" i="99"/>
  <c r="DA7" i="99"/>
  <c r="DB7" i="99"/>
  <c r="DC7" i="99"/>
  <c r="DD7" i="99"/>
  <c r="DE7" i="99"/>
  <c r="DF7" i="99"/>
  <c r="DG7" i="99"/>
  <c r="DH7" i="99"/>
  <c r="DI7" i="99"/>
  <c r="DJ7" i="99"/>
  <c r="DK7" i="99"/>
  <c r="DL7" i="99"/>
  <c r="DM7" i="99"/>
  <c r="DN7" i="99"/>
  <c r="DO7" i="99"/>
  <c r="DP7" i="99"/>
  <c r="DQ7" i="99"/>
  <c r="AD8" i="99"/>
  <c r="AE8" i="99"/>
  <c r="AF8" i="99"/>
  <c r="AG8" i="99"/>
  <c r="AH8" i="99"/>
  <c r="AI8" i="99"/>
  <c r="AJ8" i="99"/>
  <c r="AK8" i="99"/>
  <c r="AL8" i="99"/>
  <c r="AM8" i="99"/>
  <c r="AN8" i="99"/>
  <c r="AO8" i="99"/>
  <c r="AP8" i="99"/>
  <c r="AQ8" i="99"/>
  <c r="AR8" i="99"/>
  <c r="AS8" i="99"/>
  <c r="AU8" i="99"/>
  <c r="AV8" i="99"/>
  <c r="AW8" i="99"/>
  <c r="AX8" i="99"/>
  <c r="AY8" i="99"/>
  <c r="AZ8" i="99"/>
  <c r="BA8" i="99"/>
  <c r="BB8" i="99"/>
  <c r="BC8" i="99"/>
  <c r="BD8" i="99"/>
  <c r="BE8" i="99"/>
  <c r="BF8" i="99"/>
  <c r="BG8" i="99"/>
  <c r="BH8" i="99"/>
  <c r="BI8" i="99"/>
  <c r="BJ8" i="99"/>
  <c r="BK8" i="99"/>
  <c r="BL8" i="99"/>
  <c r="BM8" i="99"/>
  <c r="BN8" i="99"/>
  <c r="BO8" i="99"/>
  <c r="BP8" i="99"/>
  <c r="BQ8" i="99"/>
  <c r="BR8" i="99"/>
  <c r="BS8" i="99"/>
  <c r="BT8" i="99"/>
  <c r="BU8" i="99"/>
  <c r="BV8" i="99"/>
  <c r="BW8" i="99"/>
  <c r="BX8" i="99"/>
  <c r="BY8" i="99"/>
  <c r="BZ8" i="99"/>
  <c r="CA8" i="99"/>
  <c r="CB8" i="99"/>
  <c r="CC8" i="99"/>
  <c r="CD8" i="99"/>
  <c r="CE8" i="99"/>
  <c r="CF8" i="99"/>
  <c r="CG8" i="99"/>
  <c r="CH8" i="99"/>
  <c r="CI8" i="99"/>
  <c r="CJ8" i="99"/>
  <c r="CK8" i="99"/>
  <c r="CL8" i="99"/>
  <c r="CM8" i="99"/>
  <c r="CN8" i="99"/>
  <c r="CO8" i="99"/>
  <c r="CP8" i="99"/>
  <c r="CQ8" i="99"/>
  <c r="CR8" i="99"/>
  <c r="CS8" i="99"/>
  <c r="CT8" i="99"/>
  <c r="CU8" i="99"/>
  <c r="CV8" i="99"/>
  <c r="CW8" i="99"/>
  <c r="CX8" i="99"/>
  <c r="CY8" i="99"/>
  <c r="CZ8" i="99"/>
  <c r="DA8" i="99"/>
  <c r="DB8" i="99"/>
  <c r="DC8" i="99"/>
  <c r="DD8" i="99"/>
  <c r="DE8" i="99"/>
  <c r="DF8" i="99"/>
  <c r="DG8" i="99"/>
  <c r="DH8" i="99"/>
  <c r="DI8" i="99"/>
  <c r="DJ8" i="99"/>
  <c r="DK8" i="99"/>
  <c r="DL8" i="99"/>
  <c r="DM8" i="99"/>
  <c r="DN8" i="99"/>
  <c r="DO8" i="99"/>
  <c r="DP8" i="99"/>
  <c r="DQ8" i="99"/>
  <c r="AD9" i="99"/>
  <c r="AE9" i="99"/>
  <c r="AF9" i="99"/>
  <c r="AG9" i="99"/>
  <c r="AH9" i="99"/>
  <c r="AI9" i="99"/>
  <c r="AJ9" i="99"/>
  <c r="AK9" i="99"/>
  <c r="AL9" i="99"/>
  <c r="AM9" i="99"/>
  <c r="AN9" i="99"/>
  <c r="AO9" i="99"/>
  <c r="AP9" i="99"/>
  <c r="AQ9" i="99"/>
  <c r="AR9" i="99"/>
  <c r="AS9" i="99"/>
  <c r="AU9" i="99"/>
  <c r="AV9" i="99"/>
  <c r="AW9" i="99"/>
  <c r="AX9" i="99"/>
  <c r="AZ9" i="99"/>
  <c r="BA9" i="99"/>
  <c r="BB9" i="99"/>
  <c r="BC9" i="99"/>
  <c r="BE9" i="99"/>
  <c r="BF9" i="99"/>
  <c r="BG9" i="99"/>
  <c r="BH9" i="99"/>
  <c r="BI9" i="99"/>
  <c r="BJ9" i="99"/>
  <c r="BK9" i="99"/>
  <c r="BL9" i="99"/>
  <c r="BM9" i="99"/>
  <c r="BN9" i="99"/>
  <c r="BO9" i="99"/>
  <c r="BP9" i="99"/>
  <c r="BQ9" i="99"/>
  <c r="BR9" i="99"/>
  <c r="BS9" i="99"/>
  <c r="BT9" i="99"/>
  <c r="BU9" i="99"/>
  <c r="BV9" i="99"/>
  <c r="BW9" i="99"/>
  <c r="BX9" i="99"/>
  <c r="BY9" i="99"/>
  <c r="BZ9" i="99"/>
  <c r="CA9" i="99"/>
  <c r="CB9" i="99"/>
  <c r="CC9" i="99"/>
  <c r="CD9" i="99"/>
  <c r="CE9" i="99"/>
  <c r="CF9" i="99"/>
  <c r="CG9" i="99"/>
  <c r="CH9" i="99"/>
  <c r="CI9" i="99"/>
  <c r="CJ9" i="99"/>
  <c r="CK9" i="99"/>
  <c r="CL9" i="99"/>
  <c r="CM9" i="99"/>
  <c r="CN9" i="99"/>
  <c r="CO9" i="99"/>
  <c r="CP9" i="99"/>
  <c r="CQ9" i="99"/>
  <c r="CR9" i="99"/>
  <c r="CS9" i="99"/>
  <c r="CT9" i="99"/>
  <c r="CU9" i="99"/>
  <c r="CV9" i="99"/>
  <c r="CW9" i="99"/>
  <c r="CX9" i="99"/>
  <c r="CY9" i="99"/>
  <c r="CZ9" i="99"/>
  <c r="DA9" i="99"/>
  <c r="DB9" i="99"/>
  <c r="DC9" i="99"/>
  <c r="DD9" i="99"/>
  <c r="DE9" i="99"/>
  <c r="DF9" i="99"/>
  <c r="DG9" i="99"/>
  <c r="DH9" i="99"/>
  <c r="DI9" i="99"/>
  <c r="DJ9" i="99"/>
  <c r="DK9" i="99"/>
  <c r="DL9" i="99"/>
  <c r="DM9" i="99"/>
  <c r="DN9" i="99"/>
  <c r="DO9" i="99"/>
  <c r="DP9" i="99"/>
  <c r="DQ9" i="99"/>
  <c r="AQ10" i="99"/>
  <c r="AS10" i="99"/>
  <c r="AS11" i="99" s="1"/>
  <c r="BE10" i="99"/>
  <c r="BE11" i="99" s="1"/>
  <c r="BG10" i="99"/>
  <c r="BG11" i="99" s="1"/>
  <c r="BL10" i="99"/>
  <c r="BL11" i="99" s="1"/>
  <c r="BM10" i="99"/>
  <c r="BM11" i="99" s="1"/>
  <c r="BN10" i="99"/>
  <c r="BN11" i="99" s="1"/>
  <c r="BO10" i="99"/>
  <c r="BP10" i="99"/>
  <c r="BQ10" i="99"/>
  <c r="BR10" i="99"/>
  <c r="BS10" i="99"/>
  <c r="BT10" i="99"/>
  <c r="BU10" i="99"/>
  <c r="BV10" i="99"/>
  <c r="BW10" i="99"/>
  <c r="BX10" i="99"/>
  <c r="BY10" i="99"/>
  <c r="BZ10" i="99"/>
  <c r="CA10" i="99"/>
  <c r="CB10" i="99"/>
  <c r="CC10" i="99"/>
  <c r="CD10" i="99"/>
  <c r="CE10" i="99"/>
  <c r="CF10" i="99"/>
  <c r="CG10" i="99"/>
  <c r="CH10" i="99"/>
  <c r="CI10" i="99"/>
  <c r="CJ10" i="99"/>
  <c r="CK10" i="99"/>
  <c r="CL10" i="99"/>
  <c r="CM10" i="99"/>
  <c r="CN10" i="99"/>
  <c r="CO10" i="99"/>
  <c r="CP10" i="99"/>
  <c r="CQ10" i="99"/>
  <c r="CR10" i="99"/>
  <c r="CS10" i="99"/>
  <c r="CT10" i="99"/>
  <c r="CU10" i="99"/>
  <c r="CV10" i="99"/>
  <c r="CW10" i="99"/>
  <c r="CX10" i="99"/>
  <c r="CY10" i="99"/>
  <c r="CZ10" i="99"/>
  <c r="DA10" i="99"/>
  <c r="DB10" i="99"/>
  <c r="DC10" i="99"/>
  <c r="DD10" i="99"/>
  <c r="DE10" i="99"/>
  <c r="DF10" i="99"/>
  <c r="DG10" i="99"/>
  <c r="DH10" i="99"/>
  <c r="DI10" i="99"/>
  <c r="DJ10" i="99"/>
  <c r="DK10" i="99"/>
  <c r="DL10" i="99"/>
  <c r="DM10" i="99"/>
  <c r="DN10" i="99"/>
  <c r="DO10" i="99"/>
  <c r="DP10" i="99"/>
  <c r="DQ10" i="99"/>
  <c r="AQ11" i="99"/>
  <c r="BO11" i="99"/>
  <c r="BP11" i="99"/>
  <c r="BQ11" i="99"/>
  <c r="BR11" i="99"/>
  <c r="BS11" i="99"/>
  <c r="BT11" i="99"/>
  <c r="BU11" i="99"/>
  <c r="BV11" i="99"/>
  <c r="BW11" i="99"/>
  <c r="BX11" i="99"/>
  <c r="BY11" i="99"/>
  <c r="BZ11" i="99"/>
  <c r="CA11" i="99"/>
  <c r="CB11" i="99"/>
  <c r="CC11" i="99"/>
  <c r="CD11" i="99"/>
  <c r="CE11" i="99"/>
  <c r="CF11" i="99"/>
  <c r="CG11" i="99"/>
  <c r="CH11" i="99"/>
  <c r="CI11" i="99"/>
  <c r="CJ11" i="99"/>
  <c r="CK11" i="99"/>
  <c r="CL11" i="99"/>
  <c r="CM11" i="99"/>
  <c r="CN11" i="99"/>
  <c r="CO11" i="99"/>
  <c r="CP11" i="99"/>
  <c r="CQ11" i="99"/>
  <c r="CR11" i="99"/>
  <c r="CS11" i="99"/>
  <c r="CT11" i="99"/>
  <c r="CU11" i="99"/>
  <c r="CV11" i="99"/>
  <c r="CW11" i="99"/>
  <c r="CX11" i="99"/>
  <c r="CY11" i="99"/>
  <c r="CZ11" i="99"/>
  <c r="DA11" i="99"/>
  <c r="DB11" i="99"/>
  <c r="DC11" i="99"/>
  <c r="DD11" i="99"/>
  <c r="DE11" i="99"/>
  <c r="DF11" i="99"/>
  <c r="DG11" i="99"/>
  <c r="DH11" i="99"/>
  <c r="DI11" i="99"/>
  <c r="DJ11" i="99"/>
  <c r="DK11" i="99"/>
  <c r="DL11" i="99"/>
  <c r="DM11" i="99"/>
  <c r="DN11" i="99"/>
  <c r="DO11" i="99"/>
  <c r="DP11" i="99"/>
  <c r="DQ11" i="99"/>
  <c r="DI12" i="99" l="1"/>
  <c r="DA12" i="99"/>
  <c r="CK12" i="99"/>
  <c r="BU12" i="99"/>
  <c r="BM12" i="99"/>
  <c r="DQ12" i="99"/>
  <c r="CS12" i="99"/>
  <c r="BE12" i="99"/>
  <c r="CC12" i="99"/>
  <c r="DK12" i="99"/>
  <c r="DC12" i="99"/>
  <c r="CU12" i="99"/>
  <c r="CM12" i="99"/>
  <c r="CE12" i="99"/>
  <c r="BW12" i="99"/>
  <c r="BO12" i="99"/>
  <c r="BG12" i="99"/>
  <c r="AQ12" i="99"/>
  <c r="DJ12" i="99"/>
  <c r="CD12" i="99"/>
  <c r="CT12" i="99"/>
  <c r="BN12" i="99"/>
  <c r="DB12" i="99"/>
  <c r="BV12" i="99"/>
  <c r="CL12" i="99"/>
  <c r="DH12" i="99"/>
  <c r="CZ12" i="99"/>
  <c r="CJ12" i="99"/>
  <c r="BL12" i="99"/>
  <c r="DP12" i="99"/>
  <c r="CR12" i="99"/>
  <c r="CB12" i="99"/>
  <c r="BT12" i="99"/>
  <c r="DM12" i="99"/>
  <c r="CW12" i="99"/>
  <c r="CG12" i="99"/>
  <c r="BQ12" i="99"/>
  <c r="AS12" i="99"/>
  <c r="DE12" i="99"/>
  <c r="CO12" i="99"/>
  <c r="BY12" i="99"/>
  <c r="DL12" i="99"/>
  <c r="DD12" i="99"/>
  <c r="CV12" i="99"/>
  <c r="CN12" i="99"/>
  <c r="CF12" i="99"/>
  <c r="BX12" i="99"/>
  <c r="BP12" i="99"/>
  <c r="DO12" i="99"/>
  <c r="DG12" i="99"/>
  <c r="CY12" i="99"/>
  <c r="CQ12" i="99"/>
  <c r="CI12" i="99"/>
  <c r="CA12" i="99"/>
  <c r="BS12" i="99"/>
  <c r="DN12" i="99"/>
  <c r="DF12" i="99"/>
  <c r="CX12" i="99"/>
  <c r="CP12" i="99"/>
  <c r="CH12" i="99"/>
  <c r="BZ12" i="99"/>
  <c r="BR12" i="99"/>
  <c r="W36" i="100" l="1"/>
  <c r="S36" i="100"/>
  <c r="T36" i="100" s="1"/>
  <c r="P36" i="100" s="1"/>
  <c r="N36" i="100" s="1"/>
  <c r="O36" i="100" s="1"/>
  <c r="L36" i="100"/>
  <c r="I36" i="100"/>
  <c r="G36" i="100"/>
  <c r="Z36" i="100" s="1"/>
  <c r="W35" i="100"/>
  <c r="S35" i="100"/>
  <c r="T35" i="100" s="1"/>
  <c r="P35" i="100" s="1"/>
  <c r="N35" i="100" s="1"/>
  <c r="O35" i="100" s="1"/>
  <c r="L35" i="100"/>
  <c r="I35" i="100"/>
  <c r="G35" i="100"/>
  <c r="Z35" i="100" s="1"/>
  <c r="W34" i="100"/>
  <c r="S34" i="100"/>
  <c r="T34" i="100" s="1"/>
  <c r="P34" i="100" s="1"/>
  <c r="N34" i="100" s="1"/>
  <c r="O34" i="100" s="1"/>
  <c r="L34" i="100"/>
  <c r="I34" i="100"/>
  <c r="G34" i="100"/>
  <c r="Z34" i="100" s="1"/>
  <c r="W33" i="100"/>
  <c r="S33" i="100"/>
  <c r="T33" i="100" s="1"/>
  <c r="P33" i="100" s="1"/>
  <c r="N33" i="100" s="1"/>
  <c r="O33" i="100" s="1"/>
  <c r="L33" i="100"/>
  <c r="I33" i="100"/>
  <c r="G33" i="100"/>
  <c r="Z33" i="100" s="1"/>
  <c r="W32" i="100"/>
  <c r="S32" i="100"/>
  <c r="T32" i="100" s="1"/>
  <c r="P32" i="100" s="1"/>
  <c r="N32" i="100" s="1"/>
  <c r="O32" i="100" s="1"/>
  <c r="L32" i="100"/>
  <c r="I32" i="100"/>
  <c r="G32" i="100"/>
  <c r="Z32" i="100" s="1"/>
  <c r="W31" i="100"/>
  <c r="S31" i="100"/>
  <c r="T31" i="100" s="1"/>
  <c r="P31" i="100" s="1"/>
  <c r="N31" i="100" s="1"/>
  <c r="O31" i="100" s="1"/>
  <c r="L31" i="100"/>
  <c r="I31" i="100"/>
  <c r="G31" i="100"/>
  <c r="Z31" i="100" s="1"/>
  <c r="W27" i="100"/>
  <c r="S27" i="100"/>
  <c r="T27" i="100" s="1"/>
  <c r="P27" i="100" s="1"/>
  <c r="N27" i="100" s="1"/>
  <c r="O27" i="100" s="1"/>
  <c r="L27" i="100"/>
  <c r="I27" i="100"/>
  <c r="G27" i="100"/>
  <c r="Z27" i="100" s="1"/>
  <c r="W26" i="100"/>
  <c r="S26" i="100"/>
  <c r="T26" i="100" s="1"/>
  <c r="P26" i="100" s="1"/>
  <c r="N26" i="100" s="1"/>
  <c r="O26" i="100" s="1"/>
  <c r="L26" i="100"/>
  <c r="I26" i="100"/>
  <c r="G26" i="100"/>
  <c r="Z26" i="100" s="1"/>
  <c r="W25" i="100"/>
  <c r="S25" i="100"/>
  <c r="T25" i="100" s="1"/>
  <c r="P25" i="100" s="1"/>
  <c r="N25" i="100" s="1"/>
  <c r="O25" i="100" s="1"/>
  <c r="L25" i="100"/>
  <c r="I25" i="100"/>
  <c r="G25" i="100"/>
  <c r="Z25" i="100" s="1"/>
  <c r="W24" i="100"/>
  <c r="S24" i="100"/>
  <c r="T24" i="100" s="1"/>
  <c r="P24" i="100" s="1"/>
  <c r="N24" i="100" s="1"/>
  <c r="O24" i="100" s="1"/>
  <c r="L24" i="100"/>
  <c r="I24" i="100"/>
  <c r="G24" i="100"/>
  <c r="Z24" i="100" s="1"/>
  <c r="W23" i="100"/>
  <c r="S23" i="100"/>
  <c r="T23" i="100" s="1"/>
  <c r="P23" i="100" s="1"/>
  <c r="N23" i="100" s="1"/>
  <c r="O23" i="100" s="1"/>
  <c r="L23" i="100"/>
  <c r="I23" i="100"/>
  <c r="G23" i="100"/>
  <c r="Z23" i="100" s="1"/>
  <c r="W22" i="100"/>
  <c r="S22" i="100"/>
  <c r="T22" i="100" s="1"/>
  <c r="P22" i="100" s="1"/>
  <c r="N22" i="100" s="1"/>
  <c r="O22" i="100" s="1"/>
  <c r="L22" i="100"/>
  <c r="I22" i="100"/>
  <c r="G22" i="100"/>
  <c r="Z22" i="100" s="1"/>
  <c r="W40" i="100"/>
  <c r="S40" i="100"/>
  <c r="T40" i="100" s="1"/>
  <c r="P40" i="100" s="1"/>
  <c r="N40" i="100" s="1"/>
  <c r="O40" i="100" s="1"/>
  <c r="L40" i="100"/>
  <c r="I40" i="100"/>
  <c r="G40" i="100"/>
  <c r="Z40" i="100" s="1"/>
  <c r="W30" i="100"/>
  <c r="S30" i="100"/>
  <c r="T30" i="100" s="1"/>
  <c r="P30" i="100" s="1"/>
  <c r="N30" i="100" s="1"/>
  <c r="O30" i="100" s="1"/>
  <c r="L30" i="100"/>
  <c r="I30" i="100"/>
  <c r="G30" i="100"/>
  <c r="Z30" i="100" s="1"/>
  <c r="W29" i="100"/>
  <c r="S29" i="100"/>
  <c r="T29" i="100" s="1"/>
  <c r="P29" i="100" s="1"/>
  <c r="N29" i="100" s="1"/>
  <c r="O29" i="100" s="1"/>
  <c r="L29" i="100"/>
  <c r="I29" i="100"/>
  <c r="G29" i="100"/>
  <c r="Z29" i="100" s="1"/>
  <c r="W28" i="100"/>
  <c r="S28" i="100"/>
  <c r="T28" i="100" s="1"/>
  <c r="P28" i="100" s="1"/>
  <c r="N28" i="100" s="1"/>
  <c r="O28" i="100" s="1"/>
  <c r="L28" i="100"/>
  <c r="I28" i="100"/>
  <c r="G28" i="100"/>
  <c r="Z28" i="100" s="1"/>
  <c r="W21" i="100"/>
  <c r="S21" i="100"/>
  <c r="T21" i="100" s="1"/>
  <c r="P21" i="100" s="1"/>
  <c r="N21" i="100" s="1"/>
  <c r="O21" i="100" s="1"/>
  <c r="L21" i="100"/>
  <c r="I21" i="100"/>
  <c r="G21" i="100"/>
  <c r="Z21" i="100" s="1"/>
  <c r="W20" i="100"/>
  <c r="S20" i="100"/>
  <c r="T20" i="100" s="1"/>
  <c r="P20" i="100" s="1"/>
  <c r="N20" i="100" s="1"/>
  <c r="O20" i="100" s="1"/>
  <c r="L20" i="100"/>
  <c r="I20" i="100"/>
  <c r="G20" i="100"/>
  <c r="Z20" i="100" s="1"/>
  <c r="BW10" i="100" l="1"/>
  <c r="BW11" i="100" s="1"/>
  <c r="BW12" i="100" s="1"/>
  <c r="BX10" i="100"/>
  <c r="BX11" i="100" s="1"/>
  <c r="BX12" i="100" s="1"/>
  <c r="Q36" i="100"/>
  <c r="AA36" i="100" s="1"/>
  <c r="AB36" i="100" s="1"/>
  <c r="Q33" i="100"/>
  <c r="AA33" i="100" s="1"/>
  <c r="AB33" i="100" s="1"/>
  <c r="Q40" i="100"/>
  <c r="AA40" i="100" s="1"/>
  <c r="AB40" i="100" s="1"/>
  <c r="Q24" i="100"/>
  <c r="AA24" i="100" s="1"/>
  <c r="AB24" i="100" s="1"/>
  <c r="Q31" i="100"/>
  <c r="AA31" i="100" s="1"/>
  <c r="AB31" i="100" s="1"/>
  <c r="Q34" i="100"/>
  <c r="AA34" i="100" s="1"/>
  <c r="AB34" i="100" s="1"/>
  <c r="Q30" i="100"/>
  <c r="AA30" i="100" s="1"/>
  <c r="AB30" i="100" s="1"/>
  <c r="Q32" i="100"/>
  <c r="AA32" i="100" s="1"/>
  <c r="AB32" i="100" s="1"/>
  <c r="Q27" i="100"/>
  <c r="AA27" i="100" s="1"/>
  <c r="AB27" i="100" s="1"/>
  <c r="Q35" i="100"/>
  <c r="AA35" i="100" s="1"/>
  <c r="AB35" i="100" s="1"/>
  <c r="Q23" i="100"/>
  <c r="AA23" i="100" s="1"/>
  <c r="AB23" i="100" s="1"/>
  <c r="Q25" i="100"/>
  <c r="AA25" i="100" s="1"/>
  <c r="AB25" i="100" s="1"/>
  <c r="Q22" i="100"/>
  <c r="AA22" i="100" s="1"/>
  <c r="AB22" i="100" s="1"/>
  <c r="Q26" i="100"/>
  <c r="AA26" i="100" s="1"/>
  <c r="AB26" i="100" s="1"/>
  <c r="Q20" i="100"/>
  <c r="AA20" i="100" s="1"/>
  <c r="AB20" i="100" s="1"/>
  <c r="Q29" i="100"/>
  <c r="AA29" i="100" s="1"/>
  <c r="AB29" i="100" s="1"/>
  <c r="Q21" i="100"/>
  <c r="AA21" i="100" s="1"/>
  <c r="AB21" i="100" s="1"/>
  <c r="Q28" i="100"/>
  <c r="AA28" i="100" s="1"/>
  <c r="AB28" i="100" s="1"/>
  <c r="L13" i="67" l="1"/>
  <c r="W19" i="64" l="1"/>
  <c r="S19" i="64"/>
  <c r="T19" i="64" s="1"/>
  <c r="P19" i="64" s="1"/>
  <c r="N19" i="64" s="1"/>
  <c r="O19" i="64" s="1"/>
  <c r="I19" i="64"/>
  <c r="G19" i="64"/>
  <c r="Q19" i="64" l="1"/>
  <c r="AA19" i="64"/>
  <c r="K13" i="99" l="1"/>
  <c r="W27" i="67" l="1"/>
  <c r="S27" i="67"/>
  <c r="T27" i="67" s="1"/>
  <c r="P27" i="67" s="1"/>
  <c r="N27" i="67" s="1"/>
  <c r="O27" i="67" s="1"/>
  <c r="L27" i="67"/>
  <c r="I27" i="67"/>
  <c r="G27" i="67"/>
  <c r="W29" i="67"/>
  <c r="S29" i="67"/>
  <c r="T29" i="67" s="1"/>
  <c r="P29" i="67" s="1"/>
  <c r="N29" i="67" s="1"/>
  <c r="O29" i="67" s="1"/>
  <c r="L29" i="67"/>
  <c r="I29" i="67"/>
  <c r="G29" i="67"/>
  <c r="Q27" i="67" l="1"/>
  <c r="AA27" i="67"/>
  <c r="Q29" i="67"/>
  <c r="AA29" i="67"/>
  <c r="AL41" i="11" l="1"/>
  <c r="W14" i="61" l="1"/>
  <c r="S14" i="61"/>
  <c r="T14" i="61" s="1"/>
  <c r="P14" i="61" s="1"/>
  <c r="N14" i="61" s="1"/>
  <c r="O14" i="61" s="1"/>
  <c r="L14" i="61"/>
  <c r="I14" i="61"/>
  <c r="G14" i="61"/>
  <c r="Z14" i="61" s="1"/>
  <c r="W13" i="61"/>
  <c r="S13" i="61"/>
  <c r="T13" i="61" s="1"/>
  <c r="P13" i="61" s="1"/>
  <c r="N13" i="61" s="1"/>
  <c r="O13" i="61" s="1"/>
  <c r="L13" i="61"/>
  <c r="I13" i="61"/>
  <c r="G13" i="61"/>
  <c r="Z13" i="61" s="1"/>
  <c r="Q14" i="61" l="1"/>
  <c r="AA14" i="61" s="1"/>
  <c r="AB14" i="61" s="1"/>
  <c r="Q13" i="61"/>
  <c r="AA13" i="61" s="1"/>
  <c r="AB13" i="61" s="1"/>
  <c r="V41" i="11" l="1"/>
  <c r="W41" i="11" s="1"/>
  <c r="S41" i="11" s="1"/>
  <c r="Q41" i="11" s="1"/>
  <c r="R41" i="11" s="1"/>
  <c r="L41" i="11"/>
  <c r="G41" i="11"/>
  <c r="AX10" i="11"/>
  <c r="AX11" i="11" s="1"/>
  <c r="AW10" i="11"/>
  <c r="AW11" i="11" s="1"/>
  <c r="AV10" i="11"/>
  <c r="AV11" i="11" s="1"/>
  <c r="AU10" i="11"/>
  <c r="AU11" i="11" s="1"/>
  <c r="AT10" i="11"/>
  <c r="AT11" i="11" s="1"/>
  <c r="AS10" i="11"/>
  <c r="AS11" i="11" s="1"/>
  <c r="AR10" i="11"/>
  <c r="AR11" i="11" s="1"/>
  <c r="AQ10" i="11"/>
  <c r="AQ11" i="11" s="1"/>
  <c r="AP10" i="11"/>
  <c r="AP11" i="11" s="1"/>
  <c r="AO10" i="11"/>
  <c r="AO11" i="11" s="1"/>
  <c r="AN10" i="11"/>
  <c r="AN11" i="11" s="1"/>
  <c r="AM10" i="11"/>
  <c r="AM11" i="11" s="1"/>
  <c r="AL10" i="11"/>
  <c r="AL11" i="11" s="1"/>
  <c r="AK10" i="11"/>
  <c r="AK11" i="11" s="1"/>
  <c r="AX8" i="11"/>
  <c r="AX9" i="11" s="1"/>
  <c r="AW8" i="11"/>
  <c r="AW9" i="11" s="1"/>
  <c r="AV8" i="11"/>
  <c r="AV9" i="11" s="1"/>
  <c r="AU8" i="11"/>
  <c r="AU9" i="11" s="1"/>
  <c r="AT8" i="11"/>
  <c r="AT9" i="11" s="1"/>
  <c r="AS8" i="11"/>
  <c r="AS9" i="11" s="1"/>
  <c r="AR8" i="11"/>
  <c r="AR9" i="11" s="1"/>
  <c r="AQ8" i="11"/>
  <c r="AQ9" i="11" s="1"/>
  <c r="AP8" i="11"/>
  <c r="AP9" i="11" s="1"/>
  <c r="AO8" i="11"/>
  <c r="AO9" i="11" s="1"/>
  <c r="AN8" i="11"/>
  <c r="AN9" i="11" s="1"/>
  <c r="AM8" i="11"/>
  <c r="AM9" i="11" s="1"/>
  <c r="AL8" i="11"/>
  <c r="AL9" i="11" s="1"/>
  <c r="AK8" i="11"/>
  <c r="AK9" i="11" s="1"/>
  <c r="AX7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X6" i="11"/>
  <c r="AW6" i="11"/>
  <c r="AV6" i="11"/>
  <c r="AU6" i="11"/>
  <c r="AT6" i="11"/>
  <c r="AS6" i="11"/>
  <c r="AR6" i="11"/>
  <c r="AQ6" i="11"/>
  <c r="AP6" i="11"/>
  <c r="AO6" i="11"/>
  <c r="AN6" i="11"/>
  <c r="AM6" i="11"/>
  <c r="AL6" i="11"/>
  <c r="AK6" i="11"/>
  <c r="AX3" i="11"/>
  <c r="AW3" i="11"/>
  <c r="AV3" i="11"/>
  <c r="AU3" i="11"/>
  <c r="AT3" i="11"/>
  <c r="AS3" i="11"/>
  <c r="AR3" i="11"/>
  <c r="AQ3" i="11"/>
  <c r="AP3" i="11"/>
  <c r="AO3" i="11"/>
  <c r="AN3" i="11"/>
  <c r="AM3" i="11"/>
  <c r="AL3" i="11"/>
  <c r="AK3" i="11"/>
  <c r="AT2" i="11" l="1"/>
  <c r="AN2" i="11"/>
  <c r="AR2" i="11"/>
  <c r="AX2" i="11"/>
  <c r="T41" i="11"/>
  <c r="AV2" i="11"/>
  <c r="AP2" i="11"/>
  <c r="AK2" i="11"/>
  <c r="AU12" i="11"/>
  <c r="AU2" i="11"/>
  <c r="AO12" i="11"/>
  <c r="AO2" i="11"/>
  <c r="AL12" i="11"/>
  <c r="AL2" i="11"/>
  <c r="AM2" i="11"/>
  <c r="AS2" i="11"/>
  <c r="AT12" i="11"/>
  <c r="AR12" i="11"/>
  <c r="AX12" i="11"/>
  <c r="AM12" i="11"/>
  <c r="AS12" i="11"/>
  <c r="AW12" i="11"/>
  <c r="AW2" i="11"/>
  <c r="AV12" i="11"/>
  <c r="AK12" i="11"/>
  <c r="AN12" i="11"/>
  <c r="AQ2" i="11"/>
  <c r="AQ12" i="11"/>
  <c r="AP12" i="11"/>
  <c r="AD41" i="11" l="1"/>
  <c r="F36" i="64" l="1"/>
  <c r="F37" i="64" s="1"/>
  <c r="F38" i="64" s="1"/>
  <c r="F39" i="64" s="1"/>
  <c r="F40" i="64" s="1"/>
  <c r="F41" i="64" s="1"/>
  <c r="F42" i="64" s="1"/>
  <c r="F43" i="64" s="1"/>
  <c r="F44" i="64" s="1"/>
  <c r="W37" i="19"/>
  <c r="S37" i="19"/>
  <c r="T37" i="19" s="1"/>
  <c r="I37" i="19"/>
  <c r="E37" i="19"/>
  <c r="P37" i="19" l="1"/>
  <c r="N37" i="19" s="1"/>
  <c r="O37" i="19" s="1"/>
  <c r="Q37" i="19" s="1"/>
  <c r="AA37" i="19" s="1"/>
  <c r="V40" i="11" l="1"/>
  <c r="W40" i="11" s="1"/>
  <c r="S40" i="11" s="1"/>
  <c r="Q40" i="11" s="1"/>
  <c r="R40" i="11" s="1"/>
  <c r="O40" i="11"/>
  <c r="L40" i="11"/>
  <c r="G40" i="11"/>
  <c r="T40" i="11" l="1"/>
  <c r="AD40" i="11" l="1"/>
  <c r="W28" i="61" l="1"/>
  <c r="S28" i="61"/>
  <c r="T28" i="61" s="1"/>
  <c r="P28" i="61" s="1"/>
  <c r="N28" i="61" s="1"/>
  <c r="O28" i="61" s="1"/>
  <c r="L28" i="61"/>
  <c r="I28" i="61"/>
  <c r="G28" i="61"/>
  <c r="Z28" i="61" s="1"/>
  <c r="W16" i="61"/>
  <c r="S16" i="61"/>
  <c r="T16" i="61" s="1"/>
  <c r="P16" i="61" s="1"/>
  <c r="N16" i="61" s="1"/>
  <c r="O16" i="61" s="1"/>
  <c r="L16" i="61"/>
  <c r="I16" i="61"/>
  <c r="G16" i="61"/>
  <c r="Z16" i="61" s="1"/>
  <c r="W15" i="61"/>
  <c r="S15" i="61"/>
  <c r="T15" i="61" s="1"/>
  <c r="P15" i="61" s="1"/>
  <c r="N15" i="61" s="1"/>
  <c r="O15" i="61" s="1"/>
  <c r="L15" i="61"/>
  <c r="I15" i="61"/>
  <c r="G15" i="61"/>
  <c r="Z15" i="61" s="1"/>
  <c r="Q15" i="61" l="1"/>
  <c r="AA15" i="61" s="1"/>
  <c r="AB15" i="61" s="1"/>
  <c r="Q28" i="61"/>
  <c r="AA28" i="61" s="1"/>
  <c r="AB28" i="61" s="1"/>
  <c r="Q16" i="61"/>
  <c r="AA16" i="61" s="1"/>
  <c r="AB16" i="61" s="1"/>
  <c r="O39" i="11" l="1"/>
  <c r="V39" i="11"/>
  <c r="W39" i="11" s="1"/>
  <c r="S39" i="11" s="1"/>
  <c r="Q39" i="11" s="1"/>
  <c r="R39" i="11" s="1"/>
  <c r="L39" i="11"/>
  <c r="G39" i="11"/>
  <c r="T39" i="11" l="1"/>
  <c r="AD39" i="11" l="1"/>
  <c r="W18" i="91" l="1"/>
  <c r="S18" i="91"/>
  <c r="T18" i="91" s="1"/>
  <c r="P18" i="91" s="1"/>
  <c r="N18" i="91" s="1"/>
  <c r="O18" i="91" s="1"/>
  <c r="L18" i="91"/>
  <c r="I18" i="91"/>
  <c r="G18" i="91"/>
  <c r="Q18" i="91" l="1"/>
  <c r="AA18" i="91" s="1"/>
  <c r="AD6" i="100" l="1"/>
  <c r="AE6" i="100"/>
  <c r="AF6" i="100"/>
  <c r="AG6" i="100"/>
  <c r="AH6" i="100"/>
  <c r="AI6" i="100"/>
  <c r="AJ6" i="100"/>
  <c r="AK6" i="100"/>
  <c r="AL6" i="100"/>
  <c r="AM6" i="100"/>
  <c r="AN6" i="100"/>
  <c r="AO6" i="100"/>
  <c r="AP6" i="100"/>
  <c r="AQ6" i="100"/>
  <c r="AR6" i="100"/>
  <c r="AS6" i="100"/>
  <c r="AT6" i="100"/>
  <c r="AU6" i="100"/>
  <c r="AV6" i="100"/>
  <c r="AW6" i="100"/>
  <c r="AX6" i="100"/>
  <c r="AY6" i="100"/>
  <c r="AZ6" i="100"/>
  <c r="BA6" i="100"/>
  <c r="BB6" i="100"/>
  <c r="BC6" i="100"/>
  <c r="BD6" i="100"/>
  <c r="BE6" i="100"/>
  <c r="BF6" i="100"/>
  <c r="BG6" i="100"/>
  <c r="BH6" i="100"/>
  <c r="BI6" i="100"/>
  <c r="BJ6" i="100"/>
  <c r="BK6" i="100"/>
  <c r="BL6" i="100"/>
  <c r="BM6" i="100"/>
  <c r="BN6" i="100"/>
  <c r="BO6" i="100"/>
  <c r="BP6" i="100"/>
  <c r="AD7" i="100"/>
  <c r="AE7" i="100"/>
  <c r="AF7" i="100"/>
  <c r="AG7" i="100"/>
  <c r="AH7" i="100"/>
  <c r="AI7" i="100"/>
  <c r="AJ7" i="100"/>
  <c r="AK7" i="100"/>
  <c r="AL7" i="100"/>
  <c r="AM7" i="100"/>
  <c r="AN7" i="100"/>
  <c r="AO7" i="100"/>
  <c r="AP7" i="100"/>
  <c r="AQ7" i="100"/>
  <c r="AR7" i="100"/>
  <c r="AS7" i="100"/>
  <c r="AT7" i="100"/>
  <c r="AU7" i="100"/>
  <c r="AV7" i="100"/>
  <c r="AW7" i="100"/>
  <c r="AX7" i="100"/>
  <c r="AY7" i="100"/>
  <c r="AZ7" i="100"/>
  <c r="BA7" i="100"/>
  <c r="BB7" i="100"/>
  <c r="BC7" i="100"/>
  <c r="BD7" i="100"/>
  <c r="BE7" i="100"/>
  <c r="BF7" i="100"/>
  <c r="BG7" i="100"/>
  <c r="BH7" i="100"/>
  <c r="BI7" i="100"/>
  <c r="BJ7" i="100"/>
  <c r="BK7" i="100"/>
  <c r="BL7" i="100"/>
  <c r="BM7" i="100"/>
  <c r="BN7" i="100"/>
  <c r="BO7" i="100"/>
  <c r="BP7" i="100"/>
  <c r="AD8" i="100"/>
  <c r="AE8" i="100"/>
  <c r="AF8" i="100"/>
  <c r="AG8" i="100"/>
  <c r="AH8" i="100"/>
  <c r="AI8" i="100"/>
  <c r="AJ8" i="100"/>
  <c r="AK8" i="100"/>
  <c r="AL8" i="100"/>
  <c r="AM8" i="100"/>
  <c r="AN8" i="100"/>
  <c r="AO8" i="100"/>
  <c r="AP8" i="100"/>
  <c r="AQ8" i="100"/>
  <c r="AR8" i="100"/>
  <c r="AS8" i="100"/>
  <c r="AT8" i="100"/>
  <c r="AU8" i="100"/>
  <c r="AV8" i="100"/>
  <c r="AW8" i="100"/>
  <c r="AX8" i="100"/>
  <c r="AY8" i="100"/>
  <c r="AZ8" i="100"/>
  <c r="BA8" i="100"/>
  <c r="BB8" i="100"/>
  <c r="BC8" i="100"/>
  <c r="BD8" i="100"/>
  <c r="BE8" i="100"/>
  <c r="BF8" i="100"/>
  <c r="BG8" i="100"/>
  <c r="BH8" i="100"/>
  <c r="BI8" i="100"/>
  <c r="BJ8" i="100"/>
  <c r="BK8" i="100"/>
  <c r="BL8" i="100"/>
  <c r="BM8" i="100"/>
  <c r="BN8" i="100"/>
  <c r="BO8" i="100"/>
  <c r="BP8" i="100"/>
  <c r="AD9" i="100"/>
  <c r="AE9" i="100"/>
  <c r="AF9" i="100"/>
  <c r="AG9" i="100"/>
  <c r="AH9" i="100"/>
  <c r="AI9" i="100"/>
  <c r="AJ9" i="100"/>
  <c r="AK9" i="100"/>
  <c r="AL9" i="100"/>
  <c r="AM9" i="100"/>
  <c r="AN9" i="100"/>
  <c r="AO9" i="100"/>
  <c r="AP9" i="100"/>
  <c r="AQ9" i="100"/>
  <c r="AR9" i="100"/>
  <c r="AS9" i="100"/>
  <c r="AT9" i="100"/>
  <c r="AU9" i="100"/>
  <c r="AV9" i="100"/>
  <c r="AW9" i="100"/>
  <c r="AX9" i="100"/>
  <c r="AY9" i="100"/>
  <c r="AZ9" i="100"/>
  <c r="BA9" i="100"/>
  <c r="BB9" i="100"/>
  <c r="BC9" i="100"/>
  <c r="BD9" i="100"/>
  <c r="BE9" i="100"/>
  <c r="BF9" i="100"/>
  <c r="BG9" i="100"/>
  <c r="BH9" i="100"/>
  <c r="BI9" i="100"/>
  <c r="BJ9" i="100"/>
  <c r="BK9" i="100"/>
  <c r="BL9" i="100"/>
  <c r="BM9" i="100"/>
  <c r="BN9" i="100"/>
  <c r="BO9" i="100"/>
  <c r="BP9" i="100"/>
  <c r="AD10" i="100"/>
  <c r="AD11" i="100" s="1"/>
  <c r="AE10" i="100"/>
  <c r="AE11" i="100" s="1"/>
  <c r="AF10" i="100"/>
  <c r="AF11" i="100" s="1"/>
  <c r="AG10" i="100"/>
  <c r="AG11" i="100" s="1"/>
  <c r="AH10" i="100"/>
  <c r="AH11" i="100" s="1"/>
  <c r="AI10" i="100"/>
  <c r="AI11" i="100" s="1"/>
  <c r="AJ10" i="100"/>
  <c r="AJ11" i="100" s="1"/>
  <c r="AM10" i="100"/>
  <c r="AM11" i="100" s="1"/>
  <c r="AN10" i="100"/>
  <c r="AN11" i="100" s="1"/>
  <c r="AO10" i="100"/>
  <c r="AO11" i="100" s="1"/>
  <c r="AR10" i="100"/>
  <c r="AR11" i="100" s="1"/>
  <c r="AS10" i="100"/>
  <c r="AS11" i="100" s="1"/>
  <c r="AT10" i="100"/>
  <c r="AT11" i="100" s="1"/>
  <c r="AU10" i="100"/>
  <c r="AU11" i="100" s="1"/>
  <c r="AW10" i="100"/>
  <c r="AW11" i="100" s="1"/>
  <c r="AX10" i="100"/>
  <c r="AX11" i="100" s="1"/>
  <c r="AY10" i="100"/>
  <c r="AY11" i="100" s="1"/>
  <c r="AZ10" i="100"/>
  <c r="AZ11" i="100" s="1"/>
  <c r="BA10" i="100"/>
  <c r="BA11" i="100" s="1"/>
  <c r="BB10" i="100"/>
  <c r="BB11" i="100" s="1"/>
  <c r="BC10" i="100"/>
  <c r="BC11" i="100" s="1"/>
  <c r="BD10" i="100"/>
  <c r="BD11" i="100" s="1"/>
  <c r="BE10" i="100"/>
  <c r="BE11" i="100" s="1"/>
  <c r="BF10" i="100"/>
  <c r="BF11" i="100" s="1"/>
  <c r="BG10" i="100"/>
  <c r="BG11" i="100" s="1"/>
  <c r="BH10" i="100"/>
  <c r="BH11" i="100" s="1"/>
  <c r="BJ10" i="100"/>
  <c r="BJ11" i="100" s="1"/>
  <c r="BK10" i="100"/>
  <c r="BK11" i="100" s="1"/>
  <c r="BL10" i="100"/>
  <c r="BL11" i="100" s="1"/>
  <c r="BM10" i="100"/>
  <c r="BM11" i="100" s="1"/>
  <c r="BN10" i="100"/>
  <c r="BN11" i="100" s="1"/>
  <c r="BO10" i="100"/>
  <c r="BO11" i="100" s="1"/>
  <c r="BP10" i="100"/>
  <c r="BP11" i="100" s="1"/>
  <c r="AJ12" i="100" l="1"/>
  <c r="AI12" i="100"/>
  <c r="BE12" i="100"/>
  <c r="AW12" i="100"/>
  <c r="BM12" i="100"/>
  <c r="AS12" i="100"/>
  <c r="BO12" i="100"/>
  <c r="BG12" i="100"/>
  <c r="AY12" i="100"/>
  <c r="BF12" i="100"/>
  <c r="AR12" i="100"/>
  <c r="BN12" i="100"/>
  <c r="AX12" i="100"/>
  <c r="BP12" i="100"/>
  <c r="BH12" i="100"/>
  <c r="AZ12" i="100"/>
  <c r="AT12" i="100"/>
  <c r="AD12" i="100"/>
  <c r="AH12" i="100"/>
  <c r="BC12" i="100"/>
  <c r="AG12" i="100"/>
  <c r="BL12" i="100"/>
  <c r="BD12" i="100"/>
  <c r="BK12" i="100"/>
  <c r="AO12" i="100"/>
  <c r="BJ12" i="100"/>
  <c r="BB12" i="100"/>
  <c r="AN12" i="100"/>
  <c r="AF12" i="100"/>
  <c r="AM12" i="100"/>
  <c r="BA12" i="100"/>
  <c r="AU12" i="100"/>
  <c r="AE12" i="100"/>
  <c r="BP6" i="19" l="1"/>
  <c r="BQ6" i="19"/>
  <c r="BR6" i="19"/>
  <c r="BS6" i="19"/>
  <c r="BT6" i="19"/>
  <c r="BU6" i="19"/>
  <c r="BV6" i="19"/>
  <c r="BW6" i="19"/>
  <c r="BX6" i="19"/>
  <c r="BY6" i="19"/>
  <c r="BZ6" i="19"/>
  <c r="CA6" i="19"/>
  <c r="CB6" i="19"/>
  <c r="CC6" i="19"/>
  <c r="CD6" i="19"/>
  <c r="CE6" i="19"/>
  <c r="CF6" i="19"/>
  <c r="CG6" i="19"/>
  <c r="CH6" i="19"/>
  <c r="CI6" i="19"/>
  <c r="CJ6" i="19"/>
  <c r="CK6" i="19"/>
  <c r="CL6" i="19"/>
  <c r="CM6" i="19"/>
  <c r="CN6" i="19"/>
  <c r="CO6" i="19"/>
  <c r="CP6" i="19"/>
  <c r="CQ6" i="19"/>
  <c r="CR6" i="19"/>
  <c r="CS6" i="19"/>
  <c r="CT6" i="19"/>
  <c r="CU6" i="19"/>
  <c r="CV6" i="19"/>
  <c r="CW6" i="19"/>
  <c r="CX6" i="19"/>
  <c r="CY6" i="19"/>
  <c r="CZ6" i="19"/>
  <c r="DA6" i="19"/>
  <c r="DB6" i="19"/>
  <c r="DC6" i="19"/>
  <c r="DD6" i="19"/>
  <c r="DE6" i="19"/>
  <c r="DF6" i="19"/>
  <c r="DG6" i="19"/>
  <c r="DH6" i="19"/>
  <c r="DI6" i="19"/>
  <c r="DJ6" i="19"/>
  <c r="DK6" i="19"/>
  <c r="DL6" i="19"/>
  <c r="DM6" i="19"/>
  <c r="DN6" i="19"/>
  <c r="DO6" i="19"/>
  <c r="DP6" i="19"/>
  <c r="DQ6" i="19"/>
  <c r="DR6" i="19"/>
  <c r="DS6" i="19"/>
  <c r="DT6" i="19"/>
  <c r="DU6" i="19"/>
  <c r="DV6" i="19"/>
  <c r="DW6" i="19"/>
  <c r="DX6" i="19"/>
  <c r="DY6" i="19"/>
  <c r="DZ6" i="19"/>
  <c r="EA6" i="19"/>
  <c r="EB6" i="19"/>
  <c r="EC6" i="19"/>
  <c r="ED6" i="19"/>
  <c r="EE6" i="19"/>
  <c r="EF6" i="19"/>
  <c r="EG6" i="19"/>
  <c r="EH6" i="19"/>
  <c r="EI6" i="19"/>
  <c r="EJ6" i="19"/>
  <c r="EK6" i="19"/>
  <c r="EL6" i="19"/>
  <c r="EM6" i="19"/>
  <c r="EN6" i="19"/>
  <c r="EO6" i="19"/>
  <c r="EP6" i="19"/>
  <c r="EQ6" i="19"/>
  <c r="ER6" i="19"/>
  <c r="ES6" i="19"/>
  <c r="ET6" i="19"/>
  <c r="EU6" i="19"/>
  <c r="EV6" i="19"/>
  <c r="EW6" i="19"/>
  <c r="EX6" i="19"/>
  <c r="EY6" i="19"/>
  <c r="EZ6" i="19"/>
  <c r="FA6" i="19"/>
  <c r="FB6" i="19"/>
  <c r="FC6" i="19"/>
  <c r="FD6" i="19"/>
  <c r="FE6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BV7" i="19"/>
  <c r="BW7" i="19"/>
  <c r="BX7" i="19"/>
  <c r="BY7" i="19"/>
  <c r="BZ7" i="19"/>
  <c r="CA7" i="19"/>
  <c r="CB7" i="19"/>
  <c r="CC7" i="19"/>
  <c r="CD7" i="19"/>
  <c r="CE7" i="19"/>
  <c r="CF7" i="19"/>
  <c r="CG7" i="19"/>
  <c r="CH7" i="19"/>
  <c r="CI7" i="19"/>
  <c r="CJ7" i="19"/>
  <c r="CK7" i="19"/>
  <c r="CL7" i="19"/>
  <c r="CM7" i="19"/>
  <c r="CN7" i="19"/>
  <c r="CO7" i="19"/>
  <c r="CP7" i="19"/>
  <c r="CQ7" i="19"/>
  <c r="CR7" i="19"/>
  <c r="CS7" i="19"/>
  <c r="CT7" i="19"/>
  <c r="CU7" i="19"/>
  <c r="CV7" i="19"/>
  <c r="CW7" i="19"/>
  <c r="CX7" i="19"/>
  <c r="CY7" i="19"/>
  <c r="CZ7" i="19"/>
  <c r="DA7" i="19"/>
  <c r="DB7" i="19"/>
  <c r="DC7" i="19"/>
  <c r="DD7" i="19"/>
  <c r="DE7" i="19"/>
  <c r="DF7" i="19"/>
  <c r="DG7" i="19"/>
  <c r="DH7" i="19"/>
  <c r="DI7" i="19"/>
  <c r="DJ7" i="19"/>
  <c r="DK7" i="19"/>
  <c r="DL7" i="19"/>
  <c r="DM7" i="19"/>
  <c r="DN7" i="19"/>
  <c r="DO7" i="19"/>
  <c r="DP7" i="19"/>
  <c r="DQ7" i="19"/>
  <c r="DR7" i="19"/>
  <c r="DS7" i="19"/>
  <c r="DT7" i="19"/>
  <c r="DU7" i="19"/>
  <c r="DV7" i="19"/>
  <c r="DW7" i="19"/>
  <c r="DX7" i="19"/>
  <c r="DY7" i="19"/>
  <c r="DZ7" i="19"/>
  <c r="EA7" i="19"/>
  <c r="EB7" i="19"/>
  <c r="EC7" i="19"/>
  <c r="ED7" i="19"/>
  <c r="EE7" i="19"/>
  <c r="EF7" i="19"/>
  <c r="EG7" i="19"/>
  <c r="EH7" i="19"/>
  <c r="EI7" i="19"/>
  <c r="EJ7" i="19"/>
  <c r="EK7" i="19"/>
  <c r="EL7" i="19"/>
  <c r="EM7" i="19"/>
  <c r="EN7" i="19"/>
  <c r="EO7" i="19"/>
  <c r="EP7" i="19"/>
  <c r="EQ7" i="19"/>
  <c r="ER7" i="19"/>
  <c r="ES7" i="19"/>
  <c r="ET7" i="19"/>
  <c r="EU7" i="19"/>
  <c r="EV7" i="19"/>
  <c r="EW7" i="19"/>
  <c r="EX7" i="19"/>
  <c r="EY7" i="19"/>
  <c r="EZ7" i="19"/>
  <c r="FA7" i="19"/>
  <c r="FB7" i="19"/>
  <c r="FC7" i="19"/>
  <c r="FD7" i="19"/>
  <c r="FE7" i="19"/>
  <c r="AD8" i="19"/>
  <c r="AD9" i="19" s="1"/>
  <c r="AE8" i="19"/>
  <c r="AE9" i="19" s="1"/>
  <c r="AF8" i="19"/>
  <c r="AF9" i="19" s="1"/>
  <c r="AG8" i="19"/>
  <c r="AG9" i="19" s="1"/>
  <c r="AH8" i="19"/>
  <c r="AI8" i="19"/>
  <c r="AI9" i="19" s="1"/>
  <c r="AJ8" i="19"/>
  <c r="AJ9" i="19" s="1"/>
  <c r="AK8" i="19"/>
  <c r="AK9" i="19" s="1"/>
  <c r="AL8" i="19"/>
  <c r="AL9" i="19" s="1"/>
  <c r="AM8" i="19"/>
  <c r="AM9" i="19" s="1"/>
  <c r="AN8" i="19"/>
  <c r="AN9" i="19" s="1"/>
  <c r="AO8" i="19"/>
  <c r="AO9" i="19" s="1"/>
  <c r="AP8" i="19"/>
  <c r="AP9" i="19" s="1"/>
  <c r="AQ8" i="19"/>
  <c r="AQ9" i="19" s="1"/>
  <c r="AR8" i="19"/>
  <c r="AR9" i="19" s="1"/>
  <c r="AS8" i="19"/>
  <c r="AS9" i="19" s="1"/>
  <c r="AT8" i="19"/>
  <c r="AT9" i="19" s="1"/>
  <c r="AU8" i="19"/>
  <c r="AU9" i="19" s="1"/>
  <c r="AV8" i="19"/>
  <c r="AV9" i="19" s="1"/>
  <c r="AW8" i="19"/>
  <c r="AW9" i="19" s="1"/>
  <c r="AX8" i="19"/>
  <c r="AX9" i="19" s="1"/>
  <c r="AY8" i="19"/>
  <c r="AY9" i="19" s="1"/>
  <c r="AZ8" i="19"/>
  <c r="AZ9" i="19" s="1"/>
  <c r="BA8" i="19"/>
  <c r="BA9" i="19" s="1"/>
  <c r="BB8" i="19"/>
  <c r="BB9" i="19" s="1"/>
  <c r="BC8" i="19"/>
  <c r="BC9" i="19" s="1"/>
  <c r="BD8" i="19"/>
  <c r="BD9" i="19" s="1"/>
  <c r="BE8" i="19"/>
  <c r="BE9" i="19" s="1"/>
  <c r="BF8" i="19"/>
  <c r="BF9" i="19" s="1"/>
  <c r="BG8" i="19"/>
  <c r="BG9" i="19" s="1"/>
  <c r="BH8" i="19"/>
  <c r="BH9" i="19" s="1"/>
  <c r="BI8" i="19"/>
  <c r="BI9" i="19" s="1"/>
  <c r="BJ8" i="19"/>
  <c r="BJ9" i="19" s="1"/>
  <c r="BK8" i="19"/>
  <c r="BK9" i="19" s="1"/>
  <c r="BL8" i="19"/>
  <c r="BL9" i="19" s="1"/>
  <c r="BM8" i="19"/>
  <c r="BM9" i="19" s="1"/>
  <c r="BN8" i="19"/>
  <c r="BN9" i="19" s="1"/>
  <c r="BO8" i="19"/>
  <c r="BO9" i="19" s="1"/>
  <c r="BP8" i="19"/>
  <c r="BP9" i="19" s="1"/>
  <c r="BQ8" i="19"/>
  <c r="BQ9" i="19" s="1"/>
  <c r="BR8" i="19"/>
  <c r="BR9" i="19" s="1"/>
  <c r="BS8" i="19"/>
  <c r="BS9" i="19" s="1"/>
  <c r="BT8" i="19"/>
  <c r="BT9" i="19" s="1"/>
  <c r="BU8" i="19"/>
  <c r="BU9" i="19" s="1"/>
  <c r="BV8" i="19"/>
  <c r="BV9" i="19" s="1"/>
  <c r="BW8" i="19"/>
  <c r="BW9" i="19" s="1"/>
  <c r="BX8" i="19"/>
  <c r="BX9" i="19" s="1"/>
  <c r="BY8" i="19"/>
  <c r="BY9" i="19" s="1"/>
  <c r="BZ8" i="19"/>
  <c r="BZ9" i="19" s="1"/>
  <c r="CA8" i="19"/>
  <c r="CA9" i="19" s="1"/>
  <c r="CB8" i="19"/>
  <c r="CB9" i="19" s="1"/>
  <c r="CC8" i="19"/>
  <c r="CC9" i="19" s="1"/>
  <c r="CD8" i="19"/>
  <c r="CD9" i="19" s="1"/>
  <c r="CE8" i="19"/>
  <c r="CE9" i="19" s="1"/>
  <c r="CF8" i="19"/>
  <c r="CF9" i="19" s="1"/>
  <c r="CG8" i="19"/>
  <c r="CG9" i="19" s="1"/>
  <c r="CH8" i="19"/>
  <c r="CH9" i="19" s="1"/>
  <c r="CI8" i="19"/>
  <c r="CI9" i="19" s="1"/>
  <c r="CJ8" i="19"/>
  <c r="CJ9" i="19" s="1"/>
  <c r="CK8" i="19"/>
  <c r="CK9" i="19" s="1"/>
  <c r="CL8" i="19"/>
  <c r="CL9" i="19" s="1"/>
  <c r="CM8" i="19"/>
  <c r="CM9" i="19" s="1"/>
  <c r="CN8" i="19"/>
  <c r="CN9" i="19" s="1"/>
  <c r="CO8" i="19"/>
  <c r="CO9" i="19" s="1"/>
  <c r="CP8" i="19"/>
  <c r="CP9" i="19" s="1"/>
  <c r="CQ8" i="19"/>
  <c r="CQ9" i="19" s="1"/>
  <c r="CR8" i="19"/>
  <c r="CR9" i="19" s="1"/>
  <c r="CS8" i="19"/>
  <c r="CS9" i="19" s="1"/>
  <c r="CT8" i="19"/>
  <c r="CT9" i="19" s="1"/>
  <c r="CU8" i="19"/>
  <c r="CU9" i="19" s="1"/>
  <c r="CV8" i="19"/>
  <c r="CV9" i="19" s="1"/>
  <c r="CW8" i="19"/>
  <c r="CW9" i="19" s="1"/>
  <c r="CX8" i="19"/>
  <c r="CX9" i="19" s="1"/>
  <c r="CY8" i="19"/>
  <c r="CY9" i="19" s="1"/>
  <c r="CZ8" i="19"/>
  <c r="CZ9" i="19" s="1"/>
  <c r="DA8" i="19"/>
  <c r="DA9" i="19" s="1"/>
  <c r="DB8" i="19"/>
  <c r="DB9" i="19" s="1"/>
  <c r="DC8" i="19"/>
  <c r="DC9" i="19" s="1"/>
  <c r="DD8" i="19"/>
  <c r="DD9" i="19" s="1"/>
  <c r="DE8" i="19"/>
  <c r="DE9" i="19" s="1"/>
  <c r="DF8" i="19"/>
  <c r="DF9" i="19" s="1"/>
  <c r="DG8" i="19"/>
  <c r="DG9" i="19" s="1"/>
  <c r="DH8" i="19"/>
  <c r="DH9" i="19" s="1"/>
  <c r="DI8" i="19"/>
  <c r="DI9" i="19" s="1"/>
  <c r="DJ8" i="19"/>
  <c r="DJ9" i="19" s="1"/>
  <c r="DK8" i="19"/>
  <c r="DK9" i="19" s="1"/>
  <c r="DL8" i="19"/>
  <c r="DL9" i="19" s="1"/>
  <c r="DM8" i="19"/>
  <c r="DM9" i="19" s="1"/>
  <c r="DN8" i="19"/>
  <c r="DN9" i="19" s="1"/>
  <c r="DO8" i="19"/>
  <c r="DO9" i="19" s="1"/>
  <c r="DP8" i="19"/>
  <c r="DP9" i="19" s="1"/>
  <c r="DQ8" i="19"/>
  <c r="DQ9" i="19" s="1"/>
  <c r="DR8" i="19"/>
  <c r="DR9" i="19" s="1"/>
  <c r="DS8" i="19"/>
  <c r="DS9" i="19" s="1"/>
  <c r="DT8" i="19"/>
  <c r="DT9" i="19" s="1"/>
  <c r="DU8" i="19"/>
  <c r="DU9" i="19" s="1"/>
  <c r="DV8" i="19"/>
  <c r="DV9" i="19" s="1"/>
  <c r="DW8" i="19"/>
  <c r="DW9" i="19" s="1"/>
  <c r="DX8" i="19"/>
  <c r="DX9" i="19" s="1"/>
  <c r="DY8" i="19"/>
  <c r="DY9" i="19" s="1"/>
  <c r="DZ8" i="19"/>
  <c r="DZ9" i="19" s="1"/>
  <c r="EA8" i="19"/>
  <c r="EA9" i="19" s="1"/>
  <c r="EB8" i="19"/>
  <c r="EB9" i="19" s="1"/>
  <c r="EC8" i="19"/>
  <c r="EC9" i="19" s="1"/>
  <c r="ED8" i="19"/>
  <c r="ED9" i="19" s="1"/>
  <c r="EE8" i="19"/>
  <c r="EE9" i="19" s="1"/>
  <c r="EF8" i="19"/>
  <c r="EF9" i="19" s="1"/>
  <c r="EG8" i="19"/>
  <c r="EG9" i="19" s="1"/>
  <c r="EH8" i="19"/>
  <c r="EH9" i="19" s="1"/>
  <c r="EI8" i="19"/>
  <c r="EI9" i="19" s="1"/>
  <c r="EJ8" i="19"/>
  <c r="EJ9" i="19" s="1"/>
  <c r="EK8" i="19"/>
  <c r="EK9" i="19" s="1"/>
  <c r="EL8" i="19"/>
  <c r="EL9" i="19" s="1"/>
  <c r="EM8" i="19"/>
  <c r="EM9" i="19" s="1"/>
  <c r="EN8" i="19"/>
  <c r="EN9" i="19" s="1"/>
  <c r="EO8" i="19"/>
  <c r="EO9" i="19" s="1"/>
  <c r="EP8" i="19"/>
  <c r="EP9" i="19" s="1"/>
  <c r="EQ8" i="19"/>
  <c r="EQ9" i="19" s="1"/>
  <c r="ER8" i="19"/>
  <c r="ER9" i="19" s="1"/>
  <c r="ES8" i="19"/>
  <c r="ES9" i="19" s="1"/>
  <c r="ET8" i="19"/>
  <c r="ET9" i="19" s="1"/>
  <c r="EU8" i="19"/>
  <c r="EU9" i="19" s="1"/>
  <c r="EV8" i="19"/>
  <c r="EV9" i="19" s="1"/>
  <c r="EW8" i="19"/>
  <c r="EW9" i="19" s="1"/>
  <c r="EX8" i="19"/>
  <c r="EX9" i="19" s="1"/>
  <c r="EY8" i="19"/>
  <c r="EY9" i="19" s="1"/>
  <c r="EZ8" i="19"/>
  <c r="EZ9" i="19" s="1"/>
  <c r="FA8" i="19"/>
  <c r="FA9" i="19" s="1"/>
  <c r="FB8" i="19"/>
  <c r="FB9" i="19" s="1"/>
  <c r="FC8" i="19"/>
  <c r="FC9" i="19" s="1"/>
  <c r="FD8" i="19"/>
  <c r="FD9" i="19" s="1"/>
  <c r="FE8" i="19"/>
  <c r="FE9" i="19" s="1"/>
  <c r="AF10" i="19"/>
  <c r="AF11" i="19" s="1"/>
  <c r="AG10" i="19"/>
  <c r="AG11" i="19" s="1"/>
  <c r="AH10" i="19"/>
  <c r="AH11" i="19" s="1"/>
  <c r="AK10" i="19"/>
  <c r="AK11" i="19" s="1"/>
  <c r="AM10" i="19"/>
  <c r="AM11" i="19" s="1"/>
  <c r="AO10" i="19"/>
  <c r="AO11" i="19" s="1"/>
  <c r="AW10" i="19"/>
  <c r="AW11" i="19" s="1"/>
  <c r="BC10" i="19"/>
  <c r="BC11" i="19" s="1"/>
  <c r="BD10" i="19"/>
  <c r="BD11" i="19" s="1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BV10" i="19"/>
  <c r="BW10" i="19"/>
  <c r="BX10" i="19"/>
  <c r="BY10" i="19"/>
  <c r="BZ10" i="19"/>
  <c r="CA10" i="19"/>
  <c r="CB10" i="19"/>
  <c r="CC10" i="19"/>
  <c r="CD10" i="19"/>
  <c r="CE10" i="19"/>
  <c r="CF10" i="19"/>
  <c r="CG10" i="19"/>
  <c r="CH10" i="19"/>
  <c r="CI10" i="19"/>
  <c r="CJ10" i="19"/>
  <c r="CK10" i="19"/>
  <c r="CL10" i="19"/>
  <c r="CM10" i="19"/>
  <c r="CN10" i="19"/>
  <c r="CO10" i="19"/>
  <c r="CP10" i="19"/>
  <c r="CQ10" i="19"/>
  <c r="CR10" i="19"/>
  <c r="CS10" i="19"/>
  <c r="CT10" i="19"/>
  <c r="CU10" i="19"/>
  <c r="CV10" i="19"/>
  <c r="CW10" i="19"/>
  <c r="CX10" i="19"/>
  <c r="CY10" i="19"/>
  <c r="CZ10" i="19"/>
  <c r="DA10" i="19"/>
  <c r="DB10" i="19"/>
  <c r="DC10" i="19"/>
  <c r="DD10" i="19"/>
  <c r="DE10" i="19"/>
  <c r="DF10" i="19"/>
  <c r="DG10" i="19"/>
  <c r="DH10" i="19"/>
  <c r="DI10" i="19"/>
  <c r="DJ10" i="19"/>
  <c r="DK10" i="19"/>
  <c r="DL10" i="19"/>
  <c r="DM10" i="19"/>
  <c r="DN10" i="19"/>
  <c r="DO10" i="19"/>
  <c r="DP10" i="19"/>
  <c r="DQ10" i="19"/>
  <c r="DR10" i="19"/>
  <c r="DS10" i="19"/>
  <c r="DT10" i="19"/>
  <c r="DU10" i="19"/>
  <c r="DV10" i="19"/>
  <c r="DW10" i="19"/>
  <c r="DX10" i="19"/>
  <c r="DY10" i="19"/>
  <c r="DZ10" i="19"/>
  <c r="EA10" i="19"/>
  <c r="EB10" i="19"/>
  <c r="EC10" i="19"/>
  <c r="ED10" i="19"/>
  <c r="EE10" i="19"/>
  <c r="EF10" i="19"/>
  <c r="EG10" i="19"/>
  <c r="EH10" i="19"/>
  <c r="EI10" i="19"/>
  <c r="EJ10" i="19"/>
  <c r="EK10" i="19"/>
  <c r="EL10" i="19"/>
  <c r="EM10" i="19"/>
  <c r="EN10" i="19"/>
  <c r="EO10" i="19"/>
  <c r="EP10" i="19"/>
  <c r="EQ10" i="19"/>
  <c r="ER10" i="19"/>
  <c r="ES10" i="19"/>
  <c r="ET10" i="19"/>
  <c r="EU10" i="19"/>
  <c r="EV10" i="19"/>
  <c r="EW10" i="19"/>
  <c r="EX10" i="19"/>
  <c r="EY10" i="19"/>
  <c r="EZ10" i="19"/>
  <c r="FA10" i="19"/>
  <c r="FB10" i="19"/>
  <c r="FC10" i="19"/>
  <c r="FD10" i="19"/>
  <c r="FE10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BV11" i="19"/>
  <c r="BW11" i="19"/>
  <c r="BX11" i="19"/>
  <c r="BY11" i="19"/>
  <c r="BZ11" i="19"/>
  <c r="CA11" i="19"/>
  <c r="CB11" i="19"/>
  <c r="CC11" i="19"/>
  <c r="CD11" i="19"/>
  <c r="CE11" i="19"/>
  <c r="CF11" i="19"/>
  <c r="CG11" i="19"/>
  <c r="CH11" i="19"/>
  <c r="CI11" i="19"/>
  <c r="CJ11" i="19"/>
  <c r="CK11" i="19"/>
  <c r="CL11" i="19"/>
  <c r="CM11" i="19"/>
  <c r="CN11" i="19"/>
  <c r="CO11" i="19"/>
  <c r="CP11" i="19"/>
  <c r="CQ11" i="19"/>
  <c r="CR11" i="19"/>
  <c r="CS11" i="19"/>
  <c r="CT11" i="19"/>
  <c r="CU11" i="19"/>
  <c r="CV11" i="19"/>
  <c r="CW11" i="19"/>
  <c r="CX11" i="19"/>
  <c r="CY11" i="19"/>
  <c r="CZ11" i="19"/>
  <c r="DA11" i="19"/>
  <c r="DB11" i="19"/>
  <c r="DC11" i="19"/>
  <c r="DD11" i="19"/>
  <c r="DE11" i="19"/>
  <c r="DF11" i="19"/>
  <c r="DG11" i="19"/>
  <c r="DH11" i="19"/>
  <c r="DI11" i="19"/>
  <c r="DJ11" i="19"/>
  <c r="DK11" i="19"/>
  <c r="DL11" i="19"/>
  <c r="DM11" i="19"/>
  <c r="DN11" i="19"/>
  <c r="DO11" i="19"/>
  <c r="DP11" i="19"/>
  <c r="DQ11" i="19"/>
  <c r="DR11" i="19"/>
  <c r="DS11" i="19"/>
  <c r="DT11" i="19"/>
  <c r="DU11" i="19"/>
  <c r="DV11" i="19"/>
  <c r="DW11" i="19"/>
  <c r="DX11" i="19"/>
  <c r="DY11" i="19"/>
  <c r="DZ11" i="19"/>
  <c r="EA11" i="19"/>
  <c r="EB11" i="19"/>
  <c r="EC11" i="19"/>
  <c r="ED11" i="19"/>
  <c r="EE11" i="19"/>
  <c r="EF11" i="19"/>
  <c r="EG11" i="19"/>
  <c r="EH11" i="19"/>
  <c r="EI11" i="19"/>
  <c r="EJ11" i="19"/>
  <c r="EK11" i="19"/>
  <c r="EL11" i="19"/>
  <c r="EM11" i="19"/>
  <c r="EN11" i="19"/>
  <c r="EO11" i="19"/>
  <c r="EP11" i="19"/>
  <c r="EQ11" i="19"/>
  <c r="ER11" i="19"/>
  <c r="ES11" i="19"/>
  <c r="ET11" i="19"/>
  <c r="EU11" i="19"/>
  <c r="EV11" i="19"/>
  <c r="EW11" i="19"/>
  <c r="EX11" i="19"/>
  <c r="EY11" i="19"/>
  <c r="EZ11" i="19"/>
  <c r="FA11" i="19"/>
  <c r="FB11" i="19"/>
  <c r="FC11" i="19"/>
  <c r="FD11" i="19"/>
  <c r="FE11" i="19"/>
  <c r="Z42" i="19" l="1"/>
  <c r="AB42" i="19" s="1"/>
  <c r="Z41" i="19"/>
  <c r="AB41" i="19" s="1"/>
  <c r="Z40" i="19"/>
  <c r="AB40" i="19" s="1"/>
  <c r="BE12" i="19"/>
  <c r="EW12" i="19"/>
  <c r="BU12" i="19"/>
  <c r="CO12" i="19"/>
  <c r="CS12" i="19"/>
  <c r="AW12" i="19"/>
  <c r="AO12" i="19"/>
  <c r="DO12" i="19"/>
  <c r="CW12" i="19"/>
  <c r="EG12" i="19"/>
  <c r="CK12" i="19"/>
  <c r="ES12" i="19"/>
  <c r="DM12" i="19"/>
  <c r="CG12" i="19"/>
  <c r="DA12" i="19"/>
  <c r="DU12" i="19"/>
  <c r="BI12" i="19"/>
  <c r="DQ12" i="19"/>
  <c r="DI12" i="19"/>
  <c r="FA12" i="19"/>
  <c r="FE12" i="19"/>
  <c r="BT12" i="19"/>
  <c r="EK12" i="19"/>
  <c r="BQ12" i="19"/>
  <c r="FC12" i="19"/>
  <c r="EU12" i="19"/>
  <c r="EM12" i="19"/>
  <c r="EE12" i="19"/>
  <c r="DW12" i="19"/>
  <c r="DG12" i="19"/>
  <c r="CY12" i="19"/>
  <c r="CQ12" i="19"/>
  <c r="CI12" i="19"/>
  <c r="CA12" i="19"/>
  <c r="BS12" i="19"/>
  <c r="BK12" i="19"/>
  <c r="AG12" i="19"/>
  <c r="ED12" i="19"/>
  <c r="BR12" i="19"/>
  <c r="EF12" i="19"/>
  <c r="DE12" i="19"/>
  <c r="EV12" i="19"/>
  <c r="EC12" i="19"/>
  <c r="CB12" i="19"/>
  <c r="DH12" i="19"/>
  <c r="BY12" i="19"/>
  <c r="EN12" i="19"/>
  <c r="BC12" i="19"/>
  <c r="EO12" i="19"/>
  <c r="DY12" i="19"/>
  <c r="CC12" i="19"/>
  <c r="BM12" i="19"/>
  <c r="FB12" i="19"/>
  <c r="CP12" i="19"/>
  <c r="ET12" i="19"/>
  <c r="DF12" i="19"/>
  <c r="DP12" i="19"/>
  <c r="BD12" i="19"/>
  <c r="AF12" i="19"/>
  <c r="DN12" i="19"/>
  <c r="CZ12" i="19"/>
  <c r="EL12" i="19"/>
  <c r="DX12" i="19"/>
  <c r="BZ12" i="19"/>
  <c r="BL12" i="19"/>
  <c r="CX12" i="19"/>
  <c r="CJ12" i="19"/>
  <c r="AM12" i="19"/>
  <c r="EZ12" i="19"/>
  <c r="ER12" i="19"/>
  <c r="EJ12" i="19"/>
  <c r="EB12" i="19"/>
  <c r="DT12" i="19"/>
  <c r="DL12" i="19"/>
  <c r="DD12" i="19"/>
  <c r="CV12" i="19"/>
  <c r="CN12" i="19"/>
  <c r="CF12" i="19"/>
  <c r="BX12" i="19"/>
  <c r="BP12" i="19"/>
  <c r="BH12" i="19"/>
  <c r="DV12" i="19"/>
  <c r="BJ12" i="19"/>
  <c r="EY12" i="19"/>
  <c r="EQ12" i="19"/>
  <c r="EI12" i="19"/>
  <c r="EA12" i="19"/>
  <c r="DS12" i="19"/>
  <c r="DK12" i="19"/>
  <c r="DC12" i="19"/>
  <c r="CU12" i="19"/>
  <c r="CM12" i="19"/>
  <c r="CE12" i="19"/>
  <c r="BW12" i="19"/>
  <c r="BO12" i="19"/>
  <c r="BG12" i="19"/>
  <c r="AK12" i="19"/>
  <c r="EX12" i="19"/>
  <c r="EP12" i="19"/>
  <c r="EH12" i="19"/>
  <c r="DZ12" i="19"/>
  <c r="DR12" i="19"/>
  <c r="DJ12" i="19"/>
  <c r="DB12" i="19"/>
  <c r="CT12" i="19"/>
  <c r="CL12" i="19"/>
  <c r="CD12" i="19"/>
  <c r="BV12" i="19"/>
  <c r="BN12" i="19"/>
  <c r="BF12" i="19"/>
  <c r="CH12" i="19"/>
  <c r="FD12" i="19"/>
  <c r="CR12" i="19"/>
  <c r="W36" i="19" l="1"/>
  <c r="AN10" i="19" s="1"/>
  <c r="AN11" i="19" s="1"/>
  <c r="AN12" i="19" s="1"/>
  <c r="S36" i="19"/>
  <c r="T36" i="19" s="1"/>
  <c r="P36" i="19" s="1"/>
  <c r="N36" i="19" s="1"/>
  <c r="O36" i="19" s="1"/>
  <c r="Q36" i="19" s="1"/>
  <c r="I36" i="19"/>
  <c r="E36" i="19"/>
  <c r="AI10" i="19" l="1"/>
  <c r="AI11" i="19" s="1"/>
  <c r="AI12" i="19" s="1"/>
  <c r="AA36" i="19"/>
  <c r="W20" i="99" l="1"/>
  <c r="S20" i="99"/>
  <c r="T20" i="99" s="1"/>
  <c r="P20" i="99" s="1"/>
  <c r="N20" i="99" s="1"/>
  <c r="O20" i="99" s="1"/>
  <c r="L20" i="99"/>
  <c r="I20" i="99"/>
  <c r="G20" i="99"/>
  <c r="W19" i="99"/>
  <c r="S19" i="99"/>
  <c r="T19" i="99" s="1"/>
  <c r="P19" i="99" s="1"/>
  <c r="N19" i="99" s="1"/>
  <c r="O19" i="99" s="1"/>
  <c r="L19" i="99"/>
  <c r="I19" i="99"/>
  <c r="G19" i="99"/>
  <c r="AP6" i="99" l="1"/>
  <c r="AO6" i="99"/>
  <c r="AI6" i="99"/>
  <c r="BI6" i="99"/>
  <c r="AR6" i="99"/>
  <c r="BK6" i="99"/>
  <c r="BB6" i="99"/>
  <c r="AU6" i="99"/>
  <c r="AE6" i="99"/>
  <c r="BC6" i="99"/>
  <c r="AN6" i="99"/>
  <c r="BD6" i="99"/>
  <c r="BF6" i="99"/>
  <c r="AZ6" i="99"/>
  <c r="AY6" i="99"/>
  <c r="BJ6" i="99"/>
  <c r="BI10" i="99"/>
  <c r="BI11" i="99" s="1"/>
  <c r="BI12" i="99" s="1"/>
  <c r="BK10" i="99"/>
  <c r="BK11" i="99" s="1"/>
  <c r="BK12" i="99" s="1"/>
  <c r="BF10" i="99"/>
  <c r="BF11" i="99" s="1"/>
  <c r="BF12" i="99" s="1"/>
  <c r="BJ10" i="99"/>
  <c r="BJ11" i="99" s="1"/>
  <c r="BJ12" i="99" s="1"/>
  <c r="BB10" i="99"/>
  <c r="BB11" i="99" s="1"/>
  <c r="BB12" i="99" s="1"/>
  <c r="BC10" i="99"/>
  <c r="BC11" i="99" s="1"/>
  <c r="BC12" i="99" s="1"/>
  <c r="BD10" i="99"/>
  <c r="BD11" i="99" s="1"/>
  <c r="BD12" i="99" s="1"/>
  <c r="AZ10" i="99"/>
  <c r="AZ11" i="99" s="1"/>
  <c r="AZ12" i="99" s="1"/>
  <c r="AY10" i="99"/>
  <c r="AY11" i="99" s="1"/>
  <c r="AY12" i="99" s="1"/>
  <c r="AP10" i="99"/>
  <c r="AP11" i="99" s="1"/>
  <c r="AP12" i="99" s="1"/>
  <c r="AR10" i="99"/>
  <c r="AR11" i="99" s="1"/>
  <c r="AR12" i="99" s="1"/>
  <c r="AU10" i="99"/>
  <c r="AU11" i="99" s="1"/>
  <c r="AU12" i="99" s="1"/>
  <c r="AN10" i="99"/>
  <c r="AN11" i="99" s="1"/>
  <c r="AN12" i="99" s="1"/>
  <c r="AO10" i="99"/>
  <c r="AO11" i="99" s="1"/>
  <c r="AO12" i="99" s="1"/>
  <c r="AE10" i="99"/>
  <c r="AE11" i="99" s="1"/>
  <c r="AE12" i="99" s="1"/>
  <c r="AI10" i="99"/>
  <c r="AI11" i="99" s="1"/>
  <c r="AI12" i="99" s="1"/>
  <c r="Q19" i="99"/>
  <c r="Q20" i="99"/>
  <c r="AA20" i="99" s="1"/>
  <c r="AA19" i="99"/>
  <c r="BV6" i="67" l="1"/>
  <c r="BW6" i="67"/>
  <c r="BX6" i="67"/>
  <c r="BY6" i="67"/>
  <c r="AD7" i="67"/>
  <c r="AE7" i="67"/>
  <c r="AF7" i="67"/>
  <c r="AG7" i="67"/>
  <c r="AH7" i="67"/>
  <c r="AI7" i="67"/>
  <c r="AJ7" i="67"/>
  <c r="AK7" i="67"/>
  <c r="AL7" i="67"/>
  <c r="AM7" i="67"/>
  <c r="AN7" i="67"/>
  <c r="AO7" i="67"/>
  <c r="AP7" i="67"/>
  <c r="AQ7" i="67"/>
  <c r="AR7" i="67"/>
  <c r="AS7" i="67"/>
  <c r="AT7" i="67"/>
  <c r="AU7" i="67"/>
  <c r="AV7" i="67"/>
  <c r="AW7" i="67"/>
  <c r="AX7" i="67"/>
  <c r="AY7" i="67"/>
  <c r="AZ7" i="67"/>
  <c r="BA7" i="67"/>
  <c r="BB7" i="67"/>
  <c r="BJ7" i="67"/>
  <c r="BC7" i="67"/>
  <c r="BD7" i="67"/>
  <c r="BE7" i="67"/>
  <c r="BF7" i="67"/>
  <c r="BG7" i="67"/>
  <c r="BH7" i="67"/>
  <c r="BI7" i="67"/>
  <c r="BK7" i="67"/>
  <c r="BL7" i="67"/>
  <c r="BM7" i="67"/>
  <c r="BN7" i="67"/>
  <c r="BO7" i="67"/>
  <c r="BP7" i="67"/>
  <c r="BQ7" i="67"/>
  <c r="BR7" i="67"/>
  <c r="BS7" i="67"/>
  <c r="BT7" i="67"/>
  <c r="BU7" i="67"/>
  <c r="BV7" i="67"/>
  <c r="BW7" i="67"/>
  <c r="BX7" i="67"/>
  <c r="BY7" i="67"/>
  <c r="AD8" i="67"/>
  <c r="AE8" i="67"/>
  <c r="AF8" i="67"/>
  <c r="AG8" i="67"/>
  <c r="AH8" i="67"/>
  <c r="AI8" i="67"/>
  <c r="AJ8" i="67"/>
  <c r="AK8" i="67"/>
  <c r="AL8" i="67"/>
  <c r="AM8" i="67"/>
  <c r="AN8" i="67"/>
  <c r="AO8" i="67"/>
  <c r="AP8" i="67"/>
  <c r="AQ8" i="67"/>
  <c r="AR8" i="67"/>
  <c r="AS8" i="67"/>
  <c r="AT8" i="67"/>
  <c r="AU8" i="67"/>
  <c r="AV8" i="67"/>
  <c r="AW8" i="67"/>
  <c r="AX8" i="67"/>
  <c r="AY8" i="67"/>
  <c r="AZ8" i="67"/>
  <c r="BA8" i="67"/>
  <c r="BB8" i="67"/>
  <c r="BJ8" i="67"/>
  <c r="BC8" i="67"/>
  <c r="BD8" i="67"/>
  <c r="BE8" i="67"/>
  <c r="BF8" i="67"/>
  <c r="BG8" i="67"/>
  <c r="BH8" i="67"/>
  <c r="BI8" i="67"/>
  <c r="BK8" i="67"/>
  <c r="BL8" i="67"/>
  <c r="BM8" i="67"/>
  <c r="BN8" i="67"/>
  <c r="BO8" i="67"/>
  <c r="BP8" i="67"/>
  <c r="BQ8" i="67"/>
  <c r="BR8" i="67"/>
  <c r="BS8" i="67"/>
  <c r="BT8" i="67"/>
  <c r="BU8" i="67"/>
  <c r="BV8" i="67"/>
  <c r="BW8" i="67"/>
  <c r="BX8" i="67"/>
  <c r="BY8" i="67"/>
  <c r="AD9" i="67"/>
  <c r="AE9" i="67"/>
  <c r="AF9" i="67"/>
  <c r="AH9" i="67"/>
  <c r="AI9" i="67"/>
  <c r="AJ9" i="67"/>
  <c r="AK9" i="67"/>
  <c r="AL9" i="67"/>
  <c r="AM9" i="67"/>
  <c r="AN9" i="67"/>
  <c r="AO9" i="67"/>
  <c r="AP9" i="67"/>
  <c r="AQ9" i="67"/>
  <c r="AR9" i="67"/>
  <c r="AS9" i="67"/>
  <c r="AT9" i="67"/>
  <c r="AU9" i="67"/>
  <c r="AV9" i="67"/>
  <c r="AW9" i="67"/>
  <c r="AX9" i="67"/>
  <c r="AY9" i="67"/>
  <c r="AZ9" i="67"/>
  <c r="BA9" i="67"/>
  <c r="BB9" i="67"/>
  <c r="BJ9" i="67"/>
  <c r="BC9" i="67"/>
  <c r="BD9" i="67"/>
  <c r="BE9" i="67"/>
  <c r="BF9" i="67"/>
  <c r="BG9" i="67"/>
  <c r="BH9" i="67"/>
  <c r="BI9" i="67"/>
  <c r="BK9" i="67"/>
  <c r="BL9" i="67"/>
  <c r="BM9" i="67"/>
  <c r="BN9" i="67"/>
  <c r="BO9" i="67"/>
  <c r="BP9" i="67"/>
  <c r="BQ9" i="67"/>
  <c r="BR9" i="67"/>
  <c r="BS9" i="67"/>
  <c r="BT9" i="67"/>
  <c r="BU9" i="67"/>
  <c r="BV9" i="67"/>
  <c r="BW9" i="67"/>
  <c r="BX9" i="67"/>
  <c r="BY9" i="67"/>
  <c r="AJ10" i="67"/>
  <c r="AJ11" i="67" s="1"/>
  <c r="AK10" i="67"/>
  <c r="AK11" i="67" s="1"/>
  <c r="AL10" i="67"/>
  <c r="AL11" i="67" s="1"/>
  <c r="BE10" i="67"/>
  <c r="BL10" i="67"/>
  <c r="BL11" i="67" s="1"/>
  <c r="BN10" i="67"/>
  <c r="BN11" i="67" s="1"/>
  <c r="BP10" i="67"/>
  <c r="BP11" i="67" s="1"/>
  <c r="BQ10" i="67"/>
  <c r="BR10" i="67"/>
  <c r="BS10" i="67"/>
  <c r="BT10" i="67"/>
  <c r="BU10" i="67"/>
  <c r="BV10" i="67"/>
  <c r="BW10" i="67"/>
  <c r="BX10" i="67"/>
  <c r="BY10" i="67"/>
  <c r="BE11" i="67"/>
  <c r="BQ11" i="67"/>
  <c r="BR11" i="67"/>
  <c r="BS11" i="67"/>
  <c r="BT11" i="67"/>
  <c r="BU11" i="67"/>
  <c r="BV11" i="67"/>
  <c r="BW11" i="67"/>
  <c r="BX11" i="67"/>
  <c r="BY11" i="67"/>
  <c r="BP12" i="67" l="1"/>
  <c r="BX12" i="67"/>
  <c r="BW12" i="67"/>
  <c r="AL12" i="67"/>
  <c r="BU12" i="67"/>
  <c r="AJ12" i="67"/>
  <c r="BR12" i="67"/>
  <c r="BY12" i="67"/>
  <c r="BQ12" i="67"/>
  <c r="BV12" i="67"/>
  <c r="BN12" i="67"/>
  <c r="AK12" i="67"/>
  <c r="BT12" i="67"/>
  <c r="BL12" i="67"/>
  <c r="BS12" i="67"/>
  <c r="BE12" i="67"/>
  <c r="Z39" i="67" l="1"/>
  <c r="AB39" i="67" s="1"/>
  <c r="Z38" i="67"/>
  <c r="AB38" i="67" s="1"/>
  <c r="Z36" i="67"/>
  <c r="AB36" i="67" s="1"/>
  <c r="Z37" i="67"/>
  <c r="AB37" i="67" s="1"/>
  <c r="Z35" i="67"/>
  <c r="AB35" i="67" s="1"/>
  <c r="AD6" i="61"/>
  <c r="AE6" i="61"/>
  <c r="AF6" i="61"/>
  <c r="AG6" i="61"/>
  <c r="AH6" i="61"/>
  <c r="AI6" i="61"/>
  <c r="AJ6" i="61"/>
  <c r="AK6" i="61"/>
  <c r="AL6" i="61"/>
  <c r="AM6" i="61"/>
  <c r="AN6" i="61"/>
  <c r="AO6" i="61"/>
  <c r="AP6" i="61"/>
  <c r="AQ6" i="61"/>
  <c r="AR6" i="61"/>
  <c r="AS6" i="61"/>
  <c r="AT6" i="61"/>
  <c r="AU6" i="61"/>
  <c r="AV6" i="61"/>
  <c r="AW6" i="61"/>
  <c r="AX6" i="61"/>
  <c r="AY6" i="61"/>
  <c r="AZ6" i="61"/>
  <c r="BA6" i="61"/>
  <c r="BB6" i="61"/>
  <c r="BC6" i="61"/>
  <c r="BD6" i="61"/>
  <c r="BE6" i="61"/>
  <c r="BF6" i="61"/>
  <c r="BG6" i="61"/>
  <c r="BH6" i="61"/>
  <c r="BI6" i="61"/>
  <c r="BJ6" i="61"/>
  <c r="BK6" i="61"/>
  <c r="BL6" i="61"/>
  <c r="BM6" i="61"/>
  <c r="BN6" i="61"/>
  <c r="BO6" i="61"/>
  <c r="BP6" i="61"/>
  <c r="BQ6" i="61"/>
  <c r="AD7" i="61"/>
  <c r="AE7" i="61"/>
  <c r="AF7" i="61"/>
  <c r="AG7" i="61"/>
  <c r="AH7" i="61"/>
  <c r="AI7" i="61"/>
  <c r="AJ7" i="61"/>
  <c r="AK7" i="61"/>
  <c r="AL7" i="61"/>
  <c r="AM7" i="61"/>
  <c r="AN7" i="61"/>
  <c r="AO7" i="61"/>
  <c r="AP7" i="61"/>
  <c r="AQ7" i="61"/>
  <c r="AR7" i="61"/>
  <c r="AS7" i="61"/>
  <c r="AT7" i="61"/>
  <c r="AU7" i="61"/>
  <c r="AV7" i="61"/>
  <c r="AW7" i="61"/>
  <c r="AX7" i="61"/>
  <c r="AY7" i="61"/>
  <c r="AZ7" i="61"/>
  <c r="BA7" i="61"/>
  <c r="BB7" i="61"/>
  <c r="BC7" i="61"/>
  <c r="BD7" i="61"/>
  <c r="BE7" i="61"/>
  <c r="BF7" i="61"/>
  <c r="BG7" i="61"/>
  <c r="BH7" i="61"/>
  <c r="BI7" i="61"/>
  <c r="BJ7" i="61"/>
  <c r="BK7" i="61"/>
  <c r="BL7" i="61"/>
  <c r="BM7" i="61"/>
  <c r="BN7" i="61"/>
  <c r="BO7" i="61"/>
  <c r="BP7" i="61"/>
  <c r="BQ7" i="61"/>
  <c r="AD8" i="61"/>
  <c r="AE8" i="61"/>
  <c r="AF8" i="61"/>
  <c r="AG8" i="61"/>
  <c r="AH8" i="61"/>
  <c r="AI8" i="61"/>
  <c r="AJ8" i="61"/>
  <c r="AK8" i="61"/>
  <c r="AL8" i="61"/>
  <c r="AM8" i="61"/>
  <c r="AN8" i="61"/>
  <c r="AO8" i="61"/>
  <c r="AP8" i="61"/>
  <c r="AQ8" i="61"/>
  <c r="AR8" i="61"/>
  <c r="AS8" i="61"/>
  <c r="AT8" i="61"/>
  <c r="AU8" i="61"/>
  <c r="AV8" i="61"/>
  <c r="AW8" i="61"/>
  <c r="AX8" i="61"/>
  <c r="AY8" i="61"/>
  <c r="AZ8" i="61"/>
  <c r="BA8" i="61"/>
  <c r="BB8" i="61"/>
  <c r="BC8" i="61"/>
  <c r="BD8" i="61"/>
  <c r="BE8" i="61"/>
  <c r="BF8" i="61"/>
  <c r="BG8" i="61"/>
  <c r="BH8" i="61"/>
  <c r="BI8" i="61"/>
  <c r="BJ8" i="61"/>
  <c r="BK8" i="61"/>
  <c r="BL8" i="61"/>
  <c r="BM8" i="61"/>
  <c r="BN8" i="61"/>
  <c r="BO8" i="61"/>
  <c r="BP8" i="61"/>
  <c r="BQ8" i="61"/>
  <c r="AD9" i="61"/>
  <c r="AE9" i="61"/>
  <c r="AF9" i="61"/>
  <c r="AG9" i="61"/>
  <c r="AH9" i="61"/>
  <c r="AI9" i="61"/>
  <c r="AJ9" i="61"/>
  <c r="AK9" i="61"/>
  <c r="AL9" i="61"/>
  <c r="AM9" i="61"/>
  <c r="AN9" i="61"/>
  <c r="AO9" i="61"/>
  <c r="AP9" i="61"/>
  <c r="AR9" i="61"/>
  <c r="AS9" i="61"/>
  <c r="AT9" i="61"/>
  <c r="AU9" i="61"/>
  <c r="AV9" i="61"/>
  <c r="AW9" i="61"/>
  <c r="AX9" i="61"/>
  <c r="AY9" i="61"/>
  <c r="AZ9" i="61"/>
  <c r="BA9" i="61"/>
  <c r="BB9" i="61"/>
  <c r="BC9" i="61"/>
  <c r="BD9" i="61"/>
  <c r="BE9" i="61"/>
  <c r="BF9" i="61"/>
  <c r="BG9" i="61"/>
  <c r="BH9" i="61"/>
  <c r="BI9" i="61"/>
  <c r="BJ9" i="61"/>
  <c r="BK9" i="61"/>
  <c r="BL9" i="61"/>
  <c r="BM9" i="61"/>
  <c r="BN9" i="61"/>
  <c r="BO9" i="61"/>
  <c r="BP9" i="61"/>
  <c r="BQ9" i="61"/>
  <c r="AD10" i="61"/>
  <c r="AD11" i="61" s="1"/>
  <c r="AE10" i="61"/>
  <c r="AE11" i="61" s="1"/>
  <c r="AF10" i="61"/>
  <c r="AF11" i="61" s="1"/>
  <c r="AG10" i="61"/>
  <c r="AG11" i="61" s="1"/>
  <c r="AH10" i="61"/>
  <c r="AH11" i="61" s="1"/>
  <c r="AI10" i="61"/>
  <c r="AI11" i="61" s="1"/>
  <c r="AJ10" i="61"/>
  <c r="AK10" i="61"/>
  <c r="AK11" i="61" s="1"/>
  <c r="AL10" i="61"/>
  <c r="AL11" i="61" s="1"/>
  <c r="AM10" i="61"/>
  <c r="AM11" i="61" s="1"/>
  <c r="AN10" i="61"/>
  <c r="AN11" i="61" s="1"/>
  <c r="AO10" i="61"/>
  <c r="AO11" i="61" s="1"/>
  <c r="AP10" i="61"/>
  <c r="AP11" i="61" s="1"/>
  <c r="AQ10" i="61"/>
  <c r="AQ11" i="61" s="1"/>
  <c r="AR10" i="61"/>
  <c r="AR11" i="61" s="1"/>
  <c r="AR12" i="61" s="1"/>
  <c r="AS10" i="61"/>
  <c r="AS11" i="61" s="1"/>
  <c r="AT10" i="61"/>
  <c r="AT11" i="61" s="1"/>
  <c r="AU10" i="61"/>
  <c r="AU11" i="61" s="1"/>
  <c r="AV10" i="61"/>
  <c r="AV11" i="61" s="1"/>
  <c r="AW10" i="61"/>
  <c r="AW11" i="61" s="1"/>
  <c r="AX10" i="61"/>
  <c r="AX11" i="61" s="1"/>
  <c r="AY10" i="61"/>
  <c r="AY11" i="61" s="1"/>
  <c r="AZ10" i="61"/>
  <c r="AZ11" i="61" s="1"/>
  <c r="AZ12" i="61" s="1"/>
  <c r="BA10" i="61"/>
  <c r="BA11" i="61" s="1"/>
  <c r="BB10" i="61"/>
  <c r="BB11" i="61" s="1"/>
  <c r="BC10" i="61"/>
  <c r="BC11" i="61" s="1"/>
  <c r="BD10" i="61"/>
  <c r="BD11" i="61" s="1"/>
  <c r="BE10" i="61"/>
  <c r="BE11" i="61" s="1"/>
  <c r="BF10" i="61"/>
  <c r="BF11" i="61" s="1"/>
  <c r="BG10" i="61"/>
  <c r="BG11" i="61" s="1"/>
  <c r="BH10" i="61"/>
  <c r="BH11" i="61" s="1"/>
  <c r="BI10" i="61"/>
  <c r="BI11" i="61" s="1"/>
  <c r="BJ10" i="61"/>
  <c r="BJ11" i="61" s="1"/>
  <c r="BK10" i="61"/>
  <c r="BK11" i="61" s="1"/>
  <c r="BL10" i="61"/>
  <c r="BL11" i="61" s="1"/>
  <c r="BM10" i="61"/>
  <c r="BM11" i="61" s="1"/>
  <c r="BN10" i="61"/>
  <c r="BN11" i="61" s="1"/>
  <c r="BO10" i="61"/>
  <c r="BO11" i="61" s="1"/>
  <c r="BP10" i="61"/>
  <c r="BP11" i="61" s="1"/>
  <c r="BQ10" i="61"/>
  <c r="BQ11" i="61" s="1"/>
  <c r="AJ11" i="61"/>
  <c r="AJ12" i="61" s="1"/>
  <c r="AK12" i="61" l="1"/>
  <c r="BA12" i="61"/>
  <c r="AS12" i="61"/>
  <c r="BH12" i="61"/>
  <c r="BP12" i="61"/>
  <c r="AQ12" i="61"/>
  <c r="AI12" i="61"/>
  <c r="AY12" i="61"/>
  <c r="BQ12" i="61"/>
  <c r="BI12" i="61"/>
  <c r="BG12" i="61"/>
  <c r="BO12" i="61"/>
  <c r="AO12" i="61"/>
  <c r="BL12" i="61"/>
  <c r="BD12" i="61"/>
  <c r="BK12" i="61"/>
  <c r="BC12" i="61"/>
  <c r="AM12" i="61"/>
  <c r="AE12" i="61"/>
  <c r="BE12" i="61"/>
  <c r="AN12" i="61"/>
  <c r="AU12" i="61"/>
  <c r="BM12" i="61"/>
  <c r="AW12" i="61"/>
  <c r="AF12" i="61"/>
  <c r="AG12" i="61"/>
  <c r="AV12" i="61"/>
  <c r="BN12" i="61"/>
  <c r="BF12" i="61"/>
  <c r="AX12" i="61"/>
  <c r="AP12" i="61"/>
  <c r="AH12" i="61"/>
  <c r="BJ12" i="61"/>
  <c r="BB12" i="61"/>
  <c r="AT12" i="61"/>
  <c r="AL12" i="61"/>
  <c r="AD12" i="61"/>
  <c r="W15" i="83" l="1"/>
  <c r="S15" i="83"/>
  <c r="T15" i="83" s="1"/>
  <c r="P15" i="83" s="1"/>
  <c r="N15" i="83" s="1"/>
  <c r="O15" i="83" s="1"/>
  <c r="L15" i="83"/>
  <c r="I15" i="83"/>
  <c r="G15" i="83"/>
  <c r="Z15" i="83" s="1"/>
  <c r="Q15" i="83" l="1"/>
  <c r="AA15" i="83" s="1"/>
  <c r="AB15" i="83" s="1"/>
  <c r="H17" i="99" l="1"/>
  <c r="W18" i="99"/>
  <c r="S18" i="99"/>
  <c r="T18" i="99" s="1"/>
  <c r="P18" i="99" s="1"/>
  <c r="N18" i="99" s="1"/>
  <c r="O18" i="99" s="1"/>
  <c r="L18" i="99"/>
  <c r="I18" i="99"/>
  <c r="G18" i="99"/>
  <c r="AJ6" i="99" l="1"/>
  <c r="BH6" i="99"/>
  <c r="BA6" i="99"/>
  <c r="AL6" i="99"/>
  <c r="BA10" i="99"/>
  <c r="BA11" i="99" s="1"/>
  <c r="BA12" i="99" s="1"/>
  <c r="BH10" i="99"/>
  <c r="BH11" i="99" s="1"/>
  <c r="BH12" i="99" s="1"/>
  <c r="AJ10" i="99"/>
  <c r="AJ11" i="99" s="1"/>
  <c r="AJ12" i="99" s="1"/>
  <c r="AL10" i="99"/>
  <c r="AL11" i="99" s="1"/>
  <c r="AL12" i="99" s="1"/>
  <c r="Q18" i="99"/>
  <c r="AA18" i="99" s="1"/>
  <c r="V38" i="11" l="1"/>
  <c r="W38" i="11" s="1"/>
  <c r="S38" i="11" s="1"/>
  <c r="Q38" i="11" s="1"/>
  <c r="R38" i="11" s="1"/>
  <c r="O38" i="11"/>
  <c r="L38" i="11"/>
  <c r="G38" i="11"/>
  <c r="T38" i="11" l="1"/>
  <c r="AD38" i="11" s="1"/>
  <c r="W16" i="64" l="1"/>
  <c r="S16" i="64"/>
  <c r="T16" i="64" s="1"/>
  <c r="P16" i="64" s="1"/>
  <c r="N16" i="64" s="1"/>
  <c r="O16" i="64" s="1"/>
  <c r="Q16" i="64" s="1"/>
  <c r="L16" i="64"/>
  <c r="I16" i="64"/>
  <c r="G16" i="64"/>
  <c r="AA16" i="64" l="1"/>
  <c r="J14" i="89" l="1"/>
  <c r="V15" i="89"/>
  <c r="W15" i="89" s="1"/>
  <c r="S15" i="89" s="1"/>
  <c r="Q15" i="89" s="1"/>
  <c r="R15" i="89" s="1"/>
  <c r="O15" i="89"/>
  <c r="L15" i="89"/>
  <c r="T15" i="89" l="1"/>
  <c r="AD15" i="89"/>
  <c r="I18" i="90" l="1"/>
  <c r="W20" i="90"/>
  <c r="S20" i="90"/>
  <c r="T20" i="90" s="1"/>
  <c r="P20" i="90" s="1"/>
  <c r="N20" i="90" s="1"/>
  <c r="L20" i="90"/>
  <c r="G20" i="90"/>
  <c r="W19" i="90"/>
  <c r="S19" i="90"/>
  <c r="T19" i="90" s="1"/>
  <c r="P19" i="90" s="1"/>
  <c r="N19" i="90" s="1"/>
  <c r="O19" i="90" s="1"/>
  <c r="L19" i="90"/>
  <c r="I19" i="90"/>
  <c r="G19" i="90"/>
  <c r="W19" i="100"/>
  <c r="S19" i="100"/>
  <c r="T19" i="100" s="1"/>
  <c r="P19" i="100" s="1"/>
  <c r="N19" i="100" s="1"/>
  <c r="O19" i="100" s="1"/>
  <c r="L19" i="100"/>
  <c r="I19" i="100"/>
  <c r="G19" i="100"/>
  <c r="Z19" i="100" s="1"/>
  <c r="W18" i="100"/>
  <c r="S18" i="100"/>
  <c r="T18" i="100" s="1"/>
  <c r="P18" i="100" s="1"/>
  <c r="N18" i="100" s="1"/>
  <c r="O18" i="100" s="1"/>
  <c r="L18" i="100"/>
  <c r="I18" i="100"/>
  <c r="G18" i="100"/>
  <c r="Z18" i="100" s="1"/>
  <c r="W17" i="100"/>
  <c r="S17" i="100"/>
  <c r="T17" i="100" s="1"/>
  <c r="P17" i="100" s="1"/>
  <c r="N17" i="100" s="1"/>
  <c r="O17" i="100" s="1"/>
  <c r="L17" i="100"/>
  <c r="I17" i="100"/>
  <c r="G17" i="100"/>
  <c r="Z17" i="100" s="1"/>
  <c r="W16" i="100"/>
  <c r="S16" i="100"/>
  <c r="T16" i="100" s="1"/>
  <c r="P16" i="100" s="1"/>
  <c r="N16" i="100" s="1"/>
  <c r="O16" i="100" s="1"/>
  <c r="L16" i="100"/>
  <c r="I16" i="100"/>
  <c r="G16" i="100"/>
  <c r="Z16" i="100" s="1"/>
  <c r="W15" i="100"/>
  <c r="AV10" i="100" s="1"/>
  <c r="AV11" i="100" s="1"/>
  <c r="AV12" i="100" s="1"/>
  <c r="S15" i="100"/>
  <c r="T15" i="100" s="1"/>
  <c r="P15" i="100" s="1"/>
  <c r="N15" i="100" s="1"/>
  <c r="O15" i="100" s="1"/>
  <c r="L15" i="100"/>
  <c r="I15" i="100"/>
  <c r="G15" i="100"/>
  <c r="Z15" i="100" s="1"/>
  <c r="W14" i="100"/>
  <c r="BI10" i="100" s="1"/>
  <c r="BI11" i="100" s="1"/>
  <c r="BI12" i="100" s="1"/>
  <c r="S14" i="100"/>
  <c r="T14" i="100" s="1"/>
  <c r="P14" i="100" s="1"/>
  <c r="N14" i="100" s="1"/>
  <c r="O14" i="100" s="1"/>
  <c r="L14" i="100"/>
  <c r="I14" i="100"/>
  <c r="G14" i="100"/>
  <c r="Z14" i="100" s="1"/>
  <c r="W13" i="100"/>
  <c r="S13" i="100"/>
  <c r="T13" i="100" s="1"/>
  <c r="P13" i="100" s="1"/>
  <c r="N13" i="100" s="1"/>
  <c r="O13" i="100" s="1"/>
  <c r="L13" i="100"/>
  <c r="I13" i="100"/>
  <c r="G13" i="100"/>
  <c r="Z13" i="100" s="1"/>
  <c r="AK10" i="100" l="1"/>
  <c r="AK11" i="100" s="1"/>
  <c r="AK12" i="100" s="1"/>
  <c r="AL10" i="100"/>
  <c r="AL11" i="100" s="1"/>
  <c r="AL12" i="100" s="1"/>
  <c r="AP10" i="100"/>
  <c r="AP11" i="100" s="1"/>
  <c r="AP12" i="100" s="1"/>
  <c r="AQ10" i="100"/>
  <c r="AQ11" i="100" s="1"/>
  <c r="AQ12" i="100" s="1"/>
  <c r="Q20" i="90"/>
  <c r="Q19" i="90"/>
  <c r="AA19" i="90" s="1"/>
  <c r="Q17" i="100"/>
  <c r="AA17" i="100" s="1"/>
  <c r="AB17" i="100" s="1"/>
  <c r="Q19" i="100"/>
  <c r="AA19" i="100" s="1"/>
  <c r="AB19" i="100" s="1"/>
  <c r="Q16" i="100"/>
  <c r="AA20" i="90"/>
  <c r="AA16" i="100"/>
  <c r="AB16" i="100" s="1"/>
  <c r="Q18" i="100"/>
  <c r="AA18" i="100" s="1"/>
  <c r="AB18" i="100" s="1"/>
  <c r="Q15" i="100"/>
  <c r="AA15" i="100" s="1"/>
  <c r="AB15" i="100" s="1"/>
  <c r="Q14" i="100"/>
  <c r="AA14" i="100" s="1"/>
  <c r="AB14" i="100" s="1"/>
  <c r="Q13" i="100"/>
  <c r="AA13" i="100" s="1"/>
  <c r="AB13" i="100" s="1"/>
  <c r="W17" i="99" l="1"/>
  <c r="S17" i="99"/>
  <c r="T17" i="99" s="1"/>
  <c r="P17" i="99" s="1"/>
  <c r="N17" i="99" s="1"/>
  <c r="O17" i="99" s="1"/>
  <c r="L17" i="99"/>
  <c r="I17" i="99"/>
  <c r="G17" i="99"/>
  <c r="W16" i="99"/>
  <c r="S16" i="99"/>
  <c r="T16" i="99" s="1"/>
  <c r="P16" i="99" s="1"/>
  <c r="N16" i="99" s="1"/>
  <c r="O16" i="99" s="1"/>
  <c r="L16" i="99"/>
  <c r="I16" i="99"/>
  <c r="G16" i="99"/>
  <c r="AH6" i="99" l="1"/>
  <c r="AD6" i="99"/>
  <c r="AF6" i="99"/>
  <c r="AD10" i="99"/>
  <c r="AD11" i="99" s="1"/>
  <c r="AD12" i="99" s="1"/>
  <c r="AF10" i="99"/>
  <c r="AF11" i="99" s="1"/>
  <c r="AF12" i="99" s="1"/>
  <c r="AH10" i="99"/>
  <c r="AH11" i="99" s="1"/>
  <c r="AH12" i="99" s="1"/>
  <c r="Q16" i="99"/>
  <c r="AA16" i="99" s="1"/>
  <c r="Q17" i="99"/>
  <c r="AA17" i="99" s="1"/>
  <c r="L37" i="11" l="1"/>
  <c r="V37" i="11"/>
  <c r="W37" i="11" s="1"/>
  <c r="S37" i="11" s="1"/>
  <c r="Q37" i="11" s="1"/>
  <c r="R37" i="11" s="1"/>
  <c r="O37" i="11"/>
  <c r="G37" i="11"/>
  <c r="T37" i="11" l="1"/>
  <c r="AD37" i="11" s="1"/>
  <c r="H35" i="19" l="1"/>
  <c r="I35" i="19" s="1"/>
  <c r="W35" i="19"/>
  <c r="AZ10" i="19" s="1"/>
  <c r="AZ11" i="19" s="1"/>
  <c r="AZ12" i="19" s="1"/>
  <c r="S35" i="19"/>
  <c r="T35" i="19" s="1"/>
  <c r="E35" i="19"/>
  <c r="W34" i="19"/>
  <c r="BB10" i="19" s="1"/>
  <c r="BB11" i="19" s="1"/>
  <c r="BB12" i="19" s="1"/>
  <c r="S34" i="19"/>
  <c r="T34" i="19" s="1"/>
  <c r="P34" i="19" s="1"/>
  <c r="N34" i="19" s="1"/>
  <c r="O34" i="19" s="1"/>
  <c r="Q34" i="19" s="1"/>
  <c r="I34" i="19"/>
  <c r="E34" i="19"/>
  <c r="W33" i="19"/>
  <c r="AQ10" i="19" s="1"/>
  <c r="AQ11" i="19" s="1"/>
  <c r="AQ12" i="19" s="1"/>
  <c r="S33" i="19"/>
  <c r="T33" i="19" s="1"/>
  <c r="P33" i="19" s="1"/>
  <c r="N33" i="19" s="1"/>
  <c r="O33" i="19" s="1"/>
  <c r="Q33" i="19" s="1"/>
  <c r="I33" i="19"/>
  <c r="E33" i="19"/>
  <c r="AX10" i="19" l="1"/>
  <c r="AX11" i="19" s="1"/>
  <c r="AX12" i="19" s="1"/>
  <c r="AY10" i="19"/>
  <c r="AY11" i="19" s="1"/>
  <c r="AY12" i="19" s="1"/>
  <c r="AR10" i="19"/>
  <c r="AR11" i="19" s="1"/>
  <c r="AR12" i="19" s="1"/>
  <c r="AS10" i="19"/>
  <c r="AS11" i="19" s="1"/>
  <c r="AS12" i="19" s="1"/>
  <c r="AT10" i="19"/>
  <c r="AT11" i="19" s="1"/>
  <c r="AT12" i="19" s="1"/>
  <c r="P35" i="19"/>
  <c r="N35" i="19" s="1"/>
  <c r="O35" i="19" s="1"/>
  <c r="Q35" i="19" s="1"/>
  <c r="AA35" i="19" s="1"/>
  <c r="AA34" i="19"/>
  <c r="AA33" i="19"/>
  <c r="S13" i="90" l="1"/>
  <c r="S14" i="90"/>
  <c r="S15" i="90"/>
  <c r="S16" i="90"/>
  <c r="S17" i="90"/>
  <c r="S18" i="90"/>
  <c r="W14" i="83" l="1"/>
  <c r="S14" i="83"/>
  <c r="T14" i="83" s="1"/>
  <c r="P14" i="83" s="1"/>
  <c r="N14" i="83" s="1"/>
  <c r="O14" i="83" s="1"/>
  <c r="L14" i="83"/>
  <c r="I14" i="83"/>
  <c r="G14" i="83"/>
  <c r="Z14" i="83" s="1"/>
  <c r="Q14" i="83" l="1"/>
  <c r="AA14" i="83" s="1"/>
  <c r="AB14" i="83" s="1"/>
  <c r="Z32" i="67" l="1"/>
  <c r="AB32" i="67" s="1"/>
  <c r="Z34" i="67"/>
  <c r="AB34" i="67" s="1"/>
  <c r="Z33" i="67"/>
  <c r="AB33" i="67" s="1"/>
  <c r="K17" i="67" l="1"/>
  <c r="O36" i="11" l="1"/>
  <c r="L36" i="11"/>
  <c r="V36" i="11"/>
  <c r="W36" i="11" s="1"/>
  <c r="S36" i="11" s="1"/>
  <c r="Q36" i="11" s="1"/>
  <c r="R36" i="11" s="1"/>
  <c r="G36" i="11"/>
  <c r="W15" i="64"/>
  <c r="S15" i="64"/>
  <c r="T15" i="64" s="1"/>
  <c r="P15" i="64" s="1"/>
  <c r="N15" i="64" s="1"/>
  <c r="O15" i="64" s="1"/>
  <c r="Q15" i="64" s="1"/>
  <c r="I15" i="64"/>
  <c r="G15" i="64"/>
  <c r="T36" i="11" l="1"/>
  <c r="AD36" i="11" s="1"/>
  <c r="AA15" i="64"/>
  <c r="S13" i="101" l="1"/>
  <c r="S14" i="101"/>
  <c r="S15" i="101"/>
  <c r="G14" i="101" l="1"/>
  <c r="L13" i="101"/>
  <c r="W15" i="101"/>
  <c r="T15" i="101"/>
  <c r="P15" i="101" s="1"/>
  <c r="N15" i="101" s="1"/>
  <c r="O15" i="101" s="1"/>
  <c r="L15" i="101"/>
  <c r="I15" i="101"/>
  <c r="Q15" i="101" l="1"/>
  <c r="AA15" i="101"/>
  <c r="W14" i="101"/>
  <c r="T14" i="101"/>
  <c r="P14" i="101" s="1"/>
  <c r="N14" i="101" s="1"/>
  <c r="O14" i="101" s="1"/>
  <c r="L14" i="101"/>
  <c r="I14" i="101"/>
  <c r="W13" i="101"/>
  <c r="T13" i="101"/>
  <c r="P13" i="101" s="1"/>
  <c r="N13" i="101" s="1"/>
  <c r="O13" i="101" s="1"/>
  <c r="I13" i="101"/>
  <c r="G13" i="101"/>
  <c r="BG11" i="101"/>
  <c r="BF11" i="101"/>
  <c r="BE11" i="101"/>
  <c r="BD11" i="101"/>
  <c r="BC11" i="101"/>
  <c r="BB11" i="101"/>
  <c r="BA11" i="101"/>
  <c r="AZ11" i="101"/>
  <c r="AY11" i="101"/>
  <c r="AX11" i="101"/>
  <c r="AW11" i="101"/>
  <c r="AV11" i="101"/>
  <c r="AU11" i="101"/>
  <c r="AT11" i="101"/>
  <c r="AS11" i="101"/>
  <c r="AR11" i="101"/>
  <c r="AQ11" i="101"/>
  <c r="AP11" i="101"/>
  <c r="AO11" i="101"/>
  <c r="AN11" i="101"/>
  <c r="AM11" i="101"/>
  <c r="AL11" i="101"/>
  <c r="AK11" i="101"/>
  <c r="AJ11" i="101"/>
  <c r="AI11" i="101"/>
  <c r="AH11" i="101"/>
  <c r="AG11" i="101"/>
  <c r="AF11" i="101"/>
  <c r="AE11" i="101"/>
  <c r="BG10" i="101"/>
  <c r="BF10" i="101"/>
  <c r="BE10" i="101"/>
  <c r="BD10" i="101"/>
  <c r="BC10" i="101"/>
  <c r="BB10" i="101"/>
  <c r="BA10" i="101"/>
  <c r="AZ10" i="101"/>
  <c r="AY10" i="101"/>
  <c r="AX10" i="101"/>
  <c r="AW10" i="101"/>
  <c r="AV10" i="101"/>
  <c r="AU10" i="101"/>
  <c r="AT10" i="101"/>
  <c r="AS10" i="101"/>
  <c r="AR10" i="101"/>
  <c r="AQ10" i="101"/>
  <c r="AP10" i="101"/>
  <c r="AO10" i="101"/>
  <c r="AN10" i="101"/>
  <c r="AM10" i="101"/>
  <c r="AL10" i="101"/>
  <c r="AK10" i="101"/>
  <c r="AJ10" i="101"/>
  <c r="AI10" i="101"/>
  <c r="AH10" i="101"/>
  <c r="AG10" i="101"/>
  <c r="AF10" i="101"/>
  <c r="AE10" i="101"/>
  <c r="AD10" i="101"/>
  <c r="AD11" i="101" s="1"/>
  <c r="BG9" i="101"/>
  <c r="BF9" i="101"/>
  <c r="BE9" i="101"/>
  <c r="BD9" i="101"/>
  <c r="BC9" i="101"/>
  <c r="BB9" i="101"/>
  <c r="BA9" i="101"/>
  <c r="AZ9" i="101"/>
  <c r="AY9" i="101"/>
  <c r="AX9" i="101"/>
  <c r="AW9" i="101"/>
  <c r="AV9" i="101"/>
  <c r="AU9" i="101"/>
  <c r="AT9" i="101"/>
  <c r="AS9" i="101"/>
  <c r="AR9" i="101"/>
  <c r="AQ9" i="101"/>
  <c r="AP9" i="101"/>
  <c r="AO9" i="101"/>
  <c r="AN9" i="101"/>
  <c r="AM9" i="101"/>
  <c r="AL9" i="101"/>
  <c r="AK9" i="101"/>
  <c r="AJ9" i="101"/>
  <c r="AI9" i="101"/>
  <c r="AH9" i="101"/>
  <c r="AG9" i="101"/>
  <c r="AF9" i="101"/>
  <c r="AE9" i="101"/>
  <c r="AD9" i="101"/>
  <c r="BG8" i="101"/>
  <c r="BF8" i="101"/>
  <c r="BE8" i="101"/>
  <c r="BD8" i="101"/>
  <c r="BC8" i="101"/>
  <c r="BB8" i="101"/>
  <c r="BA8" i="101"/>
  <c r="AZ8" i="101"/>
  <c r="AY8" i="101"/>
  <c r="AX8" i="101"/>
  <c r="AW8" i="101"/>
  <c r="AV8" i="101"/>
  <c r="AU8" i="101"/>
  <c r="AT8" i="101"/>
  <c r="AS8" i="101"/>
  <c r="AR8" i="101"/>
  <c r="AQ8" i="101"/>
  <c r="AP8" i="101"/>
  <c r="AO8" i="101"/>
  <c r="AN8" i="101"/>
  <c r="AM8" i="101"/>
  <c r="AL8" i="101"/>
  <c r="AK8" i="101"/>
  <c r="AJ8" i="101"/>
  <c r="AI8" i="101"/>
  <c r="AH8" i="101"/>
  <c r="AG8" i="101"/>
  <c r="AF8" i="101"/>
  <c r="AE8" i="101"/>
  <c r="AD8" i="101"/>
  <c r="BG7" i="101"/>
  <c r="BF7" i="101"/>
  <c r="BE7" i="101"/>
  <c r="BD7" i="101"/>
  <c r="BC7" i="101"/>
  <c r="BB7" i="101"/>
  <c r="BA7" i="101"/>
  <c r="AZ7" i="101"/>
  <c r="AY7" i="101"/>
  <c r="AX7" i="101"/>
  <c r="AW7" i="101"/>
  <c r="AV7" i="101"/>
  <c r="AU7" i="101"/>
  <c r="AT7" i="101"/>
  <c r="AS7" i="101"/>
  <c r="AR7" i="101"/>
  <c r="AQ7" i="101"/>
  <c r="AP7" i="101"/>
  <c r="AO7" i="101"/>
  <c r="AN7" i="101"/>
  <c r="AM7" i="101"/>
  <c r="AL7" i="101"/>
  <c r="AK7" i="101"/>
  <c r="AJ7" i="101"/>
  <c r="AI7" i="101"/>
  <c r="AH7" i="101"/>
  <c r="AG7" i="101"/>
  <c r="AF7" i="101"/>
  <c r="AE7" i="101"/>
  <c r="AD7" i="101"/>
  <c r="BG6" i="101"/>
  <c r="BF6" i="101"/>
  <c r="BE6" i="101"/>
  <c r="BD6" i="101"/>
  <c r="BC6" i="101"/>
  <c r="BB6" i="101"/>
  <c r="BA6" i="101"/>
  <c r="AZ6" i="101"/>
  <c r="AY6" i="101"/>
  <c r="AX6" i="101"/>
  <c r="AW6" i="101"/>
  <c r="AV6" i="101"/>
  <c r="AU6" i="101"/>
  <c r="AT6" i="101"/>
  <c r="AS6" i="101"/>
  <c r="AR6" i="101"/>
  <c r="AQ6" i="101"/>
  <c r="AP6" i="101"/>
  <c r="AO6" i="101"/>
  <c r="AN6" i="101"/>
  <c r="AM6" i="101"/>
  <c r="AL6" i="101"/>
  <c r="AK6" i="101"/>
  <c r="AJ6" i="101"/>
  <c r="AI6" i="101"/>
  <c r="AH6" i="101"/>
  <c r="AG6" i="101"/>
  <c r="AF6" i="101"/>
  <c r="AE6" i="101"/>
  <c r="Z16" i="101"/>
  <c r="AB16" i="101" s="1"/>
  <c r="Z14" i="101" l="1"/>
  <c r="AG12" i="101"/>
  <c r="AO12" i="101"/>
  <c r="AW12" i="101"/>
  <c r="BE12" i="101"/>
  <c r="AH12" i="101"/>
  <c r="AP12" i="101"/>
  <c r="AX12" i="101"/>
  <c r="BF12" i="101"/>
  <c r="AI12" i="101"/>
  <c r="AQ12" i="101"/>
  <c r="AY12" i="101"/>
  <c r="BG12" i="101"/>
  <c r="Q13" i="101"/>
  <c r="AA13" i="101" s="1"/>
  <c r="AF12" i="101"/>
  <c r="AN12" i="101"/>
  <c r="AV12" i="101"/>
  <c r="BD12" i="101"/>
  <c r="Z13" i="101"/>
  <c r="AD12" i="101"/>
  <c r="Z15" i="101" s="1"/>
  <c r="AB15" i="101" s="1"/>
  <c r="AL12" i="101"/>
  <c r="AT12" i="101"/>
  <c r="BB12" i="101"/>
  <c r="Q14" i="101"/>
  <c r="AA14" i="101" s="1"/>
  <c r="AE12" i="101"/>
  <c r="AM12" i="101"/>
  <c r="AU12" i="101"/>
  <c r="BC12" i="101"/>
  <c r="AJ12" i="101"/>
  <c r="AR12" i="101"/>
  <c r="AK12" i="101"/>
  <c r="AS12" i="101"/>
  <c r="BA12" i="101"/>
  <c r="AZ12" i="101"/>
  <c r="AB13" i="101" l="1"/>
  <c r="AB14" i="101"/>
  <c r="K26" i="67" l="1"/>
  <c r="W28" i="67" l="1"/>
  <c r="BM10" i="67" s="1"/>
  <c r="BM11" i="67" s="1"/>
  <c r="BM12" i="67" s="1"/>
  <c r="S28" i="67"/>
  <c r="T28" i="67" s="1"/>
  <c r="P28" i="67" s="1"/>
  <c r="N28" i="67" s="1"/>
  <c r="O28" i="67" s="1"/>
  <c r="L28" i="67"/>
  <c r="I28" i="67"/>
  <c r="G28" i="67"/>
  <c r="W26" i="67"/>
  <c r="S26" i="67"/>
  <c r="T26" i="67" s="1"/>
  <c r="P26" i="67" s="1"/>
  <c r="N26" i="67" s="1"/>
  <c r="O26" i="67" s="1"/>
  <c r="L26" i="67"/>
  <c r="I26" i="67"/>
  <c r="G26" i="67"/>
  <c r="BG10" i="67" l="1"/>
  <c r="BG11" i="67" s="1"/>
  <c r="BG12" i="67" s="1"/>
  <c r="BH10" i="67"/>
  <c r="BH11" i="67" s="1"/>
  <c r="BH12" i="67" s="1"/>
  <c r="BI10" i="67"/>
  <c r="BI11" i="67" s="1"/>
  <c r="BI12" i="67" s="1"/>
  <c r="BB10" i="67"/>
  <c r="BB11" i="67" s="1"/>
  <c r="BB12" i="67" s="1"/>
  <c r="BJ10" i="67"/>
  <c r="BJ11" i="67" s="1"/>
  <c r="BJ12" i="67" s="1"/>
  <c r="AT10" i="67"/>
  <c r="AT11" i="67" s="1"/>
  <c r="AT12" i="67" s="1"/>
  <c r="AV10" i="67"/>
  <c r="AV11" i="67" s="1"/>
  <c r="AV12" i="67" s="1"/>
  <c r="AW10" i="67"/>
  <c r="AW11" i="67" s="1"/>
  <c r="AW12" i="67" s="1"/>
  <c r="AQ10" i="67"/>
  <c r="AQ11" i="67" s="1"/>
  <c r="AQ12" i="67" s="1"/>
  <c r="AR10" i="67"/>
  <c r="AR11" i="67" s="1"/>
  <c r="AR12" i="67" s="1"/>
  <c r="AZ10" i="67"/>
  <c r="AZ11" i="67" s="1"/>
  <c r="AZ12" i="67" s="1"/>
  <c r="AS10" i="67"/>
  <c r="AS11" i="67" s="1"/>
  <c r="AS12" i="67" s="1"/>
  <c r="AE10" i="67"/>
  <c r="AE11" i="67" s="1"/>
  <c r="AE12" i="67" s="1"/>
  <c r="Q28" i="67"/>
  <c r="AA28" i="67" s="1"/>
  <c r="Q26" i="67"/>
  <c r="AA26" i="67" s="1"/>
  <c r="K15" i="67" l="1"/>
  <c r="L35" i="11" l="1"/>
  <c r="W15" i="99" l="1"/>
  <c r="S15" i="99"/>
  <c r="T15" i="99" s="1"/>
  <c r="P15" i="99" s="1"/>
  <c r="N15" i="99" s="1"/>
  <c r="O15" i="99" s="1"/>
  <c r="L15" i="99"/>
  <c r="I15" i="99"/>
  <c r="G15" i="99"/>
  <c r="AK6" i="99" l="1"/>
  <c r="AM6" i="99"/>
  <c r="AK10" i="99"/>
  <c r="AK11" i="99" s="1"/>
  <c r="AK12" i="99" s="1"/>
  <c r="AM10" i="99"/>
  <c r="AM11" i="99" s="1"/>
  <c r="AM12" i="99" s="1"/>
  <c r="Q15" i="99"/>
  <c r="AA15" i="99" s="1"/>
  <c r="S13" i="64" l="1"/>
  <c r="S14" i="64"/>
  <c r="V35" i="11"/>
  <c r="W35" i="11" s="1"/>
  <c r="S35" i="11" s="1"/>
  <c r="Q35" i="11" s="1"/>
  <c r="R35" i="11" s="1"/>
  <c r="G35" i="11"/>
  <c r="T35" i="11" l="1"/>
  <c r="W25" i="67"/>
  <c r="S25" i="67"/>
  <c r="T25" i="67" s="1"/>
  <c r="P25" i="67" s="1"/>
  <c r="N25" i="67" s="1"/>
  <c r="O25" i="67" s="1"/>
  <c r="L25" i="67"/>
  <c r="I25" i="67"/>
  <c r="G25" i="67"/>
  <c r="AP10" i="67" l="1"/>
  <c r="AP11" i="67" s="1"/>
  <c r="AP12" i="67" s="1"/>
  <c r="BC10" i="67"/>
  <c r="BC11" i="67" s="1"/>
  <c r="BC12" i="67" s="1"/>
  <c r="BA10" i="67"/>
  <c r="BA11" i="67" s="1"/>
  <c r="BA12" i="67" s="1"/>
  <c r="BD10" i="67"/>
  <c r="BD11" i="67" s="1"/>
  <c r="BD12" i="67" s="1"/>
  <c r="AD35" i="11"/>
  <c r="Q25" i="67"/>
  <c r="AA25" i="67" s="1"/>
  <c r="W14" i="99" l="1"/>
  <c r="S14" i="99"/>
  <c r="T14" i="99" s="1"/>
  <c r="P14" i="99" s="1"/>
  <c r="N14" i="99" s="1"/>
  <c r="O14" i="99" s="1"/>
  <c r="L14" i="99"/>
  <c r="I14" i="99"/>
  <c r="G14" i="99"/>
  <c r="W13" i="99"/>
  <c r="S13" i="99"/>
  <c r="T13" i="99" s="1"/>
  <c r="P13" i="99" s="1"/>
  <c r="N13" i="99" s="1"/>
  <c r="O13" i="99" s="1"/>
  <c r="L13" i="99"/>
  <c r="I13" i="99"/>
  <c r="G13" i="99"/>
  <c r="F60" i="99"/>
  <c r="F61" i="99" s="1"/>
  <c r="F62" i="99" s="1"/>
  <c r="F63" i="99" s="1"/>
  <c r="F64" i="99" s="1"/>
  <c r="AX6" i="99" l="1"/>
  <c r="AV6" i="99"/>
  <c r="AW6" i="99"/>
  <c r="AT6" i="99"/>
  <c r="AG6" i="99"/>
  <c r="AT10" i="99"/>
  <c r="AT11" i="99" s="1"/>
  <c r="AT12" i="99" s="1"/>
  <c r="AX10" i="99"/>
  <c r="AX11" i="99" s="1"/>
  <c r="AX12" i="99" s="1"/>
  <c r="AW10" i="99"/>
  <c r="AW11" i="99" s="1"/>
  <c r="AW12" i="99" s="1"/>
  <c r="AG10" i="99"/>
  <c r="AG11" i="99" s="1"/>
  <c r="AG12" i="99" s="1"/>
  <c r="AV10" i="99"/>
  <c r="AV11" i="99" s="1"/>
  <c r="AV12" i="99" s="1"/>
  <c r="Q14" i="99"/>
  <c r="AA14" i="99" s="1"/>
  <c r="Q13" i="99"/>
  <c r="AA13" i="99" s="1"/>
  <c r="L18" i="82"/>
  <c r="Z17" i="64" l="1"/>
  <c r="AB17" i="64" s="1"/>
  <c r="Z18" i="64"/>
  <c r="AB18" i="64" s="1"/>
  <c r="Z24" i="99"/>
  <c r="AB24" i="99" s="1"/>
  <c r="Z22" i="99"/>
  <c r="AB22" i="99" s="1"/>
  <c r="Z21" i="99"/>
  <c r="AB21" i="99" s="1"/>
  <c r="Z23" i="99"/>
  <c r="AB23" i="99" s="1"/>
  <c r="Z20" i="99"/>
  <c r="AB20" i="99" s="1"/>
  <c r="Z19" i="99"/>
  <c r="AB19" i="99" s="1"/>
  <c r="Z18" i="99"/>
  <c r="Z17" i="99"/>
  <c r="Z16" i="99"/>
  <c r="Z15" i="99"/>
  <c r="Z14" i="99"/>
  <c r="Z13" i="99"/>
  <c r="AB17" i="99" l="1"/>
  <c r="AB16" i="99"/>
  <c r="W32" i="19"/>
  <c r="AP10" i="19" s="1"/>
  <c r="AP11" i="19" s="1"/>
  <c r="AP12" i="19" s="1"/>
  <c r="S32" i="19"/>
  <c r="T32" i="19" s="1"/>
  <c r="P32" i="19" s="1"/>
  <c r="N32" i="19" s="1"/>
  <c r="O32" i="19" s="1"/>
  <c r="Q32" i="19" s="1"/>
  <c r="I32" i="19"/>
  <c r="E32" i="19"/>
  <c r="W31" i="19"/>
  <c r="S31" i="19"/>
  <c r="T31" i="19" s="1"/>
  <c r="P31" i="19" s="1"/>
  <c r="N31" i="19" s="1"/>
  <c r="O31" i="19" s="1"/>
  <c r="Q31" i="19" s="1"/>
  <c r="I31" i="19"/>
  <c r="E31" i="19"/>
  <c r="I16" i="90"/>
  <c r="W18" i="90"/>
  <c r="T18" i="90"/>
  <c r="P18" i="90" s="1"/>
  <c r="N18" i="90" s="1"/>
  <c r="O18" i="90" s="1"/>
  <c r="L18" i="90"/>
  <c r="G18" i="90"/>
  <c r="W17" i="90"/>
  <c r="T17" i="90"/>
  <c r="P17" i="90" s="1"/>
  <c r="N17" i="90" s="1"/>
  <c r="O17" i="90" s="1"/>
  <c r="L17" i="90"/>
  <c r="I17" i="90"/>
  <c r="G17" i="90"/>
  <c r="AJ10" i="19" l="1"/>
  <c r="AJ11" i="19" s="1"/>
  <c r="AJ12" i="19" s="1"/>
  <c r="AL10" i="19"/>
  <c r="AL11" i="19" s="1"/>
  <c r="AL12" i="19" s="1"/>
  <c r="Q18" i="90"/>
  <c r="AA18" i="90" s="1"/>
  <c r="AA32" i="19"/>
  <c r="AA31" i="19"/>
  <c r="Q17" i="90"/>
  <c r="AA17" i="90" s="1"/>
  <c r="K22" i="67" l="1"/>
  <c r="L22" i="67" s="1"/>
  <c r="W13" i="83" l="1"/>
  <c r="S13" i="83"/>
  <c r="T13" i="83" s="1"/>
  <c r="P13" i="83" s="1"/>
  <c r="N13" i="83" s="1"/>
  <c r="O13" i="83" s="1"/>
  <c r="L13" i="83"/>
  <c r="I13" i="83"/>
  <c r="G13" i="83"/>
  <c r="Z13" i="83" s="1"/>
  <c r="Q13" i="83" l="1"/>
  <c r="AA13" i="83" s="1"/>
  <c r="AB13" i="83" s="1"/>
  <c r="F26" i="82" l="1"/>
  <c r="F27" i="82" s="1"/>
  <c r="F28" i="82" s="1"/>
  <c r="W17" i="82"/>
  <c r="S17" i="82"/>
  <c r="T17" i="82" s="1"/>
  <c r="P17" i="82" s="1"/>
  <c r="N17" i="82" s="1"/>
  <c r="I17" i="82"/>
  <c r="G17" i="82"/>
  <c r="Q17" i="82" l="1"/>
  <c r="AA17" i="82" s="1"/>
  <c r="L13" i="64" l="1"/>
  <c r="W14" i="64" l="1"/>
  <c r="T14" i="64"/>
  <c r="P14" i="64" s="1"/>
  <c r="N14" i="64" s="1"/>
  <c r="O14" i="64" s="1"/>
  <c r="L14" i="64"/>
  <c r="I14" i="64"/>
  <c r="G14" i="64"/>
  <c r="Q14" i="64" l="1"/>
  <c r="AA14" i="64" s="1"/>
  <c r="Z31" i="67" l="1"/>
  <c r="AB31" i="67" s="1"/>
  <c r="Z30" i="67" l="1"/>
  <c r="AB30" i="67" s="1"/>
  <c r="Z27" i="67"/>
  <c r="AB27" i="67" s="1"/>
  <c r="Z29" i="67"/>
  <c r="AB29" i="67" s="1"/>
  <c r="Z25" i="67" l="1"/>
  <c r="Z26" i="67"/>
  <c r="Z28" i="67"/>
  <c r="AG3" i="11" l="1"/>
  <c r="AH3" i="11"/>
  <c r="AI3" i="11"/>
  <c r="AJ3" i="11"/>
  <c r="AG6" i="11"/>
  <c r="AH6" i="11"/>
  <c r="AI6" i="11"/>
  <c r="AJ6" i="11"/>
  <c r="AG7" i="11"/>
  <c r="AH7" i="11"/>
  <c r="AI7" i="11"/>
  <c r="AJ7" i="11"/>
  <c r="AG8" i="11"/>
  <c r="AG9" i="11" s="1"/>
  <c r="AH8" i="11"/>
  <c r="AH9" i="11" s="1"/>
  <c r="AI8" i="11"/>
  <c r="AI9" i="11" s="1"/>
  <c r="AJ8" i="11"/>
  <c r="AJ9" i="11" s="1"/>
  <c r="AG10" i="11"/>
  <c r="AG11" i="11" s="1"/>
  <c r="AH10" i="11"/>
  <c r="AH11" i="11" s="1"/>
  <c r="AI10" i="11"/>
  <c r="AI11" i="11" s="1"/>
  <c r="AJ10" i="11"/>
  <c r="AJ11" i="11" s="1"/>
  <c r="AC51" i="11" l="1"/>
  <c r="AE51" i="11" s="1"/>
  <c r="I51" i="11"/>
  <c r="AC50" i="11"/>
  <c r="AE50" i="11" s="1"/>
  <c r="I50" i="11"/>
  <c r="I49" i="11"/>
  <c r="AC49" i="11"/>
  <c r="AE49" i="11" s="1"/>
  <c r="AC48" i="11"/>
  <c r="AE48" i="11" s="1"/>
  <c r="AC47" i="11"/>
  <c r="AE47" i="11" s="1"/>
  <c r="AC46" i="11"/>
  <c r="AE46" i="11" s="1"/>
  <c r="AC45" i="11"/>
  <c r="AE45" i="11" s="1"/>
  <c r="AC44" i="11"/>
  <c r="AE44" i="11" s="1"/>
  <c r="AC43" i="11"/>
  <c r="AE43" i="11" s="1"/>
  <c r="AC42" i="11"/>
  <c r="AE42" i="11" s="1"/>
  <c r="AC41" i="11"/>
  <c r="AE41" i="11" s="1"/>
  <c r="AC40" i="11"/>
  <c r="AE40" i="11" s="1"/>
  <c r="AC39" i="11"/>
  <c r="AE39" i="11" s="1"/>
  <c r="AC38" i="11"/>
  <c r="AE38" i="11" s="1"/>
  <c r="AC37" i="11"/>
  <c r="AE37" i="11" s="1"/>
  <c r="AC36" i="11"/>
  <c r="AC35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AG2" i="11"/>
  <c r="AJ12" i="11"/>
  <c r="AI2" i="11"/>
  <c r="AI12" i="11"/>
  <c r="AH2" i="11"/>
  <c r="AH12" i="11"/>
  <c r="AJ2" i="11"/>
  <c r="AG12" i="11"/>
  <c r="S14" i="19" l="1"/>
  <c r="S15" i="19"/>
  <c r="S16" i="19"/>
  <c r="S17" i="19"/>
  <c r="S18" i="19"/>
  <c r="S19" i="19"/>
  <c r="S20" i="19"/>
  <c r="S21" i="19"/>
  <c r="S22" i="19"/>
  <c r="S23" i="19"/>
  <c r="S24" i="19"/>
  <c r="S25" i="19"/>
  <c r="S26" i="19"/>
  <c r="S27" i="19"/>
  <c r="S28" i="19"/>
  <c r="S29" i="19"/>
  <c r="S30" i="19"/>
  <c r="S13" i="19"/>
  <c r="AG6" i="91" l="1"/>
  <c r="AH6" i="91"/>
  <c r="AI6" i="91"/>
  <c r="AJ6" i="91"/>
  <c r="AX6" i="64" l="1"/>
  <c r="AY6" i="64"/>
  <c r="AZ6" i="64"/>
  <c r="BA6" i="64"/>
  <c r="BB6" i="64"/>
  <c r="BC6" i="64"/>
  <c r="BD6" i="64"/>
  <c r="BE6" i="64"/>
  <c r="BF6" i="64"/>
  <c r="BG6" i="64"/>
  <c r="BH6" i="64"/>
  <c r="BI6" i="64"/>
  <c r="BJ6" i="64"/>
  <c r="BK6" i="64"/>
  <c r="BL6" i="64"/>
  <c r="BM6" i="64"/>
  <c r="AD7" i="64"/>
  <c r="AE7" i="64"/>
  <c r="AF7" i="64"/>
  <c r="AG7" i="64"/>
  <c r="AH7" i="64"/>
  <c r="AI7" i="64"/>
  <c r="AJ7" i="64"/>
  <c r="AK7" i="64"/>
  <c r="AL7" i="64"/>
  <c r="AM7" i="64"/>
  <c r="AN7" i="64"/>
  <c r="AO7" i="64"/>
  <c r="AP7" i="64"/>
  <c r="AQ7" i="64"/>
  <c r="AR7" i="64"/>
  <c r="AS7" i="64"/>
  <c r="AT7" i="64"/>
  <c r="AU7" i="64"/>
  <c r="AV7" i="64"/>
  <c r="AW7" i="64"/>
  <c r="AX7" i="64"/>
  <c r="AY7" i="64"/>
  <c r="AZ7" i="64"/>
  <c r="BA7" i="64"/>
  <c r="BB7" i="64"/>
  <c r="BC7" i="64"/>
  <c r="BD7" i="64"/>
  <c r="BE7" i="64"/>
  <c r="BF7" i="64"/>
  <c r="BG7" i="64"/>
  <c r="BH7" i="64"/>
  <c r="BI7" i="64"/>
  <c r="BJ7" i="64"/>
  <c r="BK7" i="64"/>
  <c r="BL7" i="64"/>
  <c r="BM7" i="64"/>
  <c r="AD8" i="64"/>
  <c r="AE8" i="64"/>
  <c r="AF8" i="64"/>
  <c r="AG8" i="64"/>
  <c r="AH8" i="64"/>
  <c r="AI8" i="64"/>
  <c r="AJ8" i="64"/>
  <c r="AK8" i="64"/>
  <c r="AL8" i="64"/>
  <c r="AM8" i="64"/>
  <c r="AN8" i="64"/>
  <c r="AO8" i="64"/>
  <c r="AP8" i="64"/>
  <c r="AQ8" i="64"/>
  <c r="AR8" i="64"/>
  <c r="AS8" i="64"/>
  <c r="AT8" i="64"/>
  <c r="AU8" i="64"/>
  <c r="AV8" i="64"/>
  <c r="AW8" i="64"/>
  <c r="AX8" i="64"/>
  <c r="AY8" i="64"/>
  <c r="AZ8" i="64"/>
  <c r="BA8" i="64"/>
  <c r="BB8" i="64"/>
  <c r="BC8" i="64"/>
  <c r="BD8" i="64"/>
  <c r="BE8" i="64"/>
  <c r="BF8" i="64"/>
  <c r="BG8" i="64"/>
  <c r="BH8" i="64"/>
  <c r="BI8" i="64"/>
  <c r="BJ8" i="64"/>
  <c r="BK8" i="64"/>
  <c r="BL8" i="64"/>
  <c r="BM8" i="64"/>
  <c r="AD9" i="64"/>
  <c r="AE9" i="64"/>
  <c r="AF9" i="64"/>
  <c r="AG9" i="64"/>
  <c r="AH9" i="64"/>
  <c r="AI9" i="64"/>
  <c r="AJ9" i="64"/>
  <c r="AK9" i="64"/>
  <c r="AL9" i="64"/>
  <c r="AM9" i="64"/>
  <c r="AN9" i="64"/>
  <c r="AO9" i="64"/>
  <c r="AP9" i="64"/>
  <c r="AQ9" i="64"/>
  <c r="AR9" i="64"/>
  <c r="AS9" i="64"/>
  <c r="AT9" i="64"/>
  <c r="AU9" i="64"/>
  <c r="AV9" i="64"/>
  <c r="AW9" i="64"/>
  <c r="AX9" i="64"/>
  <c r="AY9" i="64"/>
  <c r="AZ9" i="64"/>
  <c r="BA9" i="64"/>
  <c r="BB9" i="64"/>
  <c r="BC9" i="64"/>
  <c r="BD9" i="64"/>
  <c r="BE9" i="64"/>
  <c r="BF9" i="64"/>
  <c r="BG9" i="64"/>
  <c r="BH9" i="64"/>
  <c r="BI9" i="64"/>
  <c r="BJ9" i="64"/>
  <c r="BK9" i="64"/>
  <c r="BL9" i="64"/>
  <c r="BM9" i="64"/>
  <c r="AD10" i="64"/>
  <c r="AD11" i="64" s="1"/>
  <c r="AE10" i="64"/>
  <c r="AE11" i="64" s="1"/>
  <c r="AF10" i="64"/>
  <c r="AF11" i="64" s="1"/>
  <c r="AG10" i="64"/>
  <c r="AH10" i="64"/>
  <c r="AH11" i="64" s="1"/>
  <c r="AI10" i="64"/>
  <c r="AI11" i="64" s="1"/>
  <c r="AJ10" i="64"/>
  <c r="AJ11" i="64" s="1"/>
  <c r="AK10" i="64"/>
  <c r="AK11" i="64" s="1"/>
  <c r="AL10" i="64"/>
  <c r="AL11" i="64" s="1"/>
  <c r="AM10" i="64"/>
  <c r="AN10" i="64"/>
  <c r="AO10" i="64"/>
  <c r="AP10" i="64"/>
  <c r="AQ10" i="64"/>
  <c r="AR10" i="64"/>
  <c r="AS10" i="64"/>
  <c r="AT10" i="64"/>
  <c r="AU10" i="64"/>
  <c r="AV10" i="64"/>
  <c r="AW10" i="64"/>
  <c r="AX10" i="64"/>
  <c r="AY10" i="64"/>
  <c r="AZ10" i="64"/>
  <c r="BA10" i="64"/>
  <c r="BB10" i="64"/>
  <c r="BC10" i="64"/>
  <c r="BD10" i="64"/>
  <c r="BE10" i="64"/>
  <c r="BF10" i="64"/>
  <c r="BG10" i="64"/>
  <c r="BH10" i="64"/>
  <c r="BI10" i="64"/>
  <c r="BJ10" i="64"/>
  <c r="BK10" i="64"/>
  <c r="BL10" i="64"/>
  <c r="BM10" i="64"/>
  <c r="AG11" i="64"/>
  <c r="AM11" i="64"/>
  <c r="AN11" i="64"/>
  <c r="AO11" i="64"/>
  <c r="AP11" i="64"/>
  <c r="AQ11" i="64"/>
  <c r="AR11" i="64"/>
  <c r="AS11" i="64"/>
  <c r="AT11" i="64"/>
  <c r="AU11" i="64"/>
  <c r="AV11" i="64"/>
  <c r="AW11" i="64"/>
  <c r="AX11" i="64"/>
  <c r="AY11" i="64"/>
  <c r="AZ11" i="64"/>
  <c r="BA11" i="64"/>
  <c r="BB11" i="64"/>
  <c r="BC11" i="64"/>
  <c r="BD11" i="64"/>
  <c r="BE11" i="64"/>
  <c r="BF11" i="64"/>
  <c r="BG11" i="64"/>
  <c r="BH11" i="64"/>
  <c r="BI11" i="64"/>
  <c r="BJ11" i="64"/>
  <c r="BK11" i="64"/>
  <c r="BL11" i="64"/>
  <c r="BM11" i="64"/>
  <c r="BI12" i="64" l="1"/>
  <c r="BA12" i="64"/>
  <c r="AS12" i="64"/>
  <c r="AK12" i="64"/>
  <c r="AD12" i="64"/>
  <c r="AR12" i="64"/>
  <c r="AF12" i="64"/>
  <c r="AZ12" i="64"/>
  <c r="BG12" i="64"/>
  <c r="AY12" i="64"/>
  <c r="AQ12" i="64"/>
  <c r="AI12" i="64"/>
  <c r="BH12" i="64"/>
  <c r="AJ12" i="64"/>
  <c r="BD12" i="64"/>
  <c r="AV12" i="64"/>
  <c r="BL12" i="64"/>
  <c r="AN12" i="64"/>
  <c r="BF12" i="64"/>
  <c r="AX12" i="64"/>
  <c r="AP12" i="64"/>
  <c r="AH12" i="64"/>
  <c r="BM12" i="64"/>
  <c r="BE12" i="64"/>
  <c r="AW12" i="64"/>
  <c r="AO12" i="64"/>
  <c r="AG12" i="64"/>
  <c r="BK12" i="64"/>
  <c r="BC12" i="64"/>
  <c r="AU12" i="64"/>
  <c r="AM12" i="64"/>
  <c r="BJ12" i="64"/>
  <c r="BB12" i="64"/>
  <c r="AT12" i="64"/>
  <c r="AL12" i="64"/>
  <c r="AE12" i="64"/>
  <c r="Z21" i="64" l="1"/>
  <c r="AB21" i="64" s="1"/>
  <c r="Z20" i="64"/>
  <c r="AB20" i="64" s="1"/>
  <c r="Z19" i="64"/>
  <c r="AB19" i="64" s="1"/>
  <c r="Z16" i="64"/>
  <c r="AB16" i="64" s="1"/>
  <c r="K21" i="67"/>
  <c r="W13" i="64" l="1"/>
  <c r="T13" i="64"/>
  <c r="P13" i="64" s="1"/>
  <c r="N13" i="64" s="1"/>
  <c r="O13" i="64" s="1"/>
  <c r="I13" i="64"/>
  <c r="G13" i="64"/>
  <c r="Q13" i="64" l="1"/>
  <c r="AA13" i="64" s="1"/>
  <c r="F50" i="64" l="1"/>
  <c r="F51" i="64" s="1"/>
  <c r="F52" i="64" s="1"/>
  <c r="L13" i="89" l="1"/>
  <c r="G13" i="89"/>
  <c r="Z13" i="89"/>
  <c r="J13" i="89"/>
  <c r="V14" i="89"/>
  <c r="W14" i="89" s="1"/>
  <c r="S14" i="89" s="1"/>
  <c r="Q14" i="89" s="1"/>
  <c r="R14" i="89" s="1"/>
  <c r="O14" i="89"/>
  <c r="L14" i="89"/>
  <c r="T14" i="89" l="1"/>
  <c r="AD14" i="89" s="1"/>
  <c r="G18" i="82" l="1"/>
  <c r="AH6" i="82" s="1"/>
  <c r="W19" i="82"/>
  <c r="S19" i="82"/>
  <c r="T19" i="82" s="1"/>
  <c r="P19" i="82" s="1"/>
  <c r="N19" i="82" s="1"/>
  <c r="O19" i="82" s="1"/>
  <c r="L19" i="82"/>
  <c r="I19" i="82"/>
  <c r="W24" i="67"/>
  <c r="BO10" i="67" s="1"/>
  <c r="BO11" i="67" s="1"/>
  <c r="BO12" i="67" s="1"/>
  <c r="S24" i="67"/>
  <c r="T24" i="67" s="1"/>
  <c r="P24" i="67" s="1"/>
  <c r="N24" i="67" s="1"/>
  <c r="O24" i="67" s="1"/>
  <c r="L24" i="67"/>
  <c r="I24" i="67"/>
  <c r="G24" i="67"/>
  <c r="W23" i="67"/>
  <c r="S23" i="67"/>
  <c r="T23" i="67" s="1"/>
  <c r="P23" i="67" s="1"/>
  <c r="N23" i="67" s="1"/>
  <c r="O23" i="67" s="1"/>
  <c r="L23" i="67"/>
  <c r="I23" i="67"/>
  <c r="G23" i="67"/>
  <c r="AO10" i="67" l="1"/>
  <c r="AO11" i="67" s="1"/>
  <c r="AO12" i="67" s="1"/>
  <c r="BF10" i="67"/>
  <c r="BF11" i="67" s="1"/>
  <c r="BF12" i="67" s="1"/>
  <c r="Q23" i="67"/>
  <c r="AA23" i="67" s="1"/>
  <c r="Q19" i="82"/>
  <c r="AA19" i="82" s="1"/>
  <c r="Q24" i="67"/>
  <c r="AA24" i="67" s="1"/>
  <c r="Z24" i="67" l="1"/>
  <c r="Z23" i="67"/>
  <c r="N34" i="11" l="1"/>
  <c r="L34" i="11"/>
  <c r="J34" i="11"/>
  <c r="V34" i="11" l="1"/>
  <c r="W34" i="11" s="1"/>
  <c r="S34" i="11" s="1"/>
  <c r="Q34" i="11" s="1"/>
  <c r="R34" i="11" s="1"/>
  <c r="O34" i="11"/>
  <c r="G34" i="11"/>
  <c r="AC34" i="11" s="1"/>
  <c r="V33" i="11"/>
  <c r="W33" i="11" s="1"/>
  <c r="S33" i="11" s="1"/>
  <c r="Q33" i="11" s="1"/>
  <c r="R33" i="11" s="1"/>
  <c r="O33" i="11"/>
  <c r="L33" i="11"/>
  <c r="G33" i="11"/>
  <c r="AC33" i="11" s="1"/>
  <c r="T34" i="11" l="1"/>
  <c r="T33" i="11"/>
  <c r="AD33" i="11" s="1"/>
  <c r="AD34" i="11" l="1"/>
  <c r="E132" i="100" l="1"/>
  <c r="E133" i="100" s="1"/>
  <c r="E134" i="100" s="1"/>
  <c r="E135" i="100" s="1"/>
  <c r="E136" i="100" s="1"/>
  <c r="E137" i="100" s="1"/>
  <c r="E138" i="100" s="1"/>
  <c r="L16" i="82" l="1"/>
  <c r="W16" i="90" l="1"/>
  <c r="T16" i="90"/>
  <c r="P16" i="90" s="1"/>
  <c r="N16" i="90" s="1"/>
  <c r="L16" i="90"/>
  <c r="G16" i="90"/>
  <c r="W15" i="90"/>
  <c r="T15" i="90"/>
  <c r="P15" i="90" s="1"/>
  <c r="N15" i="90" s="1"/>
  <c r="O15" i="90" s="1"/>
  <c r="L15" i="90"/>
  <c r="I15" i="90"/>
  <c r="G15" i="90"/>
  <c r="Q16" i="90" l="1"/>
  <c r="Q15" i="90"/>
  <c r="AA15" i="90" s="1"/>
  <c r="AA16" i="90"/>
  <c r="W22" i="67" l="1"/>
  <c r="S22" i="67"/>
  <c r="T22" i="67" s="1"/>
  <c r="P22" i="67" s="1"/>
  <c r="N22" i="67" s="1"/>
  <c r="O22" i="67" s="1"/>
  <c r="I22" i="67"/>
  <c r="G22" i="67"/>
  <c r="W21" i="67"/>
  <c r="S21" i="67"/>
  <c r="T21" i="67" s="1"/>
  <c r="P21" i="67" s="1"/>
  <c r="N21" i="67" s="1"/>
  <c r="O21" i="67" s="1"/>
  <c r="L21" i="67"/>
  <c r="I21" i="67"/>
  <c r="G21" i="67"/>
  <c r="Q22" i="67" l="1"/>
  <c r="AA22" i="67" s="1"/>
  <c r="Q21" i="67"/>
  <c r="AA21" i="67" s="1"/>
  <c r="Z22" i="67" l="1"/>
  <c r="N30" i="11"/>
  <c r="O30" i="11" s="1"/>
  <c r="I14" i="90" l="1"/>
  <c r="V32" i="11" l="1"/>
  <c r="W32" i="11" s="1"/>
  <c r="S32" i="11" s="1"/>
  <c r="Q32" i="11" s="1"/>
  <c r="R32" i="11" s="1"/>
  <c r="O32" i="11"/>
  <c r="L32" i="11"/>
  <c r="G32" i="11"/>
  <c r="AC32" i="11" s="1"/>
  <c r="T32" i="11" l="1"/>
  <c r="AD32" i="11" s="1"/>
  <c r="V31" i="11" l="1"/>
  <c r="W31" i="11" s="1"/>
  <c r="S31" i="11" s="1"/>
  <c r="Q31" i="11" s="1"/>
  <c r="R31" i="11" s="1"/>
  <c r="O31" i="11"/>
  <c r="L31" i="11"/>
  <c r="G31" i="11"/>
  <c r="AC31" i="11" s="1"/>
  <c r="T31" i="11" l="1"/>
  <c r="AD31" i="11" s="1"/>
  <c r="E105" i="100" l="1"/>
  <c r="E106" i="100" s="1"/>
  <c r="E107" i="100" s="1"/>
  <c r="E108" i="100" s="1"/>
  <c r="E109" i="100" s="1"/>
  <c r="E110" i="100" s="1"/>
  <c r="E111" i="100" s="1"/>
  <c r="E112" i="100" s="1"/>
  <c r="E113" i="100" s="1"/>
  <c r="E114" i="100" s="1"/>
  <c r="E115" i="100" s="1"/>
  <c r="E116" i="100" s="1"/>
  <c r="E117" i="100" s="1"/>
  <c r="E118" i="100" s="1"/>
  <c r="E119" i="100" s="1"/>
  <c r="E120" i="100" s="1"/>
  <c r="E121" i="100" s="1"/>
  <c r="V14" i="11" l="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9" i="11"/>
  <c r="V30" i="11"/>
  <c r="V13" i="11"/>
  <c r="I30" i="19" l="1"/>
  <c r="W30" i="19"/>
  <c r="T30" i="19"/>
  <c r="P30" i="19" s="1"/>
  <c r="N30" i="19" s="1"/>
  <c r="O30" i="19" s="1"/>
  <c r="Q30" i="19" s="1"/>
  <c r="E30" i="19"/>
  <c r="AD10" i="19" l="1"/>
  <c r="AD11" i="19" s="1"/>
  <c r="AD12" i="19" s="1"/>
  <c r="AE10" i="19"/>
  <c r="AE11" i="19" s="1"/>
  <c r="AE12" i="19" s="1"/>
  <c r="AA30" i="19"/>
  <c r="S14" i="67" l="1"/>
  <c r="S15" i="67"/>
  <c r="S16" i="67"/>
  <c r="S17" i="67"/>
  <c r="S18" i="67"/>
  <c r="S19" i="67"/>
  <c r="S20" i="67"/>
  <c r="S13" i="67"/>
  <c r="L30" i="11" l="1"/>
  <c r="J30" i="11"/>
  <c r="W30" i="11"/>
  <c r="S30" i="11" s="1"/>
  <c r="Q30" i="11" s="1"/>
  <c r="R30" i="11" s="1"/>
  <c r="G30" i="11"/>
  <c r="AC30" i="11" s="1"/>
  <c r="T30" i="11" l="1"/>
  <c r="L29" i="11"/>
  <c r="J29" i="11"/>
  <c r="AD30" i="11" l="1"/>
  <c r="W29" i="11" l="1"/>
  <c r="S29" i="11" s="1"/>
  <c r="Q29" i="11" s="1"/>
  <c r="R29" i="11" s="1"/>
  <c r="O29" i="11"/>
  <c r="G29" i="11"/>
  <c r="AC29" i="11" s="1"/>
  <c r="T29" i="11" l="1"/>
  <c r="AD29" i="11" s="1"/>
  <c r="W29" i="19" l="1"/>
  <c r="T29" i="19"/>
  <c r="P29" i="19" s="1"/>
  <c r="N29" i="19" s="1"/>
  <c r="O29" i="19" s="1"/>
  <c r="Q29" i="19" s="1"/>
  <c r="I29" i="19"/>
  <c r="E29" i="19"/>
  <c r="W28" i="19"/>
  <c r="T28" i="19"/>
  <c r="P28" i="19" s="1"/>
  <c r="N28" i="19" s="1"/>
  <c r="O28" i="19" s="1"/>
  <c r="Q28" i="19" s="1"/>
  <c r="I28" i="19"/>
  <c r="E28" i="19"/>
  <c r="AA29" i="19" l="1"/>
  <c r="AA28" i="19"/>
  <c r="K18" i="67" l="1"/>
  <c r="G16" i="82" l="1"/>
  <c r="S13" i="82" l="1"/>
  <c r="S14" i="82"/>
  <c r="S15" i="82"/>
  <c r="S16" i="82"/>
  <c r="S18" i="82"/>
  <c r="Z39" i="19" l="1"/>
  <c r="AB39" i="19" s="1"/>
  <c r="Z38" i="19"/>
  <c r="AB38" i="19" s="1"/>
  <c r="Z37" i="19"/>
  <c r="AB37" i="19" s="1"/>
  <c r="Z36" i="19"/>
  <c r="AB36" i="19" s="1"/>
  <c r="Z34" i="19"/>
  <c r="AB34" i="19" s="1"/>
  <c r="Z35" i="19"/>
  <c r="AB35" i="19" s="1"/>
  <c r="Z33" i="19"/>
  <c r="AB33" i="19" s="1"/>
  <c r="Z32" i="19"/>
  <c r="AB32" i="19" s="1"/>
  <c r="Z31" i="19"/>
  <c r="AB31" i="19" s="1"/>
  <c r="W20" i="67" l="1"/>
  <c r="T20" i="67"/>
  <c r="P20" i="67" s="1"/>
  <c r="N20" i="67" s="1"/>
  <c r="O20" i="67" s="1"/>
  <c r="L20" i="67"/>
  <c r="I20" i="67"/>
  <c r="G20" i="67"/>
  <c r="W19" i="67"/>
  <c r="T19" i="67"/>
  <c r="P19" i="67" s="1"/>
  <c r="N19" i="67" s="1"/>
  <c r="O19" i="67" s="1"/>
  <c r="L19" i="67"/>
  <c r="I19" i="67"/>
  <c r="G19" i="67"/>
  <c r="AM10" i="67" l="1"/>
  <c r="AM11" i="67" s="1"/>
  <c r="AM12" i="67" s="1"/>
  <c r="AN10" i="67"/>
  <c r="AN11" i="67" s="1"/>
  <c r="AN12" i="67" s="1"/>
  <c r="Q20" i="67"/>
  <c r="AA20" i="67" s="1"/>
  <c r="Q19" i="67"/>
  <c r="AA19" i="67" s="1"/>
  <c r="V28" i="11" l="1"/>
  <c r="I17" i="67" l="1"/>
  <c r="L17" i="67"/>
  <c r="I18" i="67"/>
  <c r="L18" i="67"/>
  <c r="W14" i="90" l="1"/>
  <c r="T14" i="90"/>
  <c r="P14" i="90" s="1"/>
  <c r="N14" i="90" s="1"/>
  <c r="L14" i="90"/>
  <c r="G14" i="90"/>
  <c r="W13" i="90"/>
  <c r="T13" i="90"/>
  <c r="P13" i="90" s="1"/>
  <c r="N13" i="90" s="1"/>
  <c r="O13" i="90" s="1"/>
  <c r="L13" i="90"/>
  <c r="I13" i="90"/>
  <c r="G13" i="90"/>
  <c r="Q14" i="90" l="1"/>
  <c r="AA14" i="90" s="1"/>
  <c r="Q13" i="90"/>
  <c r="AA13" i="90" s="1"/>
  <c r="AB28" i="67" l="1"/>
  <c r="AB25" i="67" l="1"/>
  <c r="AB26" i="67"/>
  <c r="Z19" i="67"/>
  <c r="Z21" i="67"/>
  <c r="Z20" i="67" l="1"/>
  <c r="AB23" i="67"/>
  <c r="AB24" i="67"/>
  <c r="AB21" i="67"/>
  <c r="AB22" i="67"/>
  <c r="K16" i="67"/>
  <c r="O28" i="11" l="1"/>
  <c r="J28" i="11"/>
  <c r="W28" i="11" l="1"/>
  <c r="S28" i="11" s="1"/>
  <c r="Q28" i="11" s="1"/>
  <c r="R28" i="11" s="1"/>
  <c r="L28" i="11"/>
  <c r="G28" i="11"/>
  <c r="AC28" i="11" s="1"/>
  <c r="T28" i="11" l="1"/>
  <c r="AD28" i="11" l="1"/>
  <c r="AE36" i="11" l="1"/>
  <c r="I36" i="11"/>
  <c r="AE35" i="11"/>
  <c r="I35" i="11"/>
  <c r="I34" i="11"/>
  <c r="AE34" i="11"/>
  <c r="AE33" i="11"/>
  <c r="I33" i="11"/>
  <c r="I28" i="11"/>
  <c r="I31" i="11"/>
  <c r="I32" i="11"/>
  <c r="I29" i="11"/>
  <c r="I30" i="11"/>
  <c r="AE32" i="11"/>
  <c r="AE31" i="11"/>
  <c r="AE30" i="11"/>
  <c r="AE29" i="11"/>
  <c r="AD6" i="83" l="1"/>
  <c r="AE6" i="83"/>
  <c r="AF6" i="83"/>
  <c r="AG6" i="83"/>
  <c r="AH6" i="83"/>
  <c r="AI6" i="83"/>
  <c r="AJ6" i="83"/>
  <c r="AK6" i="83"/>
  <c r="AL6" i="83"/>
  <c r="AM6" i="83"/>
  <c r="AN6" i="83"/>
  <c r="AO6" i="83"/>
  <c r="AP6" i="83"/>
  <c r="AQ6" i="83"/>
  <c r="AR6" i="83"/>
  <c r="AS6" i="83"/>
  <c r="AT6" i="83"/>
  <c r="AU6" i="83"/>
  <c r="AV6" i="83"/>
  <c r="AW6" i="83"/>
  <c r="AX6" i="83"/>
  <c r="AY6" i="83"/>
  <c r="AZ6" i="83"/>
  <c r="BA6" i="83"/>
  <c r="BB6" i="83"/>
  <c r="BC6" i="83"/>
  <c r="BD6" i="83"/>
  <c r="BE6" i="83"/>
  <c r="BF6" i="83"/>
  <c r="BG6" i="83"/>
  <c r="BH6" i="83"/>
  <c r="AD7" i="83"/>
  <c r="AE7" i="83"/>
  <c r="AF7" i="83"/>
  <c r="AG7" i="83"/>
  <c r="AH7" i="83"/>
  <c r="AI7" i="83"/>
  <c r="AJ7" i="83"/>
  <c r="AK7" i="83"/>
  <c r="AL7" i="83"/>
  <c r="AM7" i="83"/>
  <c r="AN7" i="83"/>
  <c r="AO7" i="83"/>
  <c r="AP7" i="83"/>
  <c r="AQ7" i="83"/>
  <c r="AR7" i="83"/>
  <c r="AS7" i="83"/>
  <c r="AT7" i="83"/>
  <c r="AU7" i="83"/>
  <c r="AV7" i="83"/>
  <c r="AW7" i="83"/>
  <c r="AX7" i="83"/>
  <c r="AY7" i="83"/>
  <c r="AZ7" i="83"/>
  <c r="BA7" i="83"/>
  <c r="BB7" i="83"/>
  <c r="BC7" i="83"/>
  <c r="BD7" i="83"/>
  <c r="BE7" i="83"/>
  <c r="BF7" i="83"/>
  <c r="BG7" i="83"/>
  <c r="BH7" i="83"/>
  <c r="AD8" i="83"/>
  <c r="AE8" i="83"/>
  <c r="AF8" i="83"/>
  <c r="AG8" i="83"/>
  <c r="AH8" i="83"/>
  <c r="AI8" i="83"/>
  <c r="AJ8" i="83"/>
  <c r="AK8" i="83"/>
  <c r="AL8" i="83"/>
  <c r="AM8" i="83"/>
  <c r="AN8" i="83"/>
  <c r="AO8" i="83"/>
  <c r="AP8" i="83"/>
  <c r="AQ8" i="83"/>
  <c r="AR8" i="83"/>
  <c r="AS8" i="83"/>
  <c r="AT8" i="83"/>
  <c r="AU8" i="83"/>
  <c r="AV8" i="83"/>
  <c r="AW8" i="83"/>
  <c r="AX8" i="83"/>
  <c r="AY8" i="83"/>
  <c r="AZ8" i="83"/>
  <c r="BA8" i="83"/>
  <c r="BB8" i="83"/>
  <c r="BC8" i="83"/>
  <c r="BD8" i="83"/>
  <c r="BE8" i="83"/>
  <c r="BF8" i="83"/>
  <c r="BG8" i="83"/>
  <c r="BH8" i="83"/>
  <c r="AD9" i="83"/>
  <c r="AE9" i="83"/>
  <c r="AF9" i="83"/>
  <c r="AG9" i="83"/>
  <c r="AH9" i="83"/>
  <c r="AI9" i="83"/>
  <c r="AJ9" i="83"/>
  <c r="AK9" i="83"/>
  <c r="AL9" i="83"/>
  <c r="AM9" i="83"/>
  <c r="AN9" i="83"/>
  <c r="AO9" i="83"/>
  <c r="AP9" i="83"/>
  <c r="AQ9" i="83"/>
  <c r="AR9" i="83"/>
  <c r="AS9" i="83"/>
  <c r="AT9" i="83"/>
  <c r="AU9" i="83"/>
  <c r="AV9" i="83"/>
  <c r="AW9" i="83"/>
  <c r="AX9" i="83"/>
  <c r="AY9" i="83"/>
  <c r="AZ9" i="83"/>
  <c r="BA9" i="83"/>
  <c r="BB9" i="83"/>
  <c r="BC9" i="83"/>
  <c r="BD9" i="83"/>
  <c r="BE9" i="83"/>
  <c r="BF9" i="83"/>
  <c r="BG9" i="83"/>
  <c r="BH9" i="83"/>
  <c r="AD10" i="83"/>
  <c r="AD11" i="83" s="1"/>
  <c r="AE10" i="83"/>
  <c r="AE11" i="83" s="1"/>
  <c r="AF10" i="83"/>
  <c r="AF11" i="83" s="1"/>
  <c r="AG10" i="83"/>
  <c r="AG11" i="83" s="1"/>
  <c r="AH10" i="83"/>
  <c r="AH11" i="83" s="1"/>
  <c r="AI10" i="83"/>
  <c r="AI11" i="83" s="1"/>
  <c r="AJ10" i="83"/>
  <c r="AJ11" i="83" s="1"/>
  <c r="AK10" i="83"/>
  <c r="AK11" i="83" s="1"/>
  <c r="AL10" i="83"/>
  <c r="AL11" i="83" s="1"/>
  <c r="AM10" i="83"/>
  <c r="AM11" i="83" s="1"/>
  <c r="AN10" i="83"/>
  <c r="AN11" i="83" s="1"/>
  <c r="AO10" i="83"/>
  <c r="AO11" i="83" s="1"/>
  <c r="AP10" i="83"/>
  <c r="AP11" i="83" s="1"/>
  <c r="AQ10" i="83"/>
  <c r="AQ11" i="83" s="1"/>
  <c r="AR10" i="83"/>
  <c r="AR11" i="83" s="1"/>
  <c r="AS10" i="83"/>
  <c r="AS11" i="83" s="1"/>
  <c r="AT10" i="83"/>
  <c r="AT11" i="83" s="1"/>
  <c r="AU10" i="83"/>
  <c r="AU11" i="83" s="1"/>
  <c r="AV10" i="83"/>
  <c r="AV11" i="83" s="1"/>
  <c r="AW10" i="83"/>
  <c r="AX10" i="83"/>
  <c r="AY10" i="83"/>
  <c r="AZ10" i="83"/>
  <c r="BA10" i="83"/>
  <c r="BB10" i="83"/>
  <c r="BC10" i="83"/>
  <c r="BD10" i="83"/>
  <c r="BE10" i="83"/>
  <c r="BF10" i="83"/>
  <c r="BG10" i="83"/>
  <c r="BH10" i="83"/>
  <c r="AW11" i="83"/>
  <c r="AX11" i="83"/>
  <c r="AY11" i="83"/>
  <c r="AZ11" i="83"/>
  <c r="BA11" i="83"/>
  <c r="BB11" i="83"/>
  <c r="BC11" i="83"/>
  <c r="BD11" i="83"/>
  <c r="BE11" i="83"/>
  <c r="BF11" i="83"/>
  <c r="BG11" i="83"/>
  <c r="BH11" i="83"/>
  <c r="BH12" i="83" l="1"/>
  <c r="AK12" i="83"/>
  <c r="AZ12" i="83"/>
  <c r="BG12" i="83"/>
  <c r="AR12" i="83"/>
  <c r="AY12" i="83"/>
  <c r="AJ12" i="83"/>
  <c r="BF12" i="83"/>
  <c r="AQ12" i="83"/>
  <c r="AX12" i="83"/>
  <c r="AI12" i="83"/>
  <c r="BC12" i="83"/>
  <c r="AN12" i="83"/>
  <c r="AF12" i="83"/>
  <c r="AU12" i="83"/>
  <c r="BB12" i="83"/>
  <c r="AT12" i="83"/>
  <c r="AM12" i="83"/>
  <c r="AE12" i="83"/>
  <c r="BA12" i="83"/>
  <c r="AS12" i="83"/>
  <c r="AL12" i="83"/>
  <c r="AD12" i="83"/>
  <c r="AW12" i="83"/>
  <c r="AH12" i="83"/>
  <c r="BE12" i="83"/>
  <c r="AP12" i="83"/>
  <c r="BD12" i="83"/>
  <c r="AV12" i="83"/>
  <c r="AO12" i="83"/>
  <c r="AG12" i="83"/>
  <c r="W27" i="11" l="1"/>
  <c r="L27" i="11"/>
  <c r="G27" i="11"/>
  <c r="AC27" i="11" s="1"/>
  <c r="T27" i="11" l="1"/>
  <c r="AD27" i="11" l="1"/>
  <c r="I27" i="11"/>
  <c r="AB18" i="99" l="1"/>
  <c r="W18" i="67" l="1"/>
  <c r="T18" i="67"/>
  <c r="P18" i="67" s="1"/>
  <c r="N18" i="67" s="1"/>
  <c r="O18" i="67" s="1"/>
  <c r="Q18" i="67" s="1"/>
  <c r="G18" i="67"/>
  <c r="AA18" i="67" l="1"/>
  <c r="Z18" i="67" l="1"/>
  <c r="L15" i="82" l="1"/>
  <c r="H15" i="67" l="1"/>
  <c r="F30" i="99" l="1"/>
  <c r="F31" i="99" s="1"/>
  <c r="F32" i="99" l="1"/>
  <c r="F33" i="99" s="1"/>
  <c r="F34" i="99" s="1"/>
  <c r="F35" i="99" s="1"/>
  <c r="F36" i="99" s="1"/>
  <c r="F37" i="99" s="1"/>
  <c r="F38" i="99" s="1"/>
  <c r="F39" i="99" s="1"/>
  <c r="F40" i="99" s="1"/>
  <c r="F41" i="99" s="1"/>
  <c r="F42" i="99" s="1"/>
  <c r="F43" i="99" s="1"/>
  <c r="F44" i="99" s="1"/>
  <c r="F45" i="99" s="1"/>
  <c r="F46" i="99" s="1"/>
  <c r="F47" i="99" s="1"/>
  <c r="F48" i="99" s="1"/>
  <c r="F49" i="99" s="1"/>
  <c r="F50" i="99" s="1"/>
  <c r="AB15" i="99" l="1"/>
  <c r="AB14" i="99"/>
  <c r="AB13" i="99"/>
  <c r="W17" i="67" l="1"/>
  <c r="BK10" i="67" s="1"/>
  <c r="BK11" i="67" s="1"/>
  <c r="BK12" i="67" s="1"/>
  <c r="T17" i="67"/>
  <c r="P17" i="67" s="1"/>
  <c r="N17" i="67" s="1"/>
  <c r="O17" i="67" s="1"/>
  <c r="Q17" i="67" s="1"/>
  <c r="G17" i="67"/>
  <c r="W16" i="67"/>
  <c r="T16" i="67"/>
  <c r="P16" i="67" s="1"/>
  <c r="N16" i="67" s="1"/>
  <c r="O16" i="67" s="1"/>
  <c r="L16" i="67"/>
  <c r="I16" i="67"/>
  <c r="G16" i="67"/>
  <c r="Z16" i="67" s="1"/>
  <c r="AU10" i="67" l="1"/>
  <c r="AU11" i="67" s="1"/>
  <c r="AU12" i="67" s="1"/>
  <c r="AX10" i="67"/>
  <c r="AX11" i="67" s="1"/>
  <c r="AX12" i="67" s="1"/>
  <c r="AY10" i="67"/>
  <c r="AY11" i="67" s="1"/>
  <c r="AY12" i="67" s="1"/>
  <c r="AD10" i="67"/>
  <c r="AD11" i="67" s="1"/>
  <c r="AD12" i="67" s="1"/>
  <c r="AF10" i="67"/>
  <c r="AF11" i="67" s="1"/>
  <c r="AF12" i="67" s="1"/>
  <c r="AG10" i="67"/>
  <c r="AG11" i="67" s="1"/>
  <c r="AG12" i="67" s="1"/>
  <c r="Q16" i="67"/>
  <c r="AA16" i="67" s="1"/>
  <c r="AA17" i="67"/>
  <c r="Z17" i="67" l="1"/>
  <c r="I15" i="82"/>
  <c r="I14" i="82"/>
  <c r="L14" i="82"/>
  <c r="G15" i="82" l="1"/>
  <c r="G14" i="82"/>
  <c r="W18" i="82"/>
  <c r="T18" i="82"/>
  <c r="P18" i="82" s="1"/>
  <c r="N18" i="82" s="1"/>
  <c r="O18" i="82" s="1"/>
  <c r="I18" i="82"/>
  <c r="W16" i="82"/>
  <c r="T16" i="82"/>
  <c r="P16" i="82" s="1"/>
  <c r="N16" i="82" s="1"/>
  <c r="O16" i="82" s="1"/>
  <c r="I16" i="82"/>
  <c r="W15" i="82"/>
  <c r="T15" i="82"/>
  <c r="P15" i="82" s="1"/>
  <c r="N15" i="82" s="1"/>
  <c r="O15" i="82" s="1"/>
  <c r="Q18" i="82" l="1"/>
  <c r="Q16" i="82"/>
  <c r="AA16" i="82"/>
  <c r="AA18" i="82"/>
  <c r="Q15" i="82"/>
  <c r="AA15" i="82" s="1"/>
  <c r="I13" i="12" l="1"/>
  <c r="Z26" i="11" l="1"/>
  <c r="W26" i="11"/>
  <c r="S26" i="11" s="1"/>
  <c r="Q26" i="11" s="1"/>
  <c r="R26" i="11" s="1"/>
  <c r="O26" i="11"/>
  <c r="L26" i="11"/>
  <c r="G26" i="11"/>
  <c r="AC26" i="11" s="1"/>
  <c r="T26" i="11" l="1"/>
  <c r="AD26" i="11" l="1"/>
  <c r="I26" i="11"/>
  <c r="W14" i="82"/>
  <c r="T14" i="82"/>
  <c r="P14" i="82" s="1"/>
  <c r="N14" i="82" s="1"/>
  <c r="O14" i="82" s="1"/>
  <c r="Q14" i="82" l="1"/>
  <c r="AA14" i="82" s="1"/>
  <c r="AK6" i="90"/>
  <c r="AL6" i="90"/>
  <c r="AM6" i="90"/>
  <c r="AN6" i="90"/>
  <c r="AD7" i="90"/>
  <c r="AE7" i="90"/>
  <c r="AF7" i="90"/>
  <c r="AG7" i="90"/>
  <c r="AH7" i="90"/>
  <c r="AI7" i="90"/>
  <c r="AJ7" i="90"/>
  <c r="AK7" i="90"/>
  <c r="AL7" i="90"/>
  <c r="AM7" i="90"/>
  <c r="AN7" i="90"/>
  <c r="AD8" i="90"/>
  <c r="AE8" i="90"/>
  <c r="AF8" i="90"/>
  <c r="AG8" i="90"/>
  <c r="AH8" i="90"/>
  <c r="AI8" i="90"/>
  <c r="AJ8" i="90"/>
  <c r="AK8" i="90"/>
  <c r="AL8" i="90"/>
  <c r="AM8" i="90"/>
  <c r="AN8" i="90"/>
  <c r="AD9" i="90"/>
  <c r="AF9" i="90"/>
  <c r="AH9" i="90"/>
  <c r="AJ9" i="90"/>
  <c r="AK9" i="90"/>
  <c r="AL9" i="90"/>
  <c r="AM9" i="90"/>
  <c r="AN9" i="90"/>
  <c r="AD10" i="90"/>
  <c r="AD11" i="90" s="1"/>
  <c r="AE10" i="90"/>
  <c r="AE11" i="90" s="1"/>
  <c r="AF10" i="90"/>
  <c r="AG10" i="90"/>
  <c r="AG11" i="90" s="1"/>
  <c r="AH10" i="90"/>
  <c r="AH11" i="90" s="1"/>
  <c r="AI10" i="90"/>
  <c r="AJ10" i="90"/>
  <c r="AK10" i="90"/>
  <c r="AL10" i="90"/>
  <c r="AM10" i="90"/>
  <c r="AN10" i="90"/>
  <c r="AF11" i="90"/>
  <c r="AI11" i="90"/>
  <c r="AJ11" i="90"/>
  <c r="AK11" i="90"/>
  <c r="AL11" i="90"/>
  <c r="AM11" i="90"/>
  <c r="AN11" i="90"/>
  <c r="AH12" i="90" l="1"/>
  <c r="AG12" i="90"/>
  <c r="AI12" i="90"/>
  <c r="AJ12" i="90"/>
  <c r="AM12" i="90"/>
  <c r="AE12" i="90"/>
  <c r="AL12" i="90"/>
  <c r="AD12" i="90"/>
  <c r="AN12" i="90"/>
  <c r="AF12" i="90"/>
  <c r="AK12" i="90"/>
  <c r="Z22" i="90" l="1"/>
  <c r="AB22" i="90" s="1"/>
  <c r="Z21" i="90"/>
  <c r="AB21" i="90" s="1"/>
  <c r="Z20" i="90"/>
  <c r="AB20" i="90" s="1"/>
  <c r="Z19" i="90"/>
  <c r="AB19" i="90" s="1"/>
  <c r="Z17" i="90"/>
  <c r="AB17" i="90" s="1"/>
  <c r="Z18" i="90"/>
  <c r="AB18" i="90" s="1"/>
  <c r="Z15" i="90"/>
  <c r="AB15" i="90" s="1"/>
  <c r="Z16" i="90"/>
  <c r="AB16" i="90" s="1"/>
  <c r="W17" i="91" l="1"/>
  <c r="S17" i="91"/>
  <c r="T17" i="91" s="1"/>
  <c r="P17" i="91" s="1"/>
  <c r="N17" i="91" s="1"/>
  <c r="O17" i="91" s="1"/>
  <c r="L17" i="91"/>
  <c r="I17" i="91"/>
  <c r="G17" i="91"/>
  <c r="Q17" i="91" l="1"/>
  <c r="AA17" i="91" s="1"/>
  <c r="W16" i="91" l="1"/>
  <c r="S16" i="91"/>
  <c r="T16" i="91" s="1"/>
  <c r="P16" i="91" s="1"/>
  <c r="N16" i="91" s="1"/>
  <c r="O16" i="91" s="1"/>
  <c r="L16" i="91"/>
  <c r="I16" i="91"/>
  <c r="G16" i="91"/>
  <c r="Q16" i="91" l="1"/>
  <c r="AA16" i="91"/>
  <c r="AE28" i="11" l="1"/>
  <c r="AE27" i="11"/>
  <c r="Z13" i="12" l="1"/>
  <c r="W13" i="12"/>
  <c r="S13" i="12"/>
  <c r="T13" i="12" s="1"/>
  <c r="P13" i="12" s="1"/>
  <c r="N13" i="12" s="1"/>
  <c r="O13" i="12" s="1"/>
  <c r="L13" i="12"/>
  <c r="Q13" i="12" l="1"/>
  <c r="AA13" i="12" s="1"/>
  <c r="AB13" i="12" s="1"/>
  <c r="Z30" i="19" l="1"/>
  <c r="AB30" i="19" s="1"/>
  <c r="Z28" i="19" l="1"/>
  <c r="AB28" i="19" s="1"/>
  <c r="Z29" i="19"/>
  <c r="AB29" i="19" s="1"/>
  <c r="Z25" i="11" l="1"/>
  <c r="W25" i="11"/>
  <c r="S25" i="11" s="1"/>
  <c r="Q25" i="11" s="1"/>
  <c r="R25" i="11" s="1"/>
  <c r="O25" i="11"/>
  <c r="L25" i="11"/>
  <c r="G25" i="11"/>
  <c r="AC25" i="11" s="1"/>
  <c r="T25" i="11" l="1"/>
  <c r="I25" i="11" s="1"/>
  <c r="AD25" i="11" l="1"/>
  <c r="AK6" i="91" l="1"/>
  <c r="AL6" i="91"/>
  <c r="AM6" i="91"/>
  <c r="AN6" i="91"/>
  <c r="AO6" i="91"/>
  <c r="AP6" i="91"/>
  <c r="AQ6" i="91"/>
  <c r="AR6" i="91"/>
  <c r="AS6" i="91"/>
  <c r="AT6" i="91"/>
  <c r="AU6" i="91"/>
  <c r="AD7" i="91"/>
  <c r="AE7" i="91"/>
  <c r="AF7" i="91"/>
  <c r="AG7" i="91"/>
  <c r="AH7" i="91"/>
  <c r="AI7" i="91"/>
  <c r="AJ7" i="91"/>
  <c r="AK7" i="91"/>
  <c r="AL7" i="91"/>
  <c r="AM7" i="91"/>
  <c r="AN7" i="91"/>
  <c r="AO7" i="91"/>
  <c r="AP7" i="91"/>
  <c r="AQ7" i="91"/>
  <c r="AR7" i="91"/>
  <c r="AS7" i="91"/>
  <c r="AT7" i="91"/>
  <c r="AU7" i="91"/>
  <c r="AD8" i="91"/>
  <c r="AE8" i="91"/>
  <c r="AF8" i="91"/>
  <c r="AG8" i="91"/>
  <c r="AH8" i="91"/>
  <c r="AI8" i="91"/>
  <c r="AJ8" i="91"/>
  <c r="AK8" i="91"/>
  <c r="AL8" i="91"/>
  <c r="AM8" i="91"/>
  <c r="AN8" i="91"/>
  <c r="AO8" i="91"/>
  <c r="AP8" i="91"/>
  <c r="AQ8" i="91"/>
  <c r="AR8" i="91"/>
  <c r="AS8" i="91"/>
  <c r="AT8" i="91"/>
  <c r="AU8" i="91"/>
  <c r="AD9" i="91"/>
  <c r="AE9" i="91"/>
  <c r="AF9" i="91"/>
  <c r="AG9" i="91"/>
  <c r="AH9" i="91"/>
  <c r="AI9" i="91"/>
  <c r="AJ9" i="91"/>
  <c r="AK9" i="91"/>
  <c r="AL9" i="91"/>
  <c r="AM9" i="91"/>
  <c r="AN9" i="91"/>
  <c r="AO9" i="91"/>
  <c r="AP9" i="91"/>
  <c r="AQ9" i="91"/>
  <c r="AR9" i="91"/>
  <c r="AS9" i="91"/>
  <c r="AT9" i="91"/>
  <c r="AU9" i="91"/>
  <c r="AD10" i="91"/>
  <c r="AD11" i="91" s="1"/>
  <c r="AE10" i="91"/>
  <c r="AE11" i="91" s="1"/>
  <c r="AF10" i="91"/>
  <c r="AG10" i="91"/>
  <c r="AH10" i="91"/>
  <c r="AI10" i="91"/>
  <c r="AJ10" i="91"/>
  <c r="AK10" i="91"/>
  <c r="AL10" i="91"/>
  <c r="AM10" i="91"/>
  <c r="AN10" i="91"/>
  <c r="AO10" i="91"/>
  <c r="AP10" i="91"/>
  <c r="AQ10" i="91"/>
  <c r="AR10" i="91"/>
  <c r="AS10" i="91"/>
  <c r="AT10" i="91"/>
  <c r="AU10" i="91"/>
  <c r="AF11" i="91"/>
  <c r="AG11" i="91"/>
  <c r="AH11" i="91"/>
  <c r="AI11" i="91"/>
  <c r="AJ11" i="91"/>
  <c r="AK11" i="91"/>
  <c r="AL11" i="91"/>
  <c r="AM11" i="91"/>
  <c r="AN11" i="91"/>
  <c r="AO11" i="91"/>
  <c r="AP11" i="91"/>
  <c r="AQ11" i="91"/>
  <c r="AR11" i="91"/>
  <c r="AS11" i="91"/>
  <c r="AT11" i="91"/>
  <c r="AU11" i="91"/>
  <c r="Z16" i="91" l="1"/>
  <c r="AB16" i="91" s="1"/>
  <c r="AE12" i="91"/>
  <c r="AM12" i="91"/>
  <c r="AS12" i="91"/>
  <c r="AU12" i="91"/>
  <c r="AK12" i="91"/>
  <c r="AJ12" i="91"/>
  <c r="AQ12" i="91"/>
  <c r="AI12" i="91"/>
  <c r="AR12" i="91"/>
  <c r="AP12" i="91"/>
  <c r="AH12" i="91"/>
  <c r="AO12" i="91"/>
  <c r="AG12" i="91"/>
  <c r="AN12" i="91"/>
  <c r="AF12" i="91"/>
  <c r="AT12" i="91"/>
  <c r="AL12" i="91"/>
  <c r="AD12" i="91"/>
  <c r="Z19" i="91" l="1"/>
  <c r="AB19" i="91" s="1"/>
  <c r="Z18" i="91"/>
  <c r="AB18" i="91" s="1"/>
  <c r="Z17" i="91"/>
  <c r="AB17" i="91" s="1"/>
  <c r="AE26" i="11"/>
  <c r="G13" i="82" l="1"/>
  <c r="O21" i="11" l="1"/>
  <c r="W15" i="67" l="1"/>
  <c r="T15" i="67"/>
  <c r="P15" i="67" s="1"/>
  <c r="N15" i="67" s="1"/>
  <c r="O15" i="67" s="1"/>
  <c r="L15" i="67"/>
  <c r="I15" i="67"/>
  <c r="G15" i="67"/>
  <c r="W14" i="67"/>
  <c r="T14" i="67"/>
  <c r="P14" i="67" s="1"/>
  <c r="N14" i="67" s="1"/>
  <c r="O14" i="67" s="1"/>
  <c r="L14" i="67"/>
  <c r="I14" i="67"/>
  <c r="G14" i="67"/>
  <c r="Z14" i="67" s="1"/>
  <c r="Z15" i="67" l="1"/>
  <c r="Q14" i="67"/>
  <c r="AA14" i="67" s="1"/>
  <c r="Q15" i="67"/>
  <c r="AA15" i="67" s="1"/>
  <c r="AB20" i="67" l="1"/>
  <c r="AB19" i="67"/>
  <c r="AB18" i="67"/>
  <c r="AB17" i="67"/>
  <c r="AB16" i="67"/>
  <c r="O23" i="11"/>
  <c r="W24" i="11" l="1"/>
  <c r="S24" i="11" s="1"/>
  <c r="Q24" i="11" s="1"/>
  <c r="R24" i="11" s="1"/>
  <c r="O24" i="11"/>
  <c r="L24" i="11"/>
  <c r="G24" i="11"/>
  <c r="AC24" i="11" s="1"/>
  <c r="W23" i="11"/>
  <c r="S23" i="11" s="1"/>
  <c r="Q23" i="11" s="1"/>
  <c r="R23" i="11" s="1"/>
  <c r="L23" i="11"/>
  <c r="G23" i="11"/>
  <c r="AC23" i="11" s="1"/>
  <c r="T23" i="11" l="1"/>
  <c r="T24" i="11"/>
  <c r="I24" i="11" s="1"/>
  <c r="AD23" i="11" l="1"/>
  <c r="I23" i="11"/>
  <c r="AD24" i="11"/>
  <c r="W13" i="82" l="1"/>
  <c r="T13" i="82"/>
  <c r="P13" i="82" s="1"/>
  <c r="N13" i="82" s="1"/>
  <c r="O13" i="82" s="1"/>
  <c r="L13" i="82"/>
  <c r="I13" i="82"/>
  <c r="Q13" i="82" l="1"/>
  <c r="AA13" i="82" s="1"/>
  <c r="L22" i="11" l="1"/>
  <c r="O22" i="11"/>
  <c r="W22" i="11"/>
  <c r="S22" i="11" s="1"/>
  <c r="G22" i="11"/>
  <c r="AC22" i="11" s="1"/>
  <c r="Q22" i="11" l="1"/>
  <c r="R22" i="11" s="1"/>
  <c r="T22" i="11" s="1"/>
  <c r="AD22" i="11" l="1"/>
  <c r="I22" i="11"/>
  <c r="W15" i="91"/>
  <c r="S15" i="91"/>
  <c r="T15" i="91" s="1"/>
  <c r="P15" i="91" s="1"/>
  <c r="N15" i="91" s="1"/>
  <c r="O15" i="91" s="1"/>
  <c r="L15" i="91"/>
  <c r="I15" i="91"/>
  <c r="G15" i="91"/>
  <c r="Z15" i="91" s="1"/>
  <c r="Q15" i="91" l="1"/>
  <c r="AA15" i="91" s="1"/>
  <c r="AG3" i="89" l="1"/>
  <c r="AH3" i="89"/>
  <c r="AI3" i="89"/>
  <c r="AJ3" i="89"/>
  <c r="AK3" i="89"/>
  <c r="AL3" i="89"/>
  <c r="AM3" i="89"/>
  <c r="AN3" i="89"/>
  <c r="AO3" i="89"/>
  <c r="AP3" i="89"/>
  <c r="AQ3" i="89"/>
  <c r="AR3" i="89"/>
  <c r="AS3" i="89"/>
  <c r="AT3" i="89"/>
  <c r="AU3" i="89"/>
  <c r="AV3" i="89"/>
  <c r="AW3" i="89"/>
  <c r="AX3" i="89"/>
  <c r="AY3" i="89"/>
  <c r="AZ3" i="89"/>
  <c r="BA3" i="89"/>
  <c r="BB3" i="89"/>
  <c r="BC3" i="89"/>
  <c r="BD3" i="89"/>
  <c r="BE3" i="89"/>
  <c r="BF3" i="89"/>
  <c r="BG3" i="89"/>
  <c r="BH3" i="89"/>
  <c r="AG6" i="89"/>
  <c r="AH6" i="89"/>
  <c r="AI6" i="89"/>
  <c r="AJ6" i="89"/>
  <c r="AK6" i="89"/>
  <c r="AL6" i="89"/>
  <c r="AM6" i="89"/>
  <c r="AN6" i="89"/>
  <c r="AO6" i="89"/>
  <c r="AP6" i="89"/>
  <c r="AQ6" i="89"/>
  <c r="AR6" i="89"/>
  <c r="AS6" i="89"/>
  <c r="AT6" i="89"/>
  <c r="AU6" i="89"/>
  <c r="AV6" i="89"/>
  <c r="AW6" i="89"/>
  <c r="AX6" i="89"/>
  <c r="AY6" i="89"/>
  <c r="AZ6" i="89"/>
  <c r="BA6" i="89"/>
  <c r="BB6" i="89"/>
  <c r="BC6" i="89"/>
  <c r="BD6" i="89"/>
  <c r="BE6" i="89"/>
  <c r="BF6" i="89"/>
  <c r="BG6" i="89"/>
  <c r="BH6" i="89"/>
  <c r="AG7" i="89"/>
  <c r="AH7" i="89"/>
  <c r="AI7" i="89"/>
  <c r="AJ7" i="89"/>
  <c r="AK7" i="89"/>
  <c r="AL7" i="89"/>
  <c r="AM7" i="89"/>
  <c r="AN7" i="89"/>
  <c r="AO7" i="89"/>
  <c r="AP7" i="89"/>
  <c r="AQ7" i="89"/>
  <c r="AR7" i="89"/>
  <c r="AS7" i="89"/>
  <c r="AT7" i="89"/>
  <c r="AU7" i="89"/>
  <c r="AV7" i="89"/>
  <c r="AW7" i="89"/>
  <c r="AX7" i="89"/>
  <c r="AY7" i="89"/>
  <c r="AZ7" i="89"/>
  <c r="BA7" i="89"/>
  <c r="BB7" i="89"/>
  <c r="BC7" i="89"/>
  <c r="BD7" i="89"/>
  <c r="BE7" i="89"/>
  <c r="BF7" i="89"/>
  <c r="BG7" i="89"/>
  <c r="BH7" i="89"/>
  <c r="AG8" i="89"/>
  <c r="AG9" i="89" s="1"/>
  <c r="AH8" i="89"/>
  <c r="AH9" i="89" s="1"/>
  <c r="AI8" i="89"/>
  <c r="AI9" i="89" s="1"/>
  <c r="AJ8" i="89"/>
  <c r="AJ9" i="89" s="1"/>
  <c r="AK8" i="89"/>
  <c r="AL8" i="89"/>
  <c r="AL9" i="89" s="1"/>
  <c r="AM8" i="89"/>
  <c r="AM9" i="89" s="1"/>
  <c r="AN8" i="89"/>
  <c r="AN9" i="89" s="1"/>
  <c r="AO8" i="89"/>
  <c r="AO9" i="89" s="1"/>
  <c r="AP8" i="89"/>
  <c r="AP9" i="89" s="1"/>
  <c r="AQ8" i="89"/>
  <c r="AQ9" i="89" s="1"/>
  <c r="AR8" i="89"/>
  <c r="AR9" i="89" s="1"/>
  <c r="AS8" i="89"/>
  <c r="AS9" i="89" s="1"/>
  <c r="AT8" i="89"/>
  <c r="AU8" i="89"/>
  <c r="AU9" i="89" s="1"/>
  <c r="AV8" i="89"/>
  <c r="AV9" i="89" s="1"/>
  <c r="AW8" i="89"/>
  <c r="AW9" i="89" s="1"/>
  <c r="AX8" i="89"/>
  <c r="AX9" i="89" s="1"/>
  <c r="AY8" i="89"/>
  <c r="AY9" i="89" s="1"/>
  <c r="AZ8" i="89"/>
  <c r="AZ9" i="89" s="1"/>
  <c r="BA8" i="89"/>
  <c r="BA9" i="89" s="1"/>
  <c r="BB8" i="89"/>
  <c r="BB9" i="89" s="1"/>
  <c r="BC8" i="89"/>
  <c r="BC9" i="89" s="1"/>
  <c r="BD8" i="89"/>
  <c r="BD9" i="89" s="1"/>
  <c r="BE8" i="89"/>
  <c r="BE9" i="89" s="1"/>
  <c r="BF8" i="89"/>
  <c r="BF9" i="89" s="1"/>
  <c r="BG8" i="89"/>
  <c r="BG9" i="89" s="1"/>
  <c r="BH8" i="89"/>
  <c r="BH9" i="89" s="1"/>
  <c r="AT9" i="89"/>
  <c r="AG10" i="89"/>
  <c r="AG11" i="89" s="1"/>
  <c r="AH10" i="89"/>
  <c r="AI10" i="89"/>
  <c r="AI11" i="89" s="1"/>
  <c r="AJ10" i="89"/>
  <c r="AJ11" i="89" s="1"/>
  <c r="AK10" i="89"/>
  <c r="AK11" i="89" s="1"/>
  <c r="AL10" i="89"/>
  <c r="AM10" i="89"/>
  <c r="AN10" i="89"/>
  <c r="AO10" i="89"/>
  <c r="AP10" i="89"/>
  <c r="AQ10" i="89"/>
  <c r="AR10" i="89"/>
  <c r="AS10" i="89"/>
  <c r="AT10" i="89"/>
  <c r="AU10" i="89"/>
  <c r="AV10" i="89"/>
  <c r="AW10" i="89"/>
  <c r="AX10" i="89"/>
  <c r="AY10" i="89"/>
  <c r="AZ10" i="89"/>
  <c r="BA10" i="89"/>
  <c r="BB10" i="89"/>
  <c r="BC10" i="89"/>
  <c r="BD10" i="89"/>
  <c r="BE10" i="89"/>
  <c r="BF10" i="89"/>
  <c r="BG10" i="89"/>
  <c r="BH10" i="89"/>
  <c r="AH11" i="89"/>
  <c r="AL11" i="89"/>
  <c r="AM11" i="89"/>
  <c r="AN11" i="89"/>
  <c r="AO11" i="89"/>
  <c r="AP11" i="89"/>
  <c r="AQ11" i="89"/>
  <c r="AR11" i="89"/>
  <c r="AS11" i="89"/>
  <c r="AT11" i="89"/>
  <c r="AU11" i="89"/>
  <c r="AV11" i="89"/>
  <c r="AW11" i="89"/>
  <c r="AX11" i="89"/>
  <c r="AY11" i="89"/>
  <c r="AZ11" i="89"/>
  <c r="BA11" i="89"/>
  <c r="BB11" i="89"/>
  <c r="BC11" i="89"/>
  <c r="BD11" i="89"/>
  <c r="BE11" i="89"/>
  <c r="BF11" i="89"/>
  <c r="BG11" i="89"/>
  <c r="BH11" i="89"/>
  <c r="AC16" i="89" l="1"/>
  <c r="AE16" i="89" s="1"/>
  <c r="I16" i="89"/>
  <c r="AC15" i="89"/>
  <c r="AE15" i="89" s="1"/>
  <c r="I15" i="89"/>
  <c r="BB12" i="89"/>
  <c r="AH12" i="89"/>
  <c r="AC14" i="89"/>
  <c r="AE14" i="89" s="1"/>
  <c r="I14" i="89"/>
  <c r="AW2" i="89"/>
  <c r="AL12" i="89"/>
  <c r="AT12" i="89"/>
  <c r="AY12" i="89"/>
  <c r="BG12" i="89"/>
  <c r="AI12" i="89"/>
  <c r="BE12" i="89"/>
  <c r="AU2" i="89"/>
  <c r="AO12" i="89"/>
  <c r="AW12" i="89"/>
  <c r="AM2" i="89"/>
  <c r="AH2" i="89"/>
  <c r="AG2" i="89"/>
  <c r="AQ2" i="89"/>
  <c r="BE2" i="89"/>
  <c r="BC2" i="89"/>
  <c r="AO2" i="89"/>
  <c r="BB2" i="89"/>
  <c r="AU12" i="89"/>
  <c r="AY2" i="89"/>
  <c r="AM12" i="89"/>
  <c r="AL2" i="89"/>
  <c r="BH2" i="89"/>
  <c r="AZ2" i="89"/>
  <c r="AR2" i="89"/>
  <c r="AJ2" i="89"/>
  <c r="AG12" i="89"/>
  <c r="AX2" i="89"/>
  <c r="AI2" i="89"/>
  <c r="AP2" i="89"/>
  <c r="BC12" i="89"/>
  <c r="BG2" i="89"/>
  <c r="AQ12" i="89"/>
  <c r="BF2" i="89"/>
  <c r="AT2" i="89"/>
  <c r="BA12" i="89"/>
  <c r="BA2" i="89"/>
  <c r="AS2" i="89"/>
  <c r="AS12" i="89"/>
  <c r="AK12" i="89"/>
  <c r="AK2" i="89"/>
  <c r="BH12" i="89"/>
  <c r="AZ12" i="89"/>
  <c r="AR12" i="89"/>
  <c r="AJ12" i="89"/>
  <c r="BD12" i="89"/>
  <c r="BD2" i="89"/>
  <c r="AV12" i="89"/>
  <c r="AV2" i="89"/>
  <c r="AN2" i="89"/>
  <c r="AN12" i="89"/>
  <c r="BF12" i="89"/>
  <c r="AX12" i="89"/>
  <c r="AP12" i="89"/>
  <c r="AB15" i="67" l="1"/>
  <c r="AB14" i="67"/>
  <c r="W21" i="11"/>
  <c r="S21" i="11" s="1"/>
  <c r="Q21" i="11" s="1"/>
  <c r="R21" i="11" s="1"/>
  <c r="L21" i="11"/>
  <c r="G21" i="11"/>
  <c r="AC21" i="11" s="1"/>
  <c r="T21" i="11" l="1"/>
  <c r="I21" i="11" s="1"/>
  <c r="AD21" i="11" l="1"/>
  <c r="F99" i="61" l="1"/>
  <c r="F100" i="61" s="1"/>
  <c r="F101" i="61" s="1"/>
  <c r="F102" i="61" s="1"/>
  <c r="F103" i="61" s="1"/>
  <c r="F104" i="61" s="1"/>
  <c r="F105" i="61" s="1"/>
  <c r="F106" i="61" s="1"/>
  <c r="F107" i="61" s="1"/>
  <c r="F108" i="61" s="1"/>
  <c r="F109" i="61" s="1"/>
  <c r="W27" i="19" l="1"/>
  <c r="T27" i="19"/>
  <c r="P27" i="19" s="1"/>
  <c r="N27" i="19" s="1"/>
  <c r="O27" i="19" s="1"/>
  <c r="Q27" i="19" s="1"/>
  <c r="I27" i="19"/>
  <c r="E27" i="19"/>
  <c r="AA27" i="19" l="1"/>
  <c r="AE25" i="11" l="1"/>
  <c r="AE24" i="11"/>
  <c r="AE23" i="11"/>
  <c r="O20" i="11" l="1"/>
  <c r="W20" i="11" l="1"/>
  <c r="S20" i="11" s="1"/>
  <c r="Q20" i="11" s="1"/>
  <c r="R20" i="11" s="1"/>
  <c r="L20" i="11"/>
  <c r="G20" i="11"/>
  <c r="AC20" i="11" s="1"/>
  <c r="T20" i="11" l="1"/>
  <c r="AD20" i="11" l="1"/>
  <c r="I20" i="11"/>
  <c r="W26" i="19" l="1"/>
  <c r="BA10" i="19" s="1"/>
  <c r="BA11" i="19" s="1"/>
  <c r="BA12" i="19" s="1"/>
  <c r="T26" i="19"/>
  <c r="P26" i="19" s="1"/>
  <c r="N26" i="19" s="1"/>
  <c r="O26" i="19" s="1"/>
  <c r="Q26" i="19" s="1"/>
  <c r="I26" i="19"/>
  <c r="E26" i="19"/>
  <c r="AA26" i="19" l="1"/>
  <c r="O19" i="11" l="1"/>
  <c r="W19" i="11"/>
  <c r="S19" i="11" s="1"/>
  <c r="L19" i="11"/>
  <c r="G19" i="11"/>
  <c r="AC19" i="11" s="1"/>
  <c r="Q19" i="11" l="1"/>
  <c r="R19" i="11" s="1"/>
  <c r="T19" i="11" s="1"/>
  <c r="W14" i="91"/>
  <c r="S14" i="91"/>
  <c r="T14" i="91" s="1"/>
  <c r="P14" i="91" s="1"/>
  <c r="N14" i="91" s="1"/>
  <c r="O14" i="91" s="1"/>
  <c r="L14" i="91"/>
  <c r="I14" i="91"/>
  <c r="G14" i="91"/>
  <c r="Z14" i="91" s="1"/>
  <c r="AD19" i="11" l="1"/>
  <c r="I19" i="11"/>
  <c r="Q14" i="91"/>
  <c r="AA14" i="91" s="1"/>
  <c r="Z16" i="11" l="1"/>
  <c r="W18" i="11"/>
  <c r="S18" i="11" s="1"/>
  <c r="Q18" i="11" s="1"/>
  <c r="R18" i="11" s="1"/>
  <c r="O18" i="11"/>
  <c r="L18" i="11"/>
  <c r="G18" i="11"/>
  <c r="AC18" i="11" s="1"/>
  <c r="W17" i="11"/>
  <c r="S17" i="11" s="1"/>
  <c r="Q17" i="11" s="1"/>
  <c r="R17" i="11" s="1"/>
  <c r="O17" i="11"/>
  <c r="L17" i="11"/>
  <c r="G17" i="11"/>
  <c r="AC17" i="11" s="1"/>
  <c r="W16" i="11"/>
  <c r="S16" i="11" s="1"/>
  <c r="Q16" i="11" s="1"/>
  <c r="R16" i="11" s="1"/>
  <c r="O16" i="11"/>
  <c r="L16" i="11"/>
  <c r="G16" i="11"/>
  <c r="AC16" i="11" s="1"/>
  <c r="O15" i="11"/>
  <c r="T18" i="11" l="1"/>
  <c r="T16" i="11"/>
  <c r="T17" i="11"/>
  <c r="I17" i="11" s="1"/>
  <c r="AD16" i="11" l="1"/>
  <c r="I16" i="11"/>
  <c r="AD18" i="11"/>
  <c r="I18" i="11"/>
  <c r="AD17" i="11"/>
  <c r="Z15" i="64"/>
  <c r="AB15" i="64" s="1"/>
  <c r="Z14" i="64" l="1"/>
  <c r="AB14" i="64" s="1"/>
  <c r="Z13" i="64"/>
  <c r="AB13" i="64" s="1"/>
  <c r="W13" i="67" l="1"/>
  <c r="T13" i="67"/>
  <c r="P13" i="67" s="1"/>
  <c r="N13" i="67" s="1"/>
  <c r="O13" i="67" s="1"/>
  <c r="I13" i="67"/>
  <c r="G13" i="67"/>
  <c r="AH10" i="67" l="1"/>
  <c r="AH11" i="67" s="1"/>
  <c r="AH12" i="67" s="1"/>
  <c r="AI10" i="67"/>
  <c r="AI11" i="67" s="1"/>
  <c r="AI12" i="67" s="1"/>
  <c r="Q13" i="67"/>
  <c r="AA13" i="67" s="1"/>
  <c r="Z13" i="67" l="1"/>
  <c r="AE22" i="11"/>
  <c r="AE21" i="11"/>
  <c r="AE20" i="11"/>
  <c r="W15" i="11" l="1"/>
  <c r="S15" i="11" s="1"/>
  <c r="Q15" i="11" s="1"/>
  <c r="R15" i="11" s="1"/>
  <c r="L15" i="11"/>
  <c r="G15" i="11"/>
  <c r="AC15" i="11" s="1"/>
  <c r="T15" i="11" l="1"/>
  <c r="I15" i="11" s="1"/>
  <c r="AD15" i="11" l="1"/>
  <c r="I25" i="19" l="1"/>
  <c r="W25" i="19"/>
  <c r="T25" i="19"/>
  <c r="E25" i="19"/>
  <c r="P25" i="19" l="1"/>
  <c r="N25" i="19" s="1"/>
  <c r="O25" i="19" s="1"/>
  <c r="Q25" i="19" s="1"/>
  <c r="AA25" i="19" s="1"/>
  <c r="W13" i="91" l="1"/>
  <c r="S13" i="91"/>
  <c r="T13" i="91" s="1"/>
  <c r="P13" i="91" s="1"/>
  <c r="N13" i="91" s="1"/>
  <c r="O13" i="91" s="1"/>
  <c r="L13" i="91"/>
  <c r="I13" i="91"/>
  <c r="G13" i="91"/>
  <c r="Z13" i="91" s="1"/>
  <c r="Z27" i="19" l="1"/>
  <c r="AB27" i="19" s="1"/>
  <c r="Z26" i="19"/>
  <c r="AB26" i="19" s="1"/>
  <c r="Q13" i="91"/>
  <c r="AA13" i="91" s="1"/>
  <c r="AE19" i="11" l="1"/>
  <c r="AE18" i="11"/>
  <c r="AE17" i="11"/>
  <c r="AE16" i="11"/>
  <c r="AE15" i="11"/>
  <c r="W24" i="19" l="1"/>
  <c r="T24" i="19"/>
  <c r="P24" i="19" s="1"/>
  <c r="N24" i="19" s="1"/>
  <c r="O24" i="19" s="1"/>
  <c r="Q24" i="19" s="1"/>
  <c r="I24" i="19"/>
  <c r="E24" i="19"/>
  <c r="W23" i="19"/>
  <c r="T23" i="19"/>
  <c r="P23" i="19" s="1"/>
  <c r="N23" i="19" s="1"/>
  <c r="O23" i="19" s="1"/>
  <c r="Q23" i="19" s="1"/>
  <c r="I23" i="19"/>
  <c r="E23" i="19"/>
  <c r="AA24" i="19" l="1"/>
  <c r="AA23" i="19"/>
  <c r="W14" i="11" l="1"/>
  <c r="S14" i="11" s="1"/>
  <c r="Q14" i="11" s="1"/>
  <c r="R14" i="11" s="1"/>
  <c r="O14" i="11"/>
  <c r="L14" i="11"/>
  <c r="G14" i="11"/>
  <c r="AC14" i="11" s="1"/>
  <c r="T14" i="11" l="1"/>
  <c r="I14" i="11" s="1"/>
  <c r="AD14" i="11" l="1"/>
  <c r="F76" i="61" l="1"/>
  <c r="F77" i="61" s="1"/>
  <c r="F78" i="61" s="1"/>
  <c r="F79" i="61" s="1"/>
  <c r="F80" i="61" s="1"/>
  <c r="F81" i="61" s="1"/>
  <c r="F82" i="61" s="1"/>
  <c r="F83" i="61" s="1"/>
  <c r="F84" i="61" s="1"/>
  <c r="F85" i="61" s="1"/>
  <c r="F86" i="61" s="1"/>
  <c r="F87" i="61" s="1"/>
  <c r="F88" i="61" s="1"/>
  <c r="F89" i="61" s="1"/>
  <c r="F90" i="61" s="1"/>
  <c r="F91" i="61" s="1"/>
  <c r="O13" i="89" l="1"/>
  <c r="V13" i="89"/>
  <c r="W13" i="89" s="1"/>
  <c r="S13" i="89" s="1"/>
  <c r="Q13" i="89" s="1"/>
  <c r="R13" i="89" s="1"/>
  <c r="T13" i="89" l="1"/>
  <c r="AD13" i="89" s="1"/>
  <c r="AI6" i="82" l="1"/>
  <c r="AJ6" i="82"/>
  <c r="AK6" i="82"/>
  <c r="AL6" i="82"/>
  <c r="AM6" i="82"/>
  <c r="AN6" i="82"/>
  <c r="AO6" i="82"/>
  <c r="AP6" i="82"/>
  <c r="AQ6" i="82"/>
  <c r="AR6" i="82"/>
  <c r="AS6" i="82"/>
  <c r="AT6" i="82"/>
  <c r="AU6" i="82"/>
  <c r="AV6" i="82"/>
  <c r="AW6" i="82"/>
  <c r="AX6" i="82"/>
  <c r="AY6" i="82"/>
  <c r="AD7" i="82"/>
  <c r="AE7" i="82"/>
  <c r="AF7" i="82"/>
  <c r="AG7" i="82"/>
  <c r="AH7" i="82"/>
  <c r="AI7" i="82"/>
  <c r="AJ7" i="82"/>
  <c r="AK7" i="82"/>
  <c r="AL7" i="82"/>
  <c r="AM7" i="82"/>
  <c r="AN7" i="82"/>
  <c r="AO7" i="82"/>
  <c r="AP7" i="82"/>
  <c r="AQ7" i="82"/>
  <c r="AR7" i="82"/>
  <c r="AS7" i="82"/>
  <c r="AT7" i="82"/>
  <c r="AU7" i="82"/>
  <c r="AV7" i="82"/>
  <c r="AW7" i="82"/>
  <c r="AX7" i="82"/>
  <c r="AY7" i="82"/>
  <c r="AD8" i="82"/>
  <c r="AE8" i="82"/>
  <c r="AF8" i="82"/>
  <c r="AG8" i="82"/>
  <c r="AH8" i="82"/>
  <c r="AI8" i="82"/>
  <c r="AJ8" i="82"/>
  <c r="AK8" i="82"/>
  <c r="AL8" i="82"/>
  <c r="AM8" i="82"/>
  <c r="AN8" i="82"/>
  <c r="AO8" i="82"/>
  <c r="AP8" i="82"/>
  <c r="AQ8" i="82"/>
  <c r="AR8" i="82"/>
  <c r="AS8" i="82"/>
  <c r="AT8" i="82"/>
  <c r="AU8" i="82"/>
  <c r="AV8" i="82"/>
  <c r="AW8" i="82"/>
  <c r="AX8" i="82"/>
  <c r="AY8" i="82"/>
  <c r="AD9" i="82"/>
  <c r="AE9" i="82"/>
  <c r="AG9" i="82"/>
  <c r="AH9" i="82"/>
  <c r="AI9" i="82"/>
  <c r="AJ9" i="82"/>
  <c r="AK9" i="82"/>
  <c r="AL9" i="82"/>
  <c r="AM9" i="82"/>
  <c r="AN9" i="82"/>
  <c r="AO9" i="82"/>
  <c r="AP9" i="82"/>
  <c r="AQ9" i="82"/>
  <c r="AR9" i="82"/>
  <c r="AS9" i="82"/>
  <c r="AT9" i="82"/>
  <c r="AU9" i="82"/>
  <c r="AV9" i="82"/>
  <c r="AW9" i="82"/>
  <c r="AX9" i="82"/>
  <c r="AY9" i="82"/>
  <c r="AD10" i="82"/>
  <c r="AE10" i="82"/>
  <c r="AF10" i="82"/>
  <c r="AF11" i="82" s="1"/>
  <c r="AG10" i="82"/>
  <c r="AG11" i="82" s="1"/>
  <c r="AH10" i="82"/>
  <c r="AH11" i="82" s="1"/>
  <c r="AI10" i="82"/>
  <c r="AI11" i="82" s="1"/>
  <c r="AJ10" i="82"/>
  <c r="AK10" i="82"/>
  <c r="AL10" i="82"/>
  <c r="AM10" i="82"/>
  <c r="AN10" i="82"/>
  <c r="AO10" i="82"/>
  <c r="AP10" i="82"/>
  <c r="AQ10" i="82"/>
  <c r="AR10" i="82"/>
  <c r="AS10" i="82"/>
  <c r="AT10" i="82"/>
  <c r="AU10" i="82"/>
  <c r="AV10" i="82"/>
  <c r="AW10" i="82"/>
  <c r="AX10" i="82"/>
  <c r="AY10" i="82"/>
  <c r="AD11" i="82"/>
  <c r="AE11" i="82"/>
  <c r="AJ11" i="82"/>
  <c r="AK11" i="82"/>
  <c r="AL11" i="82"/>
  <c r="AM11" i="82"/>
  <c r="AN11" i="82"/>
  <c r="AO11" i="82"/>
  <c r="AP11" i="82"/>
  <c r="AQ11" i="82"/>
  <c r="AR11" i="82"/>
  <c r="AS11" i="82"/>
  <c r="AT11" i="82"/>
  <c r="AU11" i="82"/>
  <c r="AV11" i="82"/>
  <c r="AW11" i="82"/>
  <c r="AX11" i="82"/>
  <c r="AY11" i="82"/>
  <c r="Z19" i="82" l="1"/>
  <c r="AB19" i="82" s="1"/>
  <c r="AT12" i="82"/>
  <c r="AL12" i="82"/>
  <c r="AD12" i="82"/>
  <c r="AV12" i="82"/>
  <c r="AN12" i="82"/>
  <c r="AF12" i="82"/>
  <c r="AS12" i="82"/>
  <c r="AK12" i="82"/>
  <c r="AQ12" i="82"/>
  <c r="AY12" i="82"/>
  <c r="AI12" i="82"/>
  <c r="AU12" i="82"/>
  <c r="AM12" i="82"/>
  <c r="AE12" i="82"/>
  <c r="AR12" i="82"/>
  <c r="AJ12" i="82"/>
  <c r="AX12" i="82"/>
  <c r="AP12" i="82"/>
  <c r="AH12" i="82"/>
  <c r="AW12" i="82"/>
  <c r="AO12" i="82"/>
  <c r="AG12" i="82"/>
  <c r="Z13" i="82" s="1"/>
  <c r="AB13" i="82" s="1"/>
  <c r="Z17" i="82" l="1"/>
  <c r="AB17" i="82" s="1"/>
  <c r="Z16" i="82"/>
  <c r="AB16" i="82" s="1"/>
  <c r="Z18" i="82"/>
  <c r="AB18" i="82" s="1"/>
  <c r="Z14" i="82"/>
  <c r="AB14" i="82" s="1"/>
  <c r="Z15" i="82"/>
  <c r="AB15" i="82" s="1"/>
  <c r="Z25" i="19" l="1"/>
  <c r="AB25" i="19" s="1"/>
  <c r="Z24" i="19"/>
  <c r="AB24" i="19" s="1"/>
  <c r="Z23" i="19"/>
  <c r="AB23" i="19" s="1"/>
  <c r="F116" i="61" l="1"/>
  <c r="AB14" i="91" l="1"/>
  <c r="AB13" i="91"/>
  <c r="AB15" i="91"/>
  <c r="F117" i="61"/>
  <c r="F118" i="61" s="1"/>
  <c r="F119" i="61" s="1"/>
  <c r="AE14" i="11" l="1"/>
  <c r="W22" i="19" l="1"/>
  <c r="AU10" i="19" s="1"/>
  <c r="AU11" i="19" s="1"/>
  <c r="AU12" i="19" s="1"/>
  <c r="T22" i="19"/>
  <c r="P22" i="19" s="1"/>
  <c r="N22" i="19" s="1"/>
  <c r="O22" i="19" s="1"/>
  <c r="Q22" i="19" s="1"/>
  <c r="I22" i="19"/>
  <c r="E22" i="19"/>
  <c r="Z22" i="19" s="1"/>
  <c r="W21" i="19"/>
  <c r="AV10" i="19" s="1"/>
  <c r="AV11" i="19" s="1"/>
  <c r="AV12" i="19" s="1"/>
  <c r="T21" i="19"/>
  <c r="P21" i="19" s="1"/>
  <c r="N21" i="19" s="1"/>
  <c r="O21" i="19" s="1"/>
  <c r="Q21" i="19" s="1"/>
  <c r="I21" i="19"/>
  <c r="E21" i="19"/>
  <c r="Z21" i="19" s="1"/>
  <c r="AA22" i="19" l="1"/>
  <c r="AA21" i="19"/>
  <c r="AB21" i="19" l="1"/>
  <c r="AB22" i="19"/>
  <c r="AC13" i="89" l="1"/>
  <c r="AE13" i="89" s="1"/>
  <c r="I13" i="89"/>
  <c r="Z13" i="90" l="1"/>
  <c r="AB13" i="90" s="1"/>
  <c r="Z14" i="90"/>
  <c r="AB14" i="90" s="1"/>
  <c r="CR6" i="12" l="1"/>
  <c r="CS6" i="12"/>
  <c r="CT6" i="12"/>
  <c r="CU6" i="12"/>
  <c r="CV6" i="12"/>
  <c r="CW6" i="12"/>
  <c r="CX6" i="12"/>
  <c r="CY6" i="12"/>
  <c r="CZ6" i="12"/>
  <c r="DA6" i="12"/>
  <c r="DB6" i="12"/>
  <c r="DC6" i="12"/>
  <c r="DD6" i="12"/>
  <c r="DE6" i="12"/>
  <c r="DF6" i="12"/>
  <c r="DG6" i="12"/>
  <c r="DH6" i="12"/>
  <c r="DI6" i="12"/>
  <c r="DJ6" i="12"/>
  <c r="DK6" i="12"/>
  <c r="DL6" i="12"/>
  <c r="DM6" i="12"/>
  <c r="DN6" i="12"/>
  <c r="DO6" i="12"/>
  <c r="DP6" i="12"/>
  <c r="DQ6" i="12"/>
  <c r="DR6" i="12"/>
  <c r="DS6" i="12"/>
  <c r="DT6" i="12"/>
  <c r="DU6" i="12"/>
  <c r="DV6" i="12"/>
  <c r="DW6" i="12"/>
  <c r="DX6" i="12"/>
  <c r="DY6" i="12"/>
  <c r="CR7" i="12"/>
  <c r="CS7" i="12"/>
  <c r="CT7" i="12"/>
  <c r="CU7" i="12"/>
  <c r="CV7" i="12"/>
  <c r="CW7" i="12"/>
  <c r="CX7" i="12"/>
  <c r="CY7" i="12"/>
  <c r="CZ7" i="12"/>
  <c r="DA7" i="12"/>
  <c r="DB7" i="12"/>
  <c r="DC7" i="12"/>
  <c r="DD7" i="12"/>
  <c r="DE7" i="12"/>
  <c r="DF7" i="12"/>
  <c r="DG7" i="12"/>
  <c r="DH7" i="12"/>
  <c r="DI7" i="12"/>
  <c r="DJ7" i="12"/>
  <c r="DK7" i="12"/>
  <c r="DL7" i="12"/>
  <c r="DM7" i="12"/>
  <c r="DN7" i="12"/>
  <c r="DO7" i="12"/>
  <c r="DP7" i="12"/>
  <c r="DQ7" i="12"/>
  <c r="DR7" i="12"/>
  <c r="DS7" i="12"/>
  <c r="DT7" i="12"/>
  <c r="DU7" i="12"/>
  <c r="DV7" i="12"/>
  <c r="DW7" i="12"/>
  <c r="DX7" i="12"/>
  <c r="DY7" i="12"/>
  <c r="CR8" i="12"/>
  <c r="CR9" i="12" s="1"/>
  <c r="CS8" i="12"/>
  <c r="CS9" i="12" s="1"/>
  <c r="CT8" i="12"/>
  <c r="CT9" i="12" s="1"/>
  <c r="CU8" i="12"/>
  <c r="CU9" i="12" s="1"/>
  <c r="CV8" i="12"/>
  <c r="CV9" i="12" s="1"/>
  <c r="CW8" i="12"/>
  <c r="CW9" i="12" s="1"/>
  <c r="CX8" i="12"/>
  <c r="CX9" i="12" s="1"/>
  <c r="CY8" i="12"/>
  <c r="CY9" i="12" s="1"/>
  <c r="CZ8" i="12"/>
  <c r="CZ9" i="12" s="1"/>
  <c r="DA8" i="12"/>
  <c r="DA9" i="12" s="1"/>
  <c r="DB8" i="12"/>
  <c r="DB9" i="12" s="1"/>
  <c r="DC8" i="12"/>
  <c r="DC9" i="12" s="1"/>
  <c r="DD8" i="12"/>
  <c r="DD9" i="12" s="1"/>
  <c r="DE8" i="12"/>
  <c r="DE9" i="12" s="1"/>
  <c r="DF8" i="12"/>
  <c r="DF9" i="12" s="1"/>
  <c r="DG8" i="12"/>
  <c r="DG9" i="12" s="1"/>
  <c r="DH8" i="12"/>
  <c r="DH9" i="12" s="1"/>
  <c r="DI8" i="12"/>
  <c r="DI9" i="12" s="1"/>
  <c r="DJ8" i="12"/>
  <c r="DJ9" i="12" s="1"/>
  <c r="DK8" i="12"/>
  <c r="DK9" i="12" s="1"/>
  <c r="DL8" i="12"/>
  <c r="DL9" i="12" s="1"/>
  <c r="DM8" i="12"/>
  <c r="DM9" i="12" s="1"/>
  <c r="DN8" i="12"/>
  <c r="DN9" i="12" s="1"/>
  <c r="DO8" i="12"/>
  <c r="DO9" i="12" s="1"/>
  <c r="DP8" i="12"/>
  <c r="DP9" i="12" s="1"/>
  <c r="DQ8" i="12"/>
  <c r="DQ9" i="12" s="1"/>
  <c r="DR8" i="12"/>
  <c r="DR9" i="12" s="1"/>
  <c r="DS8" i="12"/>
  <c r="DS9" i="12" s="1"/>
  <c r="DT8" i="12"/>
  <c r="DT9" i="12" s="1"/>
  <c r="DU8" i="12"/>
  <c r="DU9" i="12" s="1"/>
  <c r="DV8" i="12"/>
  <c r="DV9" i="12" s="1"/>
  <c r="DW8" i="12"/>
  <c r="DW9" i="12" s="1"/>
  <c r="DX8" i="12"/>
  <c r="DX9" i="12" s="1"/>
  <c r="DY8" i="12"/>
  <c r="DY9" i="12" s="1"/>
  <c r="CR10" i="12"/>
  <c r="CS10" i="12"/>
  <c r="CT10" i="12"/>
  <c r="CU10" i="12"/>
  <c r="CV10" i="12"/>
  <c r="CW10" i="12"/>
  <c r="CX10" i="12"/>
  <c r="CY10" i="12"/>
  <c r="CZ10" i="12"/>
  <c r="DA10" i="12"/>
  <c r="DB10" i="12"/>
  <c r="DC10" i="12"/>
  <c r="DD10" i="12"/>
  <c r="DE10" i="12"/>
  <c r="DF10" i="12"/>
  <c r="DG10" i="12"/>
  <c r="DH10" i="12"/>
  <c r="DI10" i="12"/>
  <c r="DJ10" i="12"/>
  <c r="DK10" i="12"/>
  <c r="DL10" i="12"/>
  <c r="DM10" i="12"/>
  <c r="DN10" i="12"/>
  <c r="DO10" i="12"/>
  <c r="DP10" i="12"/>
  <c r="DQ10" i="12"/>
  <c r="DR10" i="12"/>
  <c r="DS10" i="12"/>
  <c r="DT10" i="12"/>
  <c r="DU10" i="12"/>
  <c r="DV10" i="12"/>
  <c r="DW10" i="12"/>
  <c r="DX10" i="12"/>
  <c r="DY10" i="12"/>
  <c r="CR11" i="12"/>
  <c r="CS11" i="12"/>
  <c r="CT11" i="12"/>
  <c r="CU11" i="12"/>
  <c r="CV11" i="12"/>
  <c r="CW11" i="12"/>
  <c r="CX11" i="12"/>
  <c r="CY11" i="12"/>
  <c r="CZ11" i="12"/>
  <c r="DA11" i="12"/>
  <c r="DB11" i="12"/>
  <c r="DC11" i="12"/>
  <c r="DD11" i="12"/>
  <c r="DE11" i="12"/>
  <c r="DF11" i="12"/>
  <c r="DG11" i="12"/>
  <c r="DH11" i="12"/>
  <c r="DI11" i="12"/>
  <c r="DJ11" i="12"/>
  <c r="DK11" i="12"/>
  <c r="DL11" i="12"/>
  <c r="DM11" i="12"/>
  <c r="DN11" i="12"/>
  <c r="DO11" i="12"/>
  <c r="DP11" i="12"/>
  <c r="DQ11" i="12"/>
  <c r="DR11" i="12"/>
  <c r="DS11" i="12"/>
  <c r="DT11" i="12"/>
  <c r="DU11" i="12"/>
  <c r="DV11" i="12"/>
  <c r="DW11" i="12"/>
  <c r="DX11" i="12"/>
  <c r="DY11" i="12"/>
  <c r="DX12" i="12" l="1"/>
  <c r="DH12" i="12"/>
  <c r="CZ12" i="12"/>
  <c r="CR12" i="12"/>
  <c r="DS12" i="12"/>
  <c r="CU12" i="12"/>
  <c r="CV12" i="12"/>
  <c r="DY12" i="12"/>
  <c r="DQ12" i="12"/>
  <c r="DI12" i="12"/>
  <c r="DA12" i="12"/>
  <c r="CS12" i="12"/>
  <c r="DV12" i="12"/>
  <c r="DF12" i="12"/>
  <c r="CX12" i="12"/>
  <c r="DO12" i="12"/>
  <c r="DT12" i="12"/>
  <c r="CY12" i="12"/>
  <c r="DP12" i="12"/>
  <c r="DW12" i="12"/>
  <c r="DN12" i="12"/>
  <c r="DK12" i="12"/>
  <c r="DC12" i="12"/>
  <c r="DG12" i="12"/>
  <c r="DL12" i="12"/>
  <c r="DD12" i="12"/>
  <c r="DU12" i="12"/>
  <c r="DM12" i="12"/>
  <c r="DE12" i="12"/>
  <c r="CW12" i="12"/>
  <c r="DR12" i="12"/>
  <c r="DJ12" i="12"/>
  <c r="DB12" i="12"/>
  <c r="CT12" i="12"/>
  <c r="AD6" i="12" l="1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Z6" i="12"/>
  <c r="BA6" i="12"/>
  <c r="BB6" i="12"/>
  <c r="BC6" i="12"/>
  <c r="BD6" i="12"/>
  <c r="BE6" i="12"/>
  <c r="BF6" i="12"/>
  <c r="BG6" i="12"/>
  <c r="BH6" i="12"/>
  <c r="BI6" i="12"/>
  <c r="BJ6" i="12"/>
  <c r="BK6" i="12"/>
  <c r="BL6" i="12"/>
  <c r="BM6" i="12"/>
  <c r="BN6" i="12"/>
  <c r="BO6" i="12"/>
  <c r="BP6" i="12"/>
  <c r="BQ6" i="12"/>
  <c r="BR6" i="12"/>
  <c r="BS6" i="12"/>
  <c r="BT6" i="12"/>
  <c r="BU6" i="12"/>
  <c r="BV6" i="12"/>
  <c r="BW6" i="12"/>
  <c r="BX6" i="12"/>
  <c r="BY6" i="12"/>
  <c r="BZ6" i="12"/>
  <c r="CA6" i="12"/>
  <c r="CB6" i="12"/>
  <c r="CC6" i="12"/>
  <c r="CD6" i="12"/>
  <c r="CE6" i="12"/>
  <c r="CF6" i="12"/>
  <c r="CG6" i="12"/>
  <c r="CH6" i="12"/>
  <c r="CI6" i="12"/>
  <c r="CJ6" i="12"/>
  <c r="CK6" i="12"/>
  <c r="CL6" i="12"/>
  <c r="CM6" i="12"/>
  <c r="CN6" i="12"/>
  <c r="CO6" i="12"/>
  <c r="CP6" i="12"/>
  <c r="CQ6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AY7" i="12"/>
  <c r="AZ7" i="12"/>
  <c r="BA7" i="12"/>
  <c r="BB7" i="12"/>
  <c r="BC7" i="12"/>
  <c r="BD7" i="12"/>
  <c r="BE7" i="12"/>
  <c r="BF7" i="12"/>
  <c r="BG7" i="12"/>
  <c r="BH7" i="12"/>
  <c r="BI7" i="12"/>
  <c r="BJ7" i="12"/>
  <c r="BK7" i="12"/>
  <c r="BL7" i="12"/>
  <c r="BM7" i="12"/>
  <c r="BN7" i="12"/>
  <c r="BO7" i="12"/>
  <c r="BP7" i="12"/>
  <c r="BQ7" i="12"/>
  <c r="BR7" i="12"/>
  <c r="BS7" i="12"/>
  <c r="BT7" i="12"/>
  <c r="BU7" i="12"/>
  <c r="BV7" i="12"/>
  <c r="BW7" i="12"/>
  <c r="BX7" i="12"/>
  <c r="BY7" i="12"/>
  <c r="BZ7" i="12"/>
  <c r="CA7" i="12"/>
  <c r="CB7" i="12"/>
  <c r="CC7" i="12"/>
  <c r="CD7" i="12"/>
  <c r="CE7" i="12"/>
  <c r="CF7" i="12"/>
  <c r="CG7" i="12"/>
  <c r="CH7" i="12"/>
  <c r="CI7" i="12"/>
  <c r="CJ7" i="12"/>
  <c r="CK7" i="12"/>
  <c r="CL7" i="12"/>
  <c r="CM7" i="12"/>
  <c r="CN7" i="12"/>
  <c r="CO7" i="12"/>
  <c r="CP7" i="12"/>
  <c r="CQ7" i="12"/>
  <c r="AD8" i="12"/>
  <c r="AD9" i="12" s="1"/>
  <c r="AE8" i="12"/>
  <c r="AE9" i="12" s="1"/>
  <c r="AF8" i="12"/>
  <c r="AF9" i="12" s="1"/>
  <c r="AG8" i="12"/>
  <c r="AG9" i="12" s="1"/>
  <c r="AH8" i="12"/>
  <c r="AH9" i="12" s="1"/>
  <c r="AI8" i="12"/>
  <c r="AI9" i="12" s="1"/>
  <c r="AJ8" i="12"/>
  <c r="AJ9" i="12" s="1"/>
  <c r="AK8" i="12"/>
  <c r="AK9" i="12" s="1"/>
  <c r="AL8" i="12"/>
  <c r="AL9" i="12" s="1"/>
  <c r="AM8" i="12"/>
  <c r="AM9" i="12" s="1"/>
  <c r="AN8" i="12"/>
  <c r="AN9" i="12" s="1"/>
  <c r="AO8" i="12"/>
  <c r="AO9" i="12" s="1"/>
  <c r="AP8" i="12"/>
  <c r="AP9" i="12" s="1"/>
  <c r="AQ8" i="12"/>
  <c r="AQ9" i="12" s="1"/>
  <c r="AR8" i="12"/>
  <c r="AR9" i="12" s="1"/>
  <c r="AS8" i="12"/>
  <c r="AS9" i="12" s="1"/>
  <c r="AT8" i="12"/>
  <c r="AT9" i="12" s="1"/>
  <c r="AU8" i="12"/>
  <c r="AU9" i="12" s="1"/>
  <c r="AV8" i="12"/>
  <c r="AV9" i="12" s="1"/>
  <c r="AW8" i="12"/>
  <c r="AW9" i="12" s="1"/>
  <c r="AX8" i="12"/>
  <c r="AX9" i="12" s="1"/>
  <c r="AY8" i="12"/>
  <c r="AY9" i="12" s="1"/>
  <c r="AZ8" i="12"/>
  <c r="AZ9" i="12" s="1"/>
  <c r="BA8" i="12"/>
  <c r="BA9" i="12" s="1"/>
  <c r="BB8" i="12"/>
  <c r="BB9" i="12" s="1"/>
  <c r="BC8" i="12"/>
  <c r="BC9" i="12" s="1"/>
  <c r="BD8" i="12"/>
  <c r="BD9" i="12" s="1"/>
  <c r="BE8" i="12"/>
  <c r="BE9" i="12" s="1"/>
  <c r="BF8" i="12"/>
  <c r="BF9" i="12" s="1"/>
  <c r="BG8" i="12"/>
  <c r="BG9" i="12" s="1"/>
  <c r="BH8" i="12"/>
  <c r="BH9" i="12" s="1"/>
  <c r="BI8" i="12"/>
  <c r="BI9" i="12" s="1"/>
  <c r="BJ8" i="12"/>
  <c r="BJ9" i="12" s="1"/>
  <c r="BK8" i="12"/>
  <c r="BK9" i="12" s="1"/>
  <c r="BL8" i="12"/>
  <c r="BL9" i="12" s="1"/>
  <c r="BM8" i="12"/>
  <c r="BM9" i="12" s="1"/>
  <c r="BN8" i="12"/>
  <c r="BN9" i="12" s="1"/>
  <c r="BO8" i="12"/>
  <c r="BO9" i="12" s="1"/>
  <c r="BP8" i="12"/>
  <c r="BP9" i="12" s="1"/>
  <c r="BQ8" i="12"/>
  <c r="BQ9" i="12" s="1"/>
  <c r="BR8" i="12"/>
  <c r="BR9" i="12" s="1"/>
  <c r="BS8" i="12"/>
  <c r="BS9" i="12" s="1"/>
  <c r="BT8" i="12"/>
  <c r="BT9" i="12" s="1"/>
  <c r="BU8" i="12"/>
  <c r="BU9" i="12" s="1"/>
  <c r="BV8" i="12"/>
  <c r="BV9" i="12" s="1"/>
  <c r="BW8" i="12"/>
  <c r="BW9" i="12" s="1"/>
  <c r="BX8" i="12"/>
  <c r="BX9" i="12" s="1"/>
  <c r="BY8" i="12"/>
  <c r="BY9" i="12" s="1"/>
  <c r="BZ8" i="12"/>
  <c r="BZ9" i="12" s="1"/>
  <c r="CA8" i="12"/>
  <c r="CA9" i="12" s="1"/>
  <c r="CB8" i="12"/>
  <c r="CB9" i="12" s="1"/>
  <c r="CC8" i="12"/>
  <c r="CC9" i="12" s="1"/>
  <c r="CD8" i="12"/>
  <c r="CD9" i="12" s="1"/>
  <c r="CE8" i="12"/>
  <c r="CE9" i="12" s="1"/>
  <c r="CF8" i="12"/>
  <c r="CF9" i="12" s="1"/>
  <c r="CG8" i="12"/>
  <c r="CG9" i="12" s="1"/>
  <c r="CH8" i="12"/>
  <c r="CH9" i="12" s="1"/>
  <c r="CI8" i="12"/>
  <c r="CI9" i="12" s="1"/>
  <c r="CJ8" i="12"/>
  <c r="CJ9" i="12" s="1"/>
  <c r="CK8" i="12"/>
  <c r="CK9" i="12" s="1"/>
  <c r="CL8" i="12"/>
  <c r="CL9" i="12" s="1"/>
  <c r="CM8" i="12"/>
  <c r="CM9" i="12" s="1"/>
  <c r="CN8" i="12"/>
  <c r="CN9" i="12" s="1"/>
  <c r="CO8" i="12"/>
  <c r="CO9" i="12" s="1"/>
  <c r="CP8" i="12"/>
  <c r="CP9" i="12" s="1"/>
  <c r="CQ8" i="12"/>
  <c r="CQ9" i="12" s="1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AY10" i="12"/>
  <c r="AZ10" i="12"/>
  <c r="BA10" i="12"/>
  <c r="BB10" i="12"/>
  <c r="BC10" i="12"/>
  <c r="BD10" i="12"/>
  <c r="BE10" i="12"/>
  <c r="BF10" i="12"/>
  <c r="BG10" i="12"/>
  <c r="BH10" i="12"/>
  <c r="BI10" i="12"/>
  <c r="BJ10" i="12"/>
  <c r="BK10" i="12"/>
  <c r="BL10" i="12"/>
  <c r="BM10" i="12"/>
  <c r="BN10" i="12"/>
  <c r="BO10" i="12"/>
  <c r="BP10" i="12"/>
  <c r="BQ10" i="12"/>
  <c r="BR10" i="12"/>
  <c r="BS10" i="12"/>
  <c r="BT10" i="12"/>
  <c r="BU10" i="12"/>
  <c r="BV10" i="12"/>
  <c r="BW10" i="12"/>
  <c r="BX10" i="12"/>
  <c r="BY10" i="12"/>
  <c r="BZ10" i="12"/>
  <c r="CA10" i="12"/>
  <c r="CB10" i="12"/>
  <c r="CC10" i="12"/>
  <c r="CD10" i="12"/>
  <c r="CE10" i="12"/>
  <c r="CF10" i="12"/>
  <c r="CG10" i="12"/>
  <c r="CH10" i="12"/>
  <c r="CI10" i="12"/>
  <c r="CJ10" i="12"/>
  <c r="CK10" i="12"/>
  <c r="CL10" i="12"/>
  <c r="CM10" i="12"/>
  <c r="CN10" i="12"/>
  <c r="CO10" i="12"/>
  <c r="CP10" i="12"/>
  <c r="CQ10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AY11" i="12"/>
  <c r="AZ11" i="12"/>
  <c r="BA11" i="12"/>
  <c r="BB11" i="12"/>
  <c r="BC11" i="12"/>
  <c r="BD11" i="12"/>
  <c r="BE11" i="12"/>
  <c r="BF11" i="12"/>
  <c r="BG11" i="12"/>
  <c r="BH11" i="12"/>
  <c r="BI11" i="12"/>
  <c r="BJ11" i="12"/>
  <c r="BK11" i="12"/>
  <c r="BL11" i="12"/>
  <c r="BM11" i="12"/>
  <c r="BN11" i="12"/>
  <c r="BO11" i="12"/>
  <c r="BP11" i="12"/>
  <c r="BQ11" i="12"/>
  <c r="BR11" i="12"/>
  <c r="BS11" i="12"/>
  <c r="BT11" i="12"/>
  <c r="BU11" i="12"/>
  <c r="BV11" i="12"/>
  <c r="BW11" i="12"/>
  <c r="BX11" i="12"/>
  <c r="BY11" i="12"/>
  <c r="BZ11" i="12"/>
  <c r="CA11" i="12"/>
  <c r="CB11" i="12"/>
  <c r="CC11" i="12"/>
  <c r="CD11" i="12"/>
  <c r="CE11" i="12"/>
  <c r="CF11" i="12"/>
  <c r="CG11" i="12"/>
  <c r="CH11" i="12"/>
  <c r="CI11" i="12"/>
  <c r="CJ11" i="12"/>
  <c r="CK11" i="12"/>
  <c r="CL11" i="12"/>
  <c r="CM11" i="12"/>
  <c r="CN11" i="12"/>
  <c r="CO11" i="12"/>
  <c r="CP11" i="12"/>
  <c r="CQ11" i="12"/>
  <c r="CL12" i="12" l="1"/>
  <c r="CD12" i="12"/>
  <c r="BV12" i="12"/>
  <c r="BN12" i="12"/>
  <c r="BF12" i="12"/>
  <c r="AX12" i="12"/>
  <c r="AH12" i="12"/>
  <c r="AP12" i="12"/>
  <c r="CC12" i="12"/>
  <c r="BE12" i="12"/>
  <c r="AW12" i="12"/>
  <c r="AG12" i="12"/>
  <c r="CK12" i="12"/>
  <c r="BU12" i="12"/>
  <c r="BM12" i="12"/>
  <c r="AO12" i="12"/>
  <c r="CH12" i="12"/>
  <c r="BB12" i="12"/>
  <c r="CB12" i="12"/>
  <c r="AN12" i="12"/>
  <c r="AF12" i="12"/>
  <c r="BS12" i="12"/>
  <c r="CN12" i="12"/>
  <c r="CF12" i="12"/>
  <c r="BX12" i="12"/>
  <c r="BP12" i="12"/>
  <c r="BH12" i="12"/>
  <c r="AZ12" i="12"/>
  <c r="AR12" i="12"/>
  <c r="AJ12" i="12"/>
  <c r="BL12" i="12"/>
  <c r="CQ12" i="12"/>
  <c r="AE12" i="12"/>
  <c r="CJ12" i="12"/>
  <c r="BT12" i="12"/>
  <c r="AV12" i="12"/>
  <c r="BK12" i="12"/>
  <c r="BD12" i="12"/>
  <c r="AM12" i="12"/>
  <c r="CO12" i="12"/>
  <c r="CG12" i="12"/>
  <c r="BY12" i="12"/>
  <c r="BQ12" i="12"/>
  <c r="BI12" i="12"/>
  <c r="BA12" i="12"/>
  <c r="AS12" i="12"/>
  <c r="AK12" i="12"/>
  <c r="CA12" i="12"/>
  <c r="AU12" i="12"/>
  <c r="BZ12" i="12"/>
  <c r="AT12" i="12"/>
  <c r="CI12" i="12"/>
  <c r="BR12" i="12"/>
  <c r="AL12" i="12"/>
  <c r="BC12" i="12"/>
  <c r="CP12" i="12"/>
  <c r="BJ12" i="12"/>
  <c r="AD12" i="12"/>
  <c r="CM12" i="12"/>
  <c r="CE12" i="12"/>
  <c r="BW12" i="12"/>
  <c r="BO12" i="12"/>
  <c r="BG12" i="12"/>
  <c r="AY12" i="12"/>
  <c r="AQ12" i="12"/>
  <c r="AI12" i="12"/>
  <c r="W20" i="19" l="1"/>
  <c r="T20" i="19"/>
  <c r="P20" i="19" s="1"/>
  <c r="N20" i="19" s="1"/>
  <c r="O20" i="19" s="1"/>
  <c r="Q20" i="19" s="1"/>
  <c r="I20" i="19"/>
  <c r="E20" i="19"/>
  <c r="Z20" i="19" s="1"/>
  <c r="AA20" i="19" l="1"/>
  <c r="F46" i="67" l="1"/>
  <c r="F47" i="67" s="1"/>
  <c r="F47" i="19"/>
  <c r="J44" i="19"/>
  <c r="W19" i="19"/>
  <c r="T19" i="19"/>
  <c r="P19" i="19" s="1"/>
  <c r="N19" i="19" s="1"/>
  <c r="O19" i="19" s="1"/>
  <c r="Q19" i="19" s="1"/>
  <c r="I19" i="19"/>
  <c r="E19" i="19"/>
  <c r="Z19" i="19" s="1"/>
  <c r="W18" i="19"/>
  <c r="T18" i="19"/>
  <c r="P18" i="19" s="1"/>
  <c r="N18" i="19" s="1"/>
  <c r="O18" i="19" s="1"/>
  <c r="Q18" i="19" s="1"/>
  <c r="I18" i="19"/>
  <c r="E18" i="19"/>
  <c r="Z18" i="19" s="1"/>
  <c r="W17" i="19"/>
  <c r="T17" i="19"/>
  <c r="P17" i="19" s="1"/>
  <c r="N17" i="19" s="1"/>
  <c r="O17" i="19" s="1"/>
  <c r="Q17" i="19" s="1"/>
  <c r="I17" i="19"/>
  <c r="E17" i="19"/>
  <c r="Z17" i="19" s="1"/>
  <c r="W16" i="19"/>
  <c r="T16" i="19"/>
  <c r="P16" i="19" s="1"/>
  <c r="N16" i="19" s="1"/>
  <c r="O16" i="19" s="1"/>
  <c r="Q16" i="19" s="1"/>
  <c r="I16" i="19"/>
  <c r="E16" i="19"/>
  <c r="Z16" i="19" s="1"/>
  <c r="W15" i="19"/>
  <c r="T15" i="19"/>
  <c r="P15" i="19" s="1"/>
  <c r="N15" i="19" s="1"/>
  <c r="O15" i="19" s="1"/>
  <c r="Q15" i="19" s="1"/>
  <c r="I15" i="19"/>
  <c r="E15" i="19"/>
  <c r="Z15" i="19" s="1"/>
  <c r="W14" i="19"/>
  <c r="T14" i="19"/>
  <c r="P14" i="19" s="1"/>
  <c r="N14" i="19" s="1"/>
  <c r="O14" i="19" s="1"/>
  <c r="Q14" i="19" s="1"/>
  <c r="I14" i="19"/>
  <c r="E14" i="19"/>
  <c r="Z14" i="19" s="1"/>
  <c r="W13" i="19"/>
  <c r="T13" i="19"/>
  <c r="P13" i="19" s="1"/>
  <c r="N13" i="19" s="1"/>
  <c r="O13" i="19" s="1"/>
  <c r="L13" i="19"/>
  <c r="I13" i="19"/>
  <c r="E13" i="19"/>
  <c r="Z13" i="19" s="1"/>
  <c r="F27" i="64"/>
  <c r="F28" i="64" s="1"/>
  <c r="F29" i="64" s="1"/>
  <c r="F30" i="64" s="1"/>
  <c r="F31" i="64" s="1"/>
  <c r="F32" i="64" s="1"/>
  <c r="W13" i="11"/>
  <c r="S13" i="11" s="1"/>
  <c r="Q13" i="11" s="1"/>
  <c r="R13" i="11" s="1"/>
  <c r="O13" i="11"/>
  <c r="L13" i="11"/>
  <c r="G13" i="11"/>
  <c r="AC13" i="11" s="1"/>
  <c r="F48" i="67" l="1"/>
  <c r="F49" i="67" s="1"/>
  <c r="F50" i="67" s="1"/>
  <c r="F51" i="67" s="1"/>
  <c r="F52" i="67" s="1"/>
  <c r="F53" i="67" s="1"/>
  <c r="F54" i="67" s="1"/>
  <c r="F55" i="67" s="1"/>
  <c r="F56" i="67" s="1"/>
  <c r="F57" i="67" s="1"/>
  <c r="F58" i="67" s="1"/>
  <c r="F59" i="67" s="1"/>
  <c r="F60" i="67" s="1"/>
  <c r="F61" i="67" s="1"/>
  <c r="F62" i="67" s="1"/>
  <c r="F63" i="67" s="1"/>
  <c r="F64" i="67" s="1"/>
  <c r="F65" i="67" s="1"/>
  <c r="F66" i="67" s="1"/>
  <c r="F67" i="67" s="1"/>
  <c r="F68" i="67" s="1"/>
  <c r="AB13" i="67"/>
  <c r="T13" i="11"/>
  <c r="I13" i="11" s="1"/>
  <c r="AA17" i="19"/>
  <c r="AA15" i="19"/>
  <c r="AA16" i="19"/>
  <c r="AA18" i="19"/>
  <c r="Q13" i="19"/>
  <c r="AA13" i="19" s="1"/>
  <c r="AA19" i="19"/>
  <c r="AA14" i="19"/>
  <c r="AD13" i="11" l="1"/>
  <c r="AE13" i="11" s="1"/>
  <c r="AB20" i="19"/>
  <c r="AB19" i="19"/>
  <c r="AB15" i="19"/>
  <c r="AB13" i="19"/>
  <c r="AB14" i="19"/>
  <c r="AB17" i="19"/>
  <c r="AB18" i="19"/>
  <c r="AB16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주현숙</author>
  </authors>
  <commentList>
    <comment ref="B13" authorId="0" shapeId="0" xr:uid="{F90417F0-4620-4955-A743-1FB29B04A536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6/20-1</t>
        </r>
        <r>
          <rPr>
            <sz val="9"/>
            <color indexed="81"/>
            <rFont val="돋움"/>
            <family val="3"/>
            <charset val="129"/>
          </rPr>
          <t>대</t>
        </r>
        <r>
          <rPr>
            <sz val="9"/>
            <color indexed="81"/>
            <rFont val="Tahoma"/>
            <family val="2"/>
          </rPr>
          <t>,6/21-3</t>
        </r>
        <r>
          <rPr>
            <sz val="9"/>
            <color indexed="81"/>
            <rFont val="돋움"/>
            <family val="3"/>
            <charset val="129"/>
          </rPr>
          <t>대</t>
        </r>
        <r>
          <rPr>
            <sz val="9"/>
            <color indexed="81"/>
            <rFont val="Tahoma"/>
            <family val="2"/>
          </rPr>
          <t>,6/24-6</t>
        </r>
        <r>
          <rPr>
            <sz val="9"/>
            <color indexed="81"/>
            <rFont val="돋움"/>
            <family val="3"/>
            <charset val="129"/>
          </rPr>
          <t>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작업
보세반입일</t>
        </r>
        <r>
          <rPr>
            <sz val="9"/>
            <color indexed="81"/>
            <rFont val="Tahoma"/>
            <family val="2"/>
          </rPr>
          <t>-6/24</t>
        </r>
      </text>
    </comment>
    <comment ref="C13" authorId="0" shapeId="0" xr:uid="{3500E65F-8032-41B0-962E-F9F7C0F48F51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7/5-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10/30-200GT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C14" authorId="0" shapeId="0" xr:uid="{7D0901A2-2760-4906-9CDF-FA698E2DB2B3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7/25-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8/5-600GT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C15" authorId="0" shapeId="0" xr:uid="{B9CDDFFF-FEC0-43C3-92A1-FBB61223C578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9/5-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9/22-1550CT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N15" authorId="0" shapeId="0" xr:uid="{A3EF8D70-E6FA-4D14-B72A-8FD562745AEB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-5</t>
        </r>
        <r>
          <rPr>
            <sz val="9"/>
            <color indexed="81"/>
            <rFont val="돋움"/>
            <family val="3"/>
            <charset val="129"/>
          </rPr>
          <t>캔</t>
        </r>
      </text>
    </comment>
    <comment ref="B16" authorId="0" shapeId="0" xr:uid="{08E107C9-6327-4908-A778-C08775DB238E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보세반입일</t>
        </r>
        <r>
          <rPr>
            <sz val="9"/>
            <color indexed="81"/>
            <rFont val="Tahoma"/>
            <family val="2"/>
          </rPr>
          <t xml:space="preserve">-10/10
</t>
        </r>
      </text>
    </comment>
    <comment ref="C16" authorId="0" shapeId="0" xr:uid="{674D9DD4-4272-42B4-865B-14801AEC1986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10/6~10/10(2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 xml:space="preserve">작업
</t>
        </r>
        <r>
          <rPr>
            <sz val="9"/>
            <color indexed="81"/>
            <rFont val="Tahoma"/>
            <family val="2"/>
          </rPr>
          <t>10/12-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</text>
    </comment>
    <comment ref="N16" authorId="0" shapeId="0" xr:uid="{1DC80D4B-DF5E-47FF-9CE6-BC0E10314ADD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수신</t>
        </r>
        <r>
          <rPr>
            <sz val="9"/>
            <color indexed="81"/>
            <rFont val="Tahoma"/>
            <family val="2"/>
          </rPr>
          <t xml:space="preserve"> :  </t>
        </r>
        <r>
          <rPr>
            <sz val="9"/>
            <color indexed="81"/>
            <rFont val="돋움"/>
            <family val="3"/>
            <charset val="129"/>
          </rPr>
          <t>정재철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차장님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안녕하세요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시노관세사무소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이하얀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입니다</t>
        </r>
        <r>
          <rPr>
            <sz val="9"/>
            <color indexed="81"/>
            <rFont val="Tahoma"/>
            <family val="2"/>
          </rPr>
          <t xml:space="preserve">.
B/L. KMTCPEN0977935 </t>
        </r>
        <r>
          <rPr>
            <sz val="9"/>
            <color indexed="81"/>
            <rFont val="돋움"/>
            <family val="3"/>
            <charset val="129"/>
          </rPr>
          <t>톤백설탕</t>
        </r>
        <r>
          <rPr>
            <sz val="9"/>
            <color indexed="81"/>
            <rFont val="Tahoma"/>
            <family val="2"/>
          </rPr>
          <t xml:space="preserve"> 2BAG </t>
        </r>
        <r>
          <rPr>
            <sz val="9"/>
            <color indexed="81"/>
            <rFont val="돋움"/>
            <family val="3"/>
            <charset val="129"/>
          </rPr>
          <t>데미지에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SPC </t>
        </r>
        <r>
          <rPr>
            <sz val="9"/>
            <color indexed="81"/>
            <rFont val="돋움"/>
            <family val="3"/>
            <charset val="129"/>
          </rPr>
          <t>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보상금액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측정되어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드립니다</t>
        </r>
        <r>
          <rPr>
            <sz val="9"/>
            <color indexed="81"/>
            <rFont val="Tahoma"/>
            <family val="2"/>
          </rPr>
          <t>.
* 1KG = 1,165</t>
        </r>
        <r>
          <rPr>
            <sz val="9"/>
            <color indexed="81"/>
            <rFont val="돋움"/>
            <family val="3"/>
            <charset val="129"/>
          </rPr>
          <t xml:space="preserve">원
</t>
        </r>
        <r>
          <rPr>
            <sz val="9"/>
            <color indexed="81"/>
            <rFont val="Tahoma"/>
            <family val="2"/>
          </rPr>
          <t>* 2</t>
        </r>
        <r>
          <rPr>
            <sz val="9"/>
            <color indexed="81"/>
            <rFont val="돋움"/>
            <family val="3"/>
            <charset val="129"/>
          </rPr>
          <t>톤</t>
        </r>
        <r>
          <rPr>
            <sz val="9"/>
            <color indexed="81"/>
            <rFont val="Tahoma"/>
            <family val="2"/>
          </rPr>
          <t xml:space="preserve">  = 2,330,000</t>
        </r>
        <r>
          <rPr>
            <sz val="9"/>
            <color indexed="81"/>
            <rFont val="돋움"/>
            <family val="3"/>
            <charset val="129"/>
          </rPr>
          <t>원
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작업료에서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차감하여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부탁드립니다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감사합니다</t>
        </r>
        <r>
          <rPr>
            <sz val="9"/>
            <color indexed="81"/>
            <rFont val="Tahoma"/>
            <family val="2"/>
          </rPr>
          <t>.
10/31-2</t>
        </r>
        <r>
          <rPr>
            <sz val="9"/>
            <color indexed="81"/>
            <rFont val="돋움"/>
            <family val="3"/>
            <charset val="129"/>
          </rPr>
          <t>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보상완료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재고에서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제외요청</t>
        </r>
      </text>
    </comment>
    <comment ref="B17" authorId="0" shapeId="0" xr:uid="{F5EDED37-76B3-4C46-8858-F4FFE76F4CE5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보세반입일</t>
        </r>
        <r>
          <rPr>
            <sz val="9"/>
            <color indexed="81"/>
            <rFont val="Tahoma"/>
            <family val="2"/>
          </rPr>
          <t xml:space="preserve">-9/14
9/12~9/14 </t>
        </r>
        <r>
          <rPr>
            <sz val="9"/>
            <color indexed="81"/>
            <rFont val="돋움"/>
            <family val="3"/>
            <charset val="129"/>
          </rPr>
          <t>입고</t>
        </r>
      </text>
    </comment>
    <comment ref="C17" authorId="0" shapeId="0" xr:uid="{6B2DC3EA-468A-43E9-AC8E-9722DBF8B45D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9/19-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B18" authorId="0" shapeId="0" xr:uid="{08A12107-E711-4788-AAEA-C97123D9E1C5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10/4~10/6 </t>
        </r>
        <r>
          <rPr>
            <sz val="9"/>
            <color indexed="81"/>
            <rFont val="돋움"/>
            <family val="3"/>
            <charset val="129"/>
          </rPr>
          <t xml:space="preserve">입고
</t>
        </r>
        <r>
          <rPr>
            <sz val="9"/>
            <color indexed="81"/>
            <rFont val="Tahoma"/>
            <family val="2"/>
          </rPr>
          <t>10/6-</t>
        </r>
        <r>
          <rPr>
            <sz val="9"/>
            <color indexed="81"/>
            <rFont val="돋움"/>
            <family val="3"/>
            <charset val="129"/>
          </rPr>
          <t xml:space="preserve">보세반입일
</t>
        </r>
      </text>
    </comment>
    <comment ref="C18" authorId="0" shapeId="0" xr:uid="{D7C4CEB2-4CB9-4113-A11C-644E84BF569D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10/10-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</text>
    </comment>
    <comment ref="N18" authorId="0" shapeId="0" xr:uid="{9514ABB0-9CB6-4CAE-934B-B645A2C62935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-2EA
10/26-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1EA </t>
        </r>
        <r>
          <rPr>
            <sz val="9"/>
            <color indexed="81"/>
            <rFont val="돋움"/>
            <family val="3"/>
            <charset val="129"/>
          </rPr>
          <t>추가발생
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>3EA
10/16-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1EA </t>
        </r>
        <r>
          <rPr>
            <sz val="9"/>
            <color indexed="81"/>
            <rFont val="돋움"/>
            <family val="3"/>
            <charset val="129"/>
          </rPr>
          <t>출고</t>
        </r>
      </text>
    </comment>
    <comment ref="B19" authorId="0" shapeId="0" xr:uid="{E32EAC02-8887-4F53-9CDD-14881FA7C780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9/23~9/27-</t>
        </r>
        <r>
          <rPr>
            <sz val="9"/>
            <color indexed="81"/>
            <rFont val="돋움"/>
            <family val="3"/>
            <charset val="129"/>
          </rPr>
          <t>작업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보세반입일</t>
        </r>
        <r>
          <rPr>
            <sz val="9"/>
            <color indexed="81"/>
            <rFont val="Tahoma"/>
            <family val="2"/>
          </rPr>
          <t>-9/29</t>
        </r>
      </text>
    </comment>
    <comment ref="C19" authorId="0" shapeId="0" xr:uid="{973087A1-19A6-4B4F-98E3-DB401A8E978C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10/1-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11/3-4380EA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N19" authorId="0" shapeId="0" xr:uid="{3797A2B0-0A8D-48D0-A9BB-2E030DC06C9D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-212
2/19-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212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(3PL) </t>
        </r>
        <r>
          <rPr>
            <sz val="9"/>
            <color indexed="81"/>
            <rFont val="돋움"/>
            <family val="3"/>
            <charset val="129"/>
          </rPr>
          <t>출고</t>
        </r>
      </text>
    </comment>
    <comment ref="C20" authorId="0" shapeId="0" xr:uid="{AF789019-8611-4A17-92BE-C4721DB30959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10/23-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4/17-20GT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C21" authorId="0" shapeId="0" xr:uid="{208F7292-9B07-442D-99D5-84FA0C091A89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11/19-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3/31-46GT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N21" authorId="0" shapeId="0" xr:uid="{1EEC32CC-5F45-4301-BA3C-6A74E6800C2B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11/7-2</t>
        </r>
        <r>
          <rPr>
            <sz val="9"/>
            <color indexed="81"/>
            <rFont val="돋움"/>
            <family val="3"/>
            <charset val="129"/>
          </rPr>
          <t>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식약처</t>
        </r>
        <r>
          <rPr>
            <sz val="9"/>
            <color indexed="81"/>
            <rFont val="Tahoma"/>
            <family val="2"/>
          </rPr>
          <t>)
12/18-4</t>
        </r>
        <r>
          <rPr>
            <sz val="9"/>
            <color indexed="81"/>
            <rFont val="돋움"/>
            <family val="3"/>
            <charset val="129"/>
          </rPr>
          <t>캔</t>
        </r>
        <r>
          <rPr>
            <sz val="9"/>
            <color indexed="81"/>
            <rFont val="Tahoma"/>
            <family val="2"/>
          </rPr>
          <t>(2</t>
        </r>
        <r>
          <rPr>
            <sz val="9"/>
            <color indexed="81"/>
            <rFont val="돋움"/>
            <family val="3"/>
            <charset val="129"/>
          </rPr>
          <t>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식약처</t>
        </r>
        <r>
          <rPr>
            <sz val="9"/>
            <color indexed="81"/>
            <rFont val="Tahoma"/>
            <family val="2"/>
          </rPr>
          <t xml:space="preserve">)) </t>
        </r>
        <r>
          <rPr>
            <sz val="9"/>
            <color indexed="81"/>
            <rFont val="돋움"/>
            <family val="3"/>
            <charset val="129"/>
          </rPr>
          <t>샤니성남으로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출고</t>
        </r>
      </text>
    </comment>
    <comment ref="B22" authorId="0" shapeId="0" xr:uid="{C3BF4862-F5FC-4FE3-BCAC-6DBCEACFA6A3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11/10~11/12-3</t>
        </r>
        <r>
          <rPr>
            <sz val="9"/>
            <color indexed="81"/>
            <rFont val="돋움"/>
            <family val="3"/>
            <charset val="129"/>
          </rPr>
          <t xml:space="preserve">일작업
</t>
        </r>
        <r>
          <rPr>
            <sz val="9"/>
            <color indexed="81"/>
            <rFont val="Tahoma"/>
            <family val="2"/>
          </rPr>
          <t>11/12-</t>
        </r>
        <r>
          <rPr>
            <sz val="9"/>
            <color indexed="81"/>
            <rFont val="돋움"/>
            <family val="3"/>
            <charset val="129"/>
          </rPr>
          <t xml:space="preserve">보세반입일
</t>
        </r>
      </text>
    </comment>
    <comment ref="C22" authorId="0" shapeId="0" xr:uid="{C0F594FE-BAF2-4CC2-915B-32A9FAC50364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11/24-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1/30-147GT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N22" authorId="0" shapeId="0" xr:uid="{ABC1E828-EBBA-499C-9641-072268E33999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-147
2/19-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147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(2PL) </t>
        </r>
        <r>
          <rPr>
            <sz val="9"/>
            <color indexed="81"/>
            <rFont val="돋움"/>
            <family val="3"/>
            <charset val="129"/>
          </rPr>
          <t>출고</t>
        </r>
      </text>
    </comment>
    <comment ref="C23" authorId="0" shapeId="0" xr:uid="{F2F1F047-DC0A-48D4-9298-8418F1123F0E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12/4-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12/11-1550GT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N23" authorId="0" shapeId="0" xr:uid="{596CDBF1-B8CB-4698-84A9-97EE3C3CC17A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1BOX </t>
        </r>
        <r>
          <rPr>
            <sz val="9"/>
            <color indexed="81"/>
            <rFont val="돋움"/>
            <family val="3"/>
            <charset val="129"/>
          </rPr>
          <t>찌그러짐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 xml:space="preserve">개
</t>
        </r>
        <r>
          <rPr>
            <sz val="9"/>
            <color indexed="81"/>
            <rFont val="Tahoma"/>
            <family val="2"/>
          </rPr>
          <t>12/15-</t>
        </r>
        <r>
          <rPr>
            <sz val="9"/>
            <color indexed="81"/>
            <rFont val="돋움"/>
            <family val="3"/>
            <charset val="129"/>
          </rPr>
          <t>연구소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샘플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출고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1BOX </t>
        </r>
        <r>
          <rPr>
            <sz val="9"/>
            <color indexed="81"/>
            <rFont val="돋움"/>
            <family val="3"/>
            <charset val="129"/>
          </rPr>
          <t>찌그러짐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>)</t>
        </r>
      </text>
    </comment>
    <comment ref="C24" authorId="0" shapeId="0" xr:uid="{234AB0CF-5316-44B8-9B47-44490FADEE1C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12/4-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5/29-749GT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내국전환</t>
        </r>
      </text>
    </comment>
    <comment ref="B25" authorId="0" shapeId="0" xr:uid="{36C06C36-3E34-47B1-8524-394C4C321EBE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12/19~12/23-3</t>
        </r>
        <r>
          <rPr>
            <sz val="9"/>
            <color indexed="81"/>
            <rFont val="돋움"/>
            <family val="3"/>
            <charset val="129"/>
          </rPr>
          <t xml:space="preserve">일작업
</t>
        </r>
        <r>
          <rPr>
            <sz val="9"/>
            <color indexed="81"/>
            <rFont val="Tahoma"/>
            <family val="2"/>
          </rPr>
          <t>12/24-</t>
        </r>
        <r>
          <rPr>
            <sz val="9"/>
            <color indexed="81"/>
            <rFont val="돋움"/>
            <family val="3"/>
            <charset val="129"/>
          </rPr>
          <t>보세반입일</t>
        </r>
      </text>
    </comment>
    <comment ref="C25" authorId="0" shapeId="0" xr:uid="{83B0D7C8-99E3-4971-BEBC-0D948FE54BFA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2/5-67EA(</t>
        </r>
        <r>
          <rPr>
            <sz val="9"/>
            <color indexed="81"/>
            <rFont val="돋움"/>
            <family val="3"/>
            <charset val="129"/>
          </rPr>
          <t>파손품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비보세로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N25" authorId="0" shapeId="0" xr:uid="{26335986-0410-42B9-9938-6C32097DFEC3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-67
2/19-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67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(1PL) </t>
        </r>
        <r>
          <rPr>
            <sz val="9"/>
            <color indexed="81"/>
            <rFont val="돋움"/>
            <family val="3"/>
            <charset val="129"/>
          </rPr>
          <t>출고</t>
        </r>
      </text>
    </comment>
    <comment ref="B26" authorId="0" shapeId="0" xr:uid="{A649EB29-5E25-4EEB-A705-88859371EA98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2/9~2/11-3</t>
        </r>
        <r>
          <rPr>
            <sz val="9"/>
            <color indexed="81"/>
            <rFont val="돋움"/>
            <family val="3"/>
            <charset val="129"/>
          </rPr>
          <t xml:space="preserve">일작업
</t>
        </r>
        <r>
          <rPr>
            <sz val="9"/>
            <color indexed="81"/>
            <rFont val="돋움"/>
            <family val="3"/>
            <charset val="129"/>
          </rPr>
          <t>보세반입일</t>
        </r>
        <r>
          <rPr>
            <sz val="9"/>
            <color indexed="81"/>
            <rFont val="Tahoma"/>
            <family val="2"/>
          </rPr>
          <t>2/12(</t>
        </r>
        <r>
          <rPr>
            <sz val="9"/>
            <color indexed="81"/>
            <rFont val="돋움"/>
            <family val="3"/>
            <charset val="129"/>
          </rPr>
          <t>오버수량확인으로인한지연</t>
        </r>
        <r>
          <rPr>
            <sz val="9"/>
            <color indexed="81"/>
            <rFont val="Tahoma"/>
            <family val="2"/>
          </rPr>
          <t>)</t>
        </r>
      </text>
    </comment>
    <comment ref="C26" authorId="0" shapeId="0" xr:uid="{A8792D53-DEE1-435F-B356-BA18453EF5C3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2/13-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>3/18-</t>
        </r>
        <r>
          <rPr>
            <sz val="9"/>
            <color indexed="81"/>
            <rFont val="돋움"/>
            <family val="3"/>
            <charset val="129"/>
          </rPr>
          <t>파손</t>
        </r>
        <r>
          <rPr>
            <sz val="9"/>
            <color indexed="81"/>
            <rFont val="Tahoma"/>
            <family val="2"/>
          </rPr>
          <t>64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C27" authorId="0" shapeId="0" xr:uid="{5509835A-6770-44BF-8331-17A0F3679494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3/10-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N27" authorId="0" shapeId="0" xr:uid="{38FEFD76-60C8-44C7-951C-DAC53FDEF6EC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박스</t>
        </r>
        <r>
          <rPr>
            <sz val="9"/>
            <color indexed="81"/>
            <rFont val="Tahoma"/>
            <family val="2"/>
          </rPr>
          <t>=10</t>
        </r>
        <r>
          <rPr>
            <sz val="9"/>
            <color indexed="81"/>
            <rFont val="돋움"/>
            <family val="3"/>
            <charset val="129"/>
          </rPr>
          <t>봉</t>
        </r>
        <r>
          <rPr>
            <sz val="9"/>
            <color indexed="81"/>
            <rFont val="Tahoma"/>
            <family val="2"/>
          </rPr>
          <t>,3/5-5</t>
        </r>
        <r>
          <rPr>
            <sz val="9"/>
            <color indexed="81"/>
            <rFont val="돋움"/>
            <family val="3"/>
            <charset val="129"/>
          </rPr>
          <t>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식약처</t>
        </r>
        <r>
          <rPr>
            <sz val="9"/>
            <color indexed="81"/>
            <rFont val="Tahoma"/>
            <family val="2"/>
          </rPr>
          <t>, 5</t>
        </r>
        <r>
          <rPr>
            <sz val="9"/>
            <color indexed="81"/>
            <rFont val="돋움"/>
            <family val="3"/>
            <charset val="129"/>
          </rPr>
          <t>지점에서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봉씩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수거</t>
        </r>
        <r>
          <rPr>
            <sz val="9"/>
            <color indexed="81"/>
            <rFont val="Tahoma"/>
            <family val="2"/>
          </rPr>
          <t>),3/6-1</t>
        </r>
        <r>
          <rPr>
            <sz val="9"/>
            <color indexed="81"/>
            <rFont val="돋움"/>
            <family val="3"/>
            <charset val="129"/>
          </rPr>
          <t>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개봉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식물검역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ㅡ</t>
        </r>
        <r>
          <rPr>
            <sz val="9"/>
            <color indexed="81"/>
            <rFont val="Tahoma"/>
            <family val="2"/>
          </rPr>
          <t>&gt;1</t>
        </r>
        <r>
          <rPr>
            <sz val="9"/>
            <color indexed="81"/>
            <rFont val="돋움"/>
            <family val="3"/>
            <charset val="129"/>
          </rPr>
          <t>박스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정리
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식물검역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개봉건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남음</t>
        </r>
      </text>
    </comment>
    <comment ref="B28" authorId="0" shapeId="0" xr:uid="{E18A297F-0071-4287-B938-3B5756CC5B88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3/4~3/5-2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작업
</t>
        </r>
        <r>
          <rPr>
            <sz val="9"/>
            <color indexed="81"/>
            <rFont val="Tahoma"/>
            <family val="2"/>
          </rPr>
          <t>3/5-</t>
        </r>
        <r>
          <rPr>
            <sz val="9"/>
            <color indexed="81"/>
            <rFont val="돋움"/>
            <family val="3"/>
            <charset val="129"/>
          </rPr>
          <t>보세반입일</t>
        </r>
      </text>
    </comment>
    <comment ref="C28" authorId="0" shapeId="0" xr:uid="{3EAFC6B1-3191-47A0-92A8-44308C4DEEA5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3/12-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3/26-9346GT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B29" authorId="0" shapeId="0" xr:uid="{186BFADE-60D7-450B-A97E-F89940090F3A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3/11~3/13-3</t>
        </r>
        <r>
          <rPr>
            <sz val="9"/>
            <color indexed="81"/>
            <rFont val="돋움"/>
            <family val="3"/>
            <charset val="129"/>
          </rPr>
          <t>일작업
보세반입일</t>
        </r>
        <r>
          <rPr>
            <sz val="9"/>
            <color indexed="81"/>
            <rFont val="Tahoma"/>
            <family val="2"/>
          </rPr>
          <t xml:space="preserve">-3/13 </t>
        </r>
      </text>
    </comment>
    <comment ref="C29" authorId="0" shapeId="0" xr:uid="{1676660D-CB15-411F-B722-12DA797BB7A7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4/3-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>5/11-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56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B30" authorId="0" shapeId="0" xr:uid="{56EBAE96-92BD-4A07-B3EC-529135F67C8E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3/18~3/20-3</t>
        </r>
        <r>
          <rPr>
            <sz val="9"/>
            <color indexed="81"/>
            <rFont val="돋움"/>
            <family val="3"/>
            <charset val="129"/>
          </rPr>
          <t>일작업
보세반입일</t>
        </r>
        <r>
          <rPr>
            <sz val="9"/>
            <color indexed="81"/>
            <rFont val="Tahoma"/>
            <family val="2"/>
          </rPr>
          <t xml:space="preserve"> 3/20</t>
        </r>
      </text>
    </comment>
    <comment ref="C30" authorId="0" shapeId="0" xr:uid="{83DE72EF-C9E6-4611-AA83-2FB6BBBCBA76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4/3-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4/15-11162gt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N30" authorId="0" shapeId="0" xr:uid="{96D0A4A0-D1B1-4A25-BCBA-D869AC974DAC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-72</t>
        </r>
        <r>
          <rPr>
            <sz val="9"/>
            <color indexed="81"/>
            <rFont val="돋움"/>
            <family val="3"/>
            <charset val="129"/>
          </rPr>
          <t xml:space="preserve">포
</t>
        </r>
        <r>
          <rPr>
            <sz val="9"/>
            <color indexed="81"/>
            <rFont val="Tahoma"/>
            <family val="2"/>
          </rPr>
          <t>4/22-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검사샘플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출고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시노관세사</t>
        </r>
        <r>
          <rPr>
            <sz val="9"/>
            <color indexed="81"/>
            <rFont val="Tahoma"/>
            <family val="2"/>
          </rPr>
          <t>)</t>
        </r>
      </text>
    </comment>
    <comment ref="O30" authorId="0" shapeId="0" xr:uid="{86AA263A-8F8E-4DF3-AE87-439FFC6CF626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팔레트는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 xml:space="preserve">장
</t>
        </r>
        <r>
          <rPr>
            <sz val="9"/>
            <color indexed="81"/>
            <rFont val="Tahoma"/>
            <family val="2"/>
          </rPr>
          <t xml:space="preserve">4/29 </t>
        </r>
        <r>
          <rPr>
            <sz val="9"/>
            <color indexed="81"/>
            <rFont val="돋움"/>
            <family val="3"/>
            <charset val="129"/>
          </rPr>
          <t>출고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남은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팔레트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팔레트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정산비용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청구ㅡ</t>
        </r>
        <r>
          <rPr>
            <sz val="9"/>
            <color indexed="81"/>
            <rFont val="Tahoma"/>
            <family val="2"/>
          </rPr>
          <t xml:space="preserve">&gt;SPC </t>
        </r>
        <r>
          <rPr>
            <sz val="9"/>
            <color indexed="81"/>
            <rFont val="돋움"/>
            <family val="3"/>
            <charset val="129"/>
          </rPr>
          <t>출고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남은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공팔레트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시노트레이드로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이관하여</t>
        </r>
        <r>
          <rPr>
            <sz val="9"/>
            <color indexed="81"/>
            <rFont val="Tahoma"/>
            <family val="2"/>
          </rPr>
          <t xml:space="preserve"> BL- KMTCLCH5649563 </t>
        </r>
        <r>
          <rPr>
            <sz val="9"/>
            <color indexed="81"/>
            <rFont val="돋움"/>
            <family val="3"/>
            <charset val="129"/>
          </rPr>
          <t>작업시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합니다</t>
        </r>
        <r>
          <rPr>
            <sz val="9"/>
            <color indexed="81"/>
            <rFont val="Tahoma"/>
            <family val="2"/>
          </rPr>
          <t xml:space="preserve">.
6/10 </t>
        </r>
        <r>
          <rPr>
            <sz val="9"/>
            <color indexed="81"/>
            <rFont val="돋움"/>
            <family val="3"/>
            <charset val="129"/>
          </rPr>
          <t>일자로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팔레트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등록하여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드립니다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C31" authorId="0" shapeId="0" xr:uid="{960E619C-3EE9-4D46-84A2-228171D0383A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4/8-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32" authorId="0" shapeId="0" xr:uid="{1CF14A9C-D9A9-4625-916C-E3666C9F8C88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4/13-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B33" authorId="0" shapeId="0" xr:uid="{65F91B9F-B3C1-4B80-A6B6-159FE2D758F7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4/24-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33" authorId="0" shapeId="0" xr:uid="{8D916CD8-4BE4-4D25-B23A-A70EEF051D24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4/24-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5/11-100GT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N33" authorId="0" shapeId="0" xr:uid="{85B5A93A-9C6A-42E6-8984-25D157D43463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4/9-1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적재시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화인에서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미보고건
출고</t>
        </r>
        <r>
          <rPr>
            <sz val="9"/>
            <color indexed="81"/>
            <rFont val="Tahoma"/>
            <family val="2"/>
          </rPr>
          <t xml:space="preserve">1/3 </t>
        </r>
        <r>
          <rPr>
            <sz val="9"/>
            <color indexed="81"/>
            <rFont val="돋움"/>
            <family val="3"/>
            <charset val="129"/>
          </rPr>
          <t>남을때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장세라주임과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통화하여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화인데미지로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전달하고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물류비에서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하거나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다른사업자로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시노로지스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입금처리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가능한지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진행
</t>
        </r>
        <r>
          <rPr>
            <sz val="9"/>
            <color indexed="81"/>
            <rFont val="Tahoma"/>
            <family val="2"/>
          </rPr>
          <t>6/29-</t>
        </r>
        <r>
          <rPr>
            <sz val="9"/>
            <color indexed="81"/>
            <rFont val="돋움"/>
            <family val="3"/>
            <charset val="129"/>
          </rPr>
          <t>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파손</t>
        </r>
        <r>
          <rPr>
            <sz val="9"/>
            <color indexed="81"/>
            <rFont val="Tahoma"/>
            <family val="2"/>
          </rPr>
          <t xml:space="preserve">1EA </t>
        </r>
        <r>
          <rPr>
            <sz val="9"/>
            <color indexed="81"/>
            <rFont val="돋움"/>
            <family val="3"/>
            <charset val="129"/>
          </rPr>
          <t>보상처리완료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재고에서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  <r>
          <rPr>
            <sz val="9"/>
            <color indexed="81"/>
            <rFont val="Tahoma"/>
            <family val="2"/>
          </rPr>
          <t>(927,000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입금완료</t>
        </r>
        <r>
          <rPr>
            <sz val="9"/>
            <color indexed="81"/>
            <rFont val="Tahoma"/>
            <family val="2"/>
          </rPr>
          <t>)</t>
        </r>
      </text>
    </comment>
    <comment ref="B34" authorId="0" shapeId="0" xr:uid="{90B10462-45FD-4CA3-8E7B-0610A279097D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4/13~4/15-3</t>
        </r>
        <r>
          <rPr>
            <sz val="9"/>
            <color indexed="81"/>
            <rFont val="돋움"/>
            <family val="3"/>
            <charset val="129"/>
          </rPr>
          <t>일작업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보세반입일</t>
        </r>
        <r>
          <rPr>
            <sz val="9"/>
            <color indexed="81"/>
            <rFont val="Tahoma"/>
            <family val="2"/>
          </rPr>
          <t>4/15</t>
        </r>
      </text>
    </comment>
    <comment ref="C34" authorId="0" shapeId="0" xr:uid="{D99CC8F6-5744-44F1-8572-352D0C550D24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4/24-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>6/1-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95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C35" authorId="0" shapeId="0" xr:uid="{D3E91DAC-7FA2-4D74-AA55-267DC753931B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5/18-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N35" authorId="0" shapeId="0" xr:uid="{CEFFC7EB-12AA-43C8-82C1-4CFE76D8101F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5/11-1</t>
        </r>
        <r>
          <rPr>
            <sz val="9"/>
            <color indexed="81"/>
            <rFont val="돋움"/>
            <family val="3"/>
            <charset val="129"/>
          </rPr>
          <t>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식약처</t>
        </r>
        <r>
          <rPr>
            <sz val="9"/>
            <color indexed="81"/>
            <rFont val="Tahoma"/>
            <family val="2"/>
          </rPr>
          <t>),
2029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유통기한</t>
        </r>
        <r>
          <rPr>
            <sz val="9"/>
            <color indexed="81"/>
            <rFont val="Tahoma"/>
            <family val="2"/>
          </rPr>
          <t>652</t>
        </r>
        <r>
          <rPr>
            <sz val="9"/>
            <color indexed="81"/>
            <rFont val="돋움"/>
            <family val="3"/>
            <charset val="129"/>
          </rPr>
          <t>박스</t>
        </r>
        <r>
          <rPr>
            <sz val="9"/>
            <color indexed="81"/>
            <rFont val="Tahoma"/>
            <family val="2"/>
          </rPr>
          <t xml:space="preserve">(12PL), </t>
        </r>
        <r>
          <rPr>
            <sz val="9"/>
            <color indexed="81"/>
            <rFont val="돋움"/>
            <family val="3"/>
            <charset val="129"/>
          </rPr>
          <t>추가정산비용</t>
        </r>
        <r>
          <rPr>
            <sz val="9"/>
            <color indexed="81"/>
            <rFont val="Tahoma"/>
            <family val="2"/>
          </rPr>
          <t xml:space="preserve"> 35</t>
        </r>
        <r>
          <rPr>
            <sz val="9"/>
            <color indexed="81"/>
            <rFont val="돋움"/>
            <family val="3"/>
            <charset val="129"/>
          </rPr>
          <t>만원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가림라벨작작업비용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만원
박스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유통기한</t>
        </r>
        <r>
          <rPr>
            <sz val="9"/>
            <color indexed="81"/>
            <rFont val="Tahoma"/>
            <family val="2"/>
          </rPr>
          <t xml:space="preserve"> 2028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ㅡ</t>
        </r>
        <r>
          <rPr>
            <sz val="9"/>
            <color indexed="81"/>
            <rFont val="Tahoma"/>
            <family val="2"/>
          </rPr>
          <t>&gt; 348</t>
        </r>
        <r>
          <rPr>
            <sz val="9"/>
            <color indexed="81"/>
            <rFont val="돋움"/>
            <family val="3"/>
            <charset val="129"/>
          </rPr>
          <t>박스</t>
        </r>
        <r>
          <rPr>
            <sz val="9"/>
            <color indexed="81"/>
            <rFont val="Tahoma"/>
            <family val="2"/>
          </rPr>
          <t xml:space="preserve">(7PL)
</t>
        </r>
        <r>
          <rPr>
            <sz val="9"/>
            <color indexed="81"/>
            <rFont val="돋움"/>
            <family val="3"/>
            <charset val="129"/>
          </rPr>
          <t>박스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유통기한</t>
        </r>
        <r>
          <rPr>
            <sz val="9"/>
            <color indexed="81"/>
            <rFont val="Tahoma"/>
            <family val="2"/>
          </rPr>
          <t xml:space="preserve"> 2029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ㅡ</t>
        </r>
        <r>
          <rPr>
            <sz val="9"/>
            <color indexed="81"/>
            <rFont val="Tahoma"/>
            <family val="2"/>
          </rPr>
          <t>&gt; 652</t>
        </r>
        <r>
          <rPr>
            <sz val="9"/>
            <color indexed="81"/>
            <rFont val="돋움"/>
            <family val="3"/>
            <charset val="129"/>
          </rPr>
          <t>박스</t>
        </r>
        <r>
          <rPr>
            <sz val="9"/>
            <color indexed="81"/>
            <rFont val="Tahoma"/>
            <family val="2"/>
          </rPr>
          <t>(12PL)</t>
        </r>
        <r>
          <rPr>
            <sz val="9"/>
            <color indexed="81"/>
            <rFont val="돋움"/>
            <family val="3"/>
            <charset val="129"/>
          </rPr>
          <t>ㅡ</t>
        </r>
        <r>
          <rPr>
            <sz val="9"/>
            <color indexed="81"/>
            <rFont val="Tahoma"/>
            <family val="2"/>
          </rPr>
          <t xml:space="preserve">&gt; </t>
        </r>
        <r>
          <rPr>
            <sz val="9"/>
            <color indexed="81"/>
            <rFont val="돋움"/>
            <family val="3"/>
            <charset val="129"/>
          </rPr>
          <t>해당건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가림라벨작업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진행</t>
        </r>
        <r>
          <rPr>
            <sz val="9"/>
            <color indexed="81"/>
            <rFont val="Tahoma"/>
            <family val="2"/>
          </rPr>
          <t xml:space="preserve">
7/10-</t>
        </r>
        <r>
          <rPr>
            <sz val="9"/>
            <color indexed="81"/>
            <rFont val="돋움"/>
            <family val="3"/>
            <charset val="129"/>
          </rPr>
          <t>식약처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검사건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파리대구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출고</t>
        </r>
      </text>
    </comment>
    <comment ref="S35" authorId="0" shapeId="0" xr:uid="{5DAA7E6F-7202-4DEA-9B78-08242225FA59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정상박스</t>
        </r>
        <r>
          <rPr>
            <sz val="9"/>
            <color indexed="81"/>
            <rFont val="Tahoma"/>
            <family val="2"/>
          </rPr>
          <t xml:space="preserve">-56EA*6PL+12EA*1PL=348EA(7PL)
</t>
        </r>
        <r>
          <rPr>
            <sz val="9"/>
            <color indexed="81"/>
            <rFont val="돋움"/>
            <family val="3"/>
            <charset val="129"/>
          </rPr>
          <t>가림작업박스</t>
        </r>
        <r>
          <rPr>
            <sz val="9"/>
            <color indexed="81"/>
            <rFont val="Tahoma"/>
            <family val="2"/>
          </rPr>
          <t>-56EA*11PL+36EA*1PL=652EA(12PL)</t>
        </r>
      </text>
    </comment>
    <comment ref="C36" authorId="0" shapeId="0" xr:uid="{414C5CB3-2A74-4076-A601-E32EBEDFC238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6/1-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37" authorId="0" shapeId="0" xr:uid="{D236B9E5-BD27-46E9-9B95-CE78A8C8E6E8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6/4-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N37" authorId="0" shapeId="0" xr:uid="{B1409DD1-AC1A-4E8C-B305-A43012DC155E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-1box </t>
        </r>
        <r>
          <rPr>
            <sz val="9"/>
            <color indexed="81"/>
            <rFont val="돋움"/>
            <family val="3"/>
            <charset val="129"/>
          </rPr>
          <t>파손</t>
        </r>
        <r>
          <rPr>
            <sz val="9"/>
            <color indexed="81"/>
            <rFont val="Tahoma"/>
            <family val="2"/>
          </rPr>
          <t xml:space="preserve">(3can </t>
        </r>
        <r>
          <rPr>
            <sz val="9"/>
            <color indexed="81"/>
            <rFont val="돋움"/>
            <family val="3"/>
            <charset val="129"/>
          </rPr>
          <t>찌그러짐</t>
        </r>
        <r>
          <rPr>
            <sz val="9"/>
            <color indexed="81"/>
            <rFont val="Tahoma"/>
            <family val="2"/>
          </rPr>
          <t>)
5/29-1</t>
        </r>
        <r>
          <rPr>
            <sz val="9"/>
            <color indexed="81"/>
            <rFont val="돋움"/>
            <family val="3"/>
            <charset val="129"/>
          </rPr>
          <t>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식약처</t>
        </r>
        <r>
          <rPr>
            <sz val="9"/>
            <color indexed="81"/>
            <rFont val="Tahoma"/>
            <family val="2"/>
          </rPr>
          <t>)</t>
        </r>
      </text>
    </comment>
    <comment ref="C38" authorId="0" shapeId="0" xr:uid="{E4EF07EC-DEC6-4240-A604-8FB66BCC6D9E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6/9-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N38" authorId="0" shapeId="0" xr:uid="{52288B45-B14F-403F-9E23-9CC0BE72F0F2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6/1-1</t>
        </r>
        <r>
          <rPr>
            <sz val="9"/>
            <color indexed="81"/>
            <rFont val="돋움"/>
            <family val="3"/>
            <charset val="129"/>
          </rPr>
          <t>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식약처</t>
        </r>
        <r>
          <rPr>
            <sz val="9"/>
            <color indexed="81"/>
            <rFont val="Tahoma"/>
            <family val="2"/>
          </rPr>
          <t>)</t>
        </r>
      </text>
    </comment>
    <comment ref="C39" authorId="0" shapeId="0" xr:uid="{13536E79-CD6A-46E9-A01A-A6FAEF2AC90B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6/16-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40" authorId="0" shapeId="0" xr:uid="{4C78D9CD-FD29-4CF7-8688-A6BEBAB418B7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6/18-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N40" authorId="0" shapeId="0" xr:uid="{74B11035-97FC-4029-B107-8026F06138D7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6/12-1</t>
        </r>
        <r>
          <rPr>
            <sz val="9"/>
            <color indexed="81"/>
            <rFont val="돋움"/>
            <family val="3"/>
            <charset val="129"/>
          </rPr>
          <t>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식약처</t>
        </r>
        <r>
          <rPr>
            <sz val="9"/>
            <color indexed="81"/>
            <rFont val="Tahoma"/>
            <family val="2"/>
          </rPr>
          <t>)</t>
        </r>
      </text>
    </comment>
    <comment ref="B41" authorId="0" shapeId="0" xr:uid="{90FCFD82-4AD5-4D7A-9D96-2E0ABF434FF9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6/10~6/12-3</t>
        </r>
        <r>
          <rPr>
            <sz val="9"/>
            <color indexed="81"/>
            <rFont val="돋움"/>
            <family val="3"/>
            <charset val="129"/>
          </rPr>
          <t>일작업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보세반입일</t>
        </r>
        <r>
          <rPr>
            <sz val="9"/>
            <color indexed="81"/>
            <rFont val="Tahoma"/>
            <family val="2"/>
          </rPr>
          <t>6/12</t>
        </r>
      </text>
    </comment>
    <comment ref="C41" authorId="0" shapeId="0" xr:uid="{235CE165-21D8-4435-B69B-8A071F9BF769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6/22-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>7/8-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20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N41" authorId="0" shapeId="0" xr:uid="{607691CC-FBD5-430C-9547-F06789DA7CFC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외품파손</t>
        </r>
        <r>
          <rPr>
            <sz val="9"/>
            <color indexed="81"/>
            <rFont val="Tahoma"/>
            <family val="2"/>
          </rPr>
          <t>32EA(</t>
        </r>
        <r>
          <rPr>
            <sz val="9"/>
            <color indexed="81"/>
            <rFont val="돋움"/>
            <family val="3"/>
            <charset val="129"/>
          </rPr>
          <t>종이테이프완료</t>
        </r>
        <r>
          <rPr>
            <sz val="9"/>
            <color indexed="81"/>
            <rFont val="Tahoma"/>
            <family val="2"/>
          </rPr>
          <t>)</t>
        </r>
      </text>
    </comment>
    <comment ref="C42" authorId="0" shapeId="0" xr:uid="{E45DF5EA-70FA-4E74-BEDD-EB6B23BBD61B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6/22-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B43" authorId="0" shapeId="0" xr:uid="{1B813F1F-82AA-42E8-BB43-7B4CC68EE15E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6/12~6/15-2</t>
        </r>
        <r>
          <rPr>
            <sz val="9"/>
            <color indexed="81"/>
            <rFont val="돋움"/>
            <family val="3"/>
            <charset val="129"/>
          </rPr>
          <t>일작업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보세반입일</t>
        </r>
        <r>
          <rPr>
            <sz val="9"/>
            <color indexed="81"/>
            <rFont val="Tahoma"/>
            <family val="2"/>
          </rPr>
          <t>6/15</t>
        </r>
      </text>
    </comment>
    <comment ref="C43" authorId="0" shapeId="0" xr:uid="{D1CFC1B3-D782-41B8-91EE-AF271FD0E0EE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6/22-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>7/23-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94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N43" authorId="0" shapeId="0" xr:uid="{FFD9D802-04B4-4D4A-B1AC-267D4F549CAD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외품파손</t>
        </r>
        <r>
          <rPr>
            <sz val="9"/>
            <color indexed="81"/>
            <rFont val="Tahoma"/>
            <family val="2"/>
          </rPr>
          <t>21EA(</t>
        </r>
        <r>
          <rPr>
            <sz val="9"/>
            <color indexed="81"/>
            <rFont val="돋움"/>
            <family val="3"/>
            <charset val="129"/>
          </rPr>
          <t>종이테이프완료</t>
        </r>
        <r>
          <rPr>
            <sz val="9"/>
            <color indexed="81"/>
            <rFont val="Tahoma"/>
            <family val="2"/>
          </rPr>
          <t>)</t>
        </r>
      </text>
    </comment>
    <comment ref="B44" authorId="0" shapeId="0" xr:uid="{D07AF1F8-C13D-4716-AF56-D9724C9E81A6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6/16~6/17-2</t>
        </r>
        <r>
          <rPr>
            <sz val="9"/>
            <color indexed="81"/>
            <rFont val="돋움"/>
            <family val="3"/>
            <charset val="129"/>
          </rPr>
          <t>일작업</t>
        </r>
        <r>
          <rPr>
            <sz val="9"/>
            <color indexed="81"/>
            <rFont val="Tahoma"/>
            <family val="2"/>
          </rPr>
          <t xml:space="preserve">,
 </t>
        </r>
        <r>
          <rPr>
            <sz val="9"/>
            <color indexed="81"/>
            <rFont val="돋움"/>
            <family val="3"/>
            <charset val="129"/>
          </rPr>
          <t>보세반입일</t>
        </r>
        <r>
          <rPr>
            <sz val="9"/>
            <color indexed="81"/>
            <rFont val="Tahoma"/>
            <family val="2"/>
          </rPr>
          <t>6/17</t>
        </r>
      </text>
    </comment>
    <comment ref="C44" authorId="0" shapeId="0" xr:uid="{156E3921-720A-47F4-BA65-DCF8CE981116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6/22-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N44" authorId="0" shapeId="0" xr:uid="{6B5151BA-63F3-498F-8840-0C3C830CC0E5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외품파손</t>
        </r>
        <r>
          <rPr>
            <sz val="9"/>
            <color indexed="81"/>
            <rFont val="Tahoma"/>
            <family val="2"/>
          </rPr>
          <t>13EA(</t>
        </r>
        <r>
          <rPr>
            <sz val="9"/>
            <color indexed="81"/>
            <rFont val="돋움"/>
            <family val="3"/>
            <charset val="129"/>
          </rPr>
          <t>종이테이프완료</t>
        </r>
        <r>
          <rPr>
            <sz val="9"/>
            <color indexed="81"/>
            <rFont val="Tahoma"/>
            <family val="2"/>
          </rPr>
          <t>)</t>
        </r>
      </text>
    </comment>
    <comment ref="C45" authorId="0" shapeId="0" xr:uid="{B8699D18-6AE6-420B-97A1-006B6031FB94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625-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46" authorId="0" shapeId="0" xr:uid="{0E735DFB-CAA9-452C-88EC-73544C295072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N46" authorId="0" shapeId="0" xr:uid="{75E50F9F-E7E8-47BF-9A06-3649CC73B5D8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6/22-1</t>
        </r>
        <r>
          <rPr>
            <sz val="9"/>
            <color indexed="81"/>
            <rFont val="돋움"/>
            <family val="3"/>
            <charset val="129"/>
          </rPr>
          <t>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식약처</t>
        </r>
        <r>
          <rPr>
            <sz val="9"/>
            <color indexed="81"/>
            <rFont val="Tahoma"/>
            <family val="2"/>
          </rPr>
          <t>)</t>
        </r>
      </text>
    </comment>
    <comment ref="C47" authorId="0" shapeId="0" xr:uid="{C9F2E7DB-D286-4CE1-98A4-A1C6E230D437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7/8-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B48" authorId="0" shapeId="0" xr:uid="{84466700-3AA7-43A6-970F-5F5D815AC3D5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7/8~7/10-3</t>
        </r>
        <r>
          <rPr>
            <sz val="9"/>
            <color indexed="81"/>
            <rFont val="돋움"/>
            <family val="3"/>
            <charset val="129"/>
          </rPr>
          <t>일작업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보세반입일</t>
        </r>
        <r>
          <rPr>
            <sz val="9"/>
            <color indexed="81"/>
            <rFont val="Tahoma"/>
            <family val="2"/>
          </rPr>
          <t>-7/10</t>
        </r>
      </text>
    </comment>
    <comment ref="C48" authorId="0" shapeId="0" xr:uid="{D42E8E45-739F-4EE1-A538-8CA74FD2C5F9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7/15-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N48" authorId="0" shapeId="0" xr:uid="{BA22798B-57CA-4C42-BF22-EE419381AD1B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외품파손</t>
        </r>
        <r>
          <rPr>
            <sz val="9"/>
            <color indexed="81"/>
            <rFont val="Tahoma"/>
            <family val="2"/>
          </rPr>
          <t>3EA(</t>
        </r>
        <r>
          <rPr>
            <sz val="9"/>
            <color indexed="81"/>
            <rFont val="돋움"/>
            <family val="3"/>
            <charset val="129"/>
          </rPr>
          <t>종이테이프완료</t>
        </r>
        <r>
          <rPr>
            <sz val="9"/>
            <color indexed="81"/>
            <rFont val="Tahoma"/>
            <family val="2"/>
          </rPr>
          <t>)</t>
        </r>
      </text>
    </comment>
    <comment ref="C49" authorId="0" shapeId="0" xr:uid="{B9C46DFB-6114-498E-A948-C14811021841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7/22-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N49" authorId="0" shapeId="0" xr:uid="{26125503-6435-4C1D-AE48-F3193CA82F1A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파손</t>
        </r>
        <r>
          <rPr>
            <sz val="9"/>
            <color indexed="81"/>
            <rFont val="Tahoma"/>
            <family val="2"/>
          </rPr>
          <t>-1</t>
        </r>
        <r>
          <rPr>
            <sz val="9"/>
            <color indexed="81"/>
            <rFont val="돋움"/>
            <family val="3"/>
            <charset val="129"/>
          </rPr>
          <t>박스</t>
        </r>
        <r>
          <rPr>
            <sz val="9"/>
            <color indexed="81"/>
            <rFont val="Tahoma"/>
            <family val="2"/>
          </rPr>
          <t>(5</t>
        </r>
        <r>
          <rPr>
            <sz val="9"/>
            <color indexed="81"/>
            <rFont val="돋움"/>
            <family val="3"/>
            <charset val="129"/>
          </rPr>
          <t>캔</t>
        </r>
        <r>
          <rPr>
            <sz val="9"/>
            <color indexed="81"/>
            <rFont val="Tahoma"/>
            <family val="2"/>
          </rPr>
          <t>)</t>
        </r>
      </text>
    </comment>
    <comment ref="C50" authorId="0" shapeId="0" xr:uid="{13F84472-3160-450E-A982-F694A6714DCC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7/24-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51" authorId="0" shapeId="0" xr:uid="{CEB5B8C8-0148-4026-A0BA-CB95102902BD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7/24-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주현숙</author>
  </authors>
  <commentList>
    <comment ref="B13" authorId="0" shapeId="0" xr:uid="{B1E08E00-BFE8-4FEE-80B9-423BA85219BD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4/21~4/22-2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작업
보세반입일</t>
        </r>
        <r>
          <rPr>
            <sz val="9"/>
            <color indexed="81"/>
            <rFont val="Tahoma"/>
            <family val="2"/>
          </rPr>
          <t>-4/22</t>
        </r>
      </text>
    </comment>
    <comment ref="B14" authorId="0" shapeId="0" xr:uid="{0197FE60-5547-465B-875E-1D002BB21043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4" authorId="0" shapeId="0" xr:uid="{44A0462C-7644-4D77-BF5C-BDC147A71119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6/8-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N14" authorId="0" shapeId="0" xr:uid="{41B8B3CD-5EB8-49D5-B043-961F35636C23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SMLMBKK6A1642100 </t>
        </r>
        <r>
          <rPr>
            <sz val="9"/>
            <color indexed="81"/>
            <rFont val="돋움"/>
            <family val="3"/>
            <charset val="129"/>
          </rPr>
          <t>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48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</t>
        </r>
        <r>
          <rPr>
            <sz val="9"/>
            <color indexed="81"/>
            <rFont val="Tahoma"/>
            <family val="2"/>
          </rPr>
          <t>, 8</t>
        </r>
        <r>
          <rPr>
            <sz val="9"/>
            <color indexed="81"/>
            <rFont val="돋움"/>
            <family val="3"/>
            <charset val="129"/>
          </rPr>
          <t>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</t>
        </r>
        <r>
          <rPr>
            <sz val="9"/>
            <color indexed="81"/>
            <rFont val="Tahoma"/>
            <family val="2"/>
          </rPr>
          <t xml:space="preserve"> 40</t>
        </r>
        <r>
          <rPr>
            <sz val="9"/>
            <color indexed="81"/>
            <rFont val="돋움"/>
            <family val="3"/>
            <charset val="129"/>
          </rPr>
          <t>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확인하였습니다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화물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진행하겠습니다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팔레트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상단에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놓아주시고</t>
        </r>
        <r>
          <rPr>
            <sz val="9"/>
            <color indexed="81"/>
            <rFont val="Tahoma"/>
            <family val="2"/>
          </rPr>
          <t xml:space="preserve"> ( </t>
        </r>
        <r>
          <rPr>
            <sz val="9"/>
            <color indexed="81"/>
            <rFont val="돋움"/>
            <family val="3"/>
            <charset val="129"/>
          </rPr>
          <t>하중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부담</t>
        </r>
        <r>
          <rPr>
            <sz val="9"/>
            <color indexed="81"/>
            <rFont val="Tahoma"/>
            <family val="2"/>
          </rPr>
          <t xml:space="preserve"> X ) </t>
        </r>
        <r>
          <rPr>
            <sz val="9"/>
            <color indexed="81"/>
            <rFont val="돋움"/>
            <family val="3"/>
            <charset val="129"/>
          </rPr>
          <t>작업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사진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부탁드립니다</t>
        </r>
        <r>
          <rPr>
            <sz val="9"/>
            <color indexed="81"/>
            <rFont val="Tahoma"/>
            <family val="2"/>
          </rPr>
          <t xml:space="preserve">.  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-40</t>
        </r>
        <r>
          <rPr>
            <sz val="9"/>
            <color indexed="81"/>
            <rFont val="돋움"/>
            <family val="3"/>
            <charset val="129"/>
          </rPr>
          <t>포</t>
        </r>
      </text>
    </comment>
    <comment ref="B15" authorId="0" shapeId="0" xr:uid="{4074CB80-4171-4DD9-A8EA-85917C173614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6/29~6/30-2</t>
        </r>
        <r>
          <rPr>
            <sz val="9"/>
            <color indexed="81"/>
            <rFont val="돋움"/>
            <family val="3"/>
            <charset val="129"/>
          </rPr>
          <t>일작업
보세반입일</t>
        </r>
        <r>
          <rPr>
            <sz val="9"/>
            <color indexed="81"/>
            <rFont val="Tahoma"/>
            <family val="2"/>
          </rPr>
          <t>-6/30</t>
        </r>
      </text>
    </comment>
    <comment ref="C15" authorId="0" shapeId="0" xr:uid="{897C5A41-8D34-415B-A0A6-FC868BFEC3B5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7/15-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주현숙</author>
  </authors>
  <commentList>
    <comment ref="C13" authorId="0" shapeId="0" xr:uid="{52E18CD3-E2F1-4C25-B424-19F74D271A9A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6/22-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주현숙</author>
  </authors>
  <commentList>
    <comment ref="C13" authorId="0" shapeId="0" xr:uid="{2D695954-AE25-4F8C-81B0-68E7F24B277F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5/8-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6/16-1650GT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C14" authorId="0" shapeId="0" xr:uid="{CF78C684-8AFC-4CDA-9A3F-5428A43DBF17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>7/8-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37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K14" authorId="0" shapeId="0" xr:uid="{D15C7769-E3CA-4C57-A678-0AC836C91C40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-37</t>
        </r>
        <r>
          <rPr>
            <sz val="9"/>
            <color indexed="81"/>
            <rFont val="돋움"/>
            <family val="3"/>
            <charset val="129"/>
          </rPr>
          <t xml:space="preserve">포
</t>
        </r>
        <r>
          <rPr>
            <sz val="9"/>
            <color indexed="81"/>
            <rFont val="Tahoma"/>
            <family val="2"/>
          </rPr>
          <t>7/14-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37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출고</t>
        </r>
      </text>
    </comment>
    <comment ref="C15" authorId="0" shapeId="0" xr:uid="{D99E4448-6DE4-458A-A9CF-3479D69DABD2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6/10-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7/2-600GT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K15" authorId="0" shapeId="0" xr:uid="{2C6D9CCD-F87D-42D0-82B1-89A1DB087CB2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-1</t>
        </r>
        <r>
          <rPr>
            <sz val="9"/>
            <color indexed="81"/>
            <rFont val="돋움"/>
            <family val="3"/>
            <charset val="129"/>
          </rPr>
          <t xml:space="preserve">포
</t>
        </r>
        <r>
          <rPr>
            <sz val="9"/>
            <color indexed="81"/>
            <rFont val="Tahoma"/>
            <family val="2"/>
          </rPr>
          <t>7/3-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출고</t>
        </r>
      </text>
    </comment>
    <comment ref="C16" authorId="0" shapeId="0" xr:uid="{DE526132-CC59-48D9-8793-15B605CC31EC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6/25-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17" authorId="0" shapeId="0" xr:uid="{8BA6E21A-8E7B-446A-9231-7C6FE3CB13AC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9/30-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K17" authorId="0" shapeId="0" xr:uid="{99435253-26A6-422D-9ED8-7DB2A126C9DC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-18</t>
        </r>
        <r>
          <rPr>
            <sz val="9"/>
            <color indexed="81"/>
            <rFont val="돋움"/>
            <family val="3"/>
            <charset val="129"/>
          </rPr>
          <t xml:space="preserve">포
</t>
        </r>
        <r>
          <rPr>
            <sz val="9"/>
            <color indexed="81"/>
            <rFont val="Tahoma"/>
            <family val="2"/>
          </rPr>
          <t>7/17-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출고</t>
        </r>
      </text>
    </comment>
    <comment ref="K18" authorId="0" shapeId="0" xr:uid="{8EE51FE5-630D-4A2E-BB27-F3753E23DF08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-19</t>
        </r>
        <r>
          <rPr>
            <sz val="9"/>
            <color indexed="81"/>
            <rFont val="돋움"/>
            <family val="3"/>
            <charset val="129"/>
          </rPr>
          <t xml:space="preserve">포
</t>
        </r>
        <r>
          <rPr>
            <sz val="9"/>
            <color indexed="81"/>
            <rFont val="Tahoma"/>
            <family val="2"/>
          </rPr>
          <t>7/17-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19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출고</t>
        </r>
      </text>
    </comment>
    <comment ref="C19" authorId="0" shapeId="0" xr:uid="{6755CEDC-CEDA-41EA-BDD7-5C0D8EC21A54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7/16-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7/22-2400GT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C20" authorId="0" shapeId="0" xr:uid="{DA1930BF-2862-4F87-B399-F11D16D1F9D3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7/24-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주현숙</author>
  </authors>
  <commentList>
    <comment ref="K13" authorId="0" shapeId="0" xr:uid="{9A8B644D-8D88-402A-BFAF-C920B59AD42D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소분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식약처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</t>
        </r>
      </text>
    </comment>
    <comment ref="C14" authorId="0" shapeId="0" xr:uid="{2B35E5B1-3DA2-465C-B1AC-6E9D899BFBF5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5/29-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15" authorId="0" shapeId="0" xr:uid="{96BD260F-16C8-44C8-874C-E09ED771DF26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6/9-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6/16-4676GT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K15" authorId="0" shapeId="0" xr:uid="{00FDE57A-72B1-44C9-9A39-D2E5E5F95576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-58</t>
        </r>
        <r>
          <rPr>
            <sz val="9"/>
            <color indexed="81"/>
            <rFont val="돋움"/>
            <family val="3"/>
            <charset val="129"/>
          </rPr>
          <t xml:space="preserve">포
</t>
        </r>
        <r>
          <rPr>
            <sz val="9"/>
            <color indexed="81"/>
            <rFont val="Tahoma"/>
            <family val="2"/>
          </rPr>
          <t>6/17-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최민지팀장님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픽업
</t>
        </r>
        <r>
          <rPr>
            <sz val="9"/>
            <color indexed="81"/>
            <rFont val="Tahoma"/>
            <family val="2"/>
          </rPr>
          <t>7/8-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벅민스터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직접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픽업</t>
        </r>
      </text>
    </comment>
    <comment ref="B16" authorId="0" shapeId="0" xr:uid="{C9D53AEB-F6F7-426E-A23A-8F0E6532F1DD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6/8~6/10-3</t>
        </r>
        <r>
          <rPr>
            <sz val="9"/>
            <color indexed="81"/>
            <rFont val="돋움"/>
            <family val="3"/>
            <charset val="129"/>
          </rPr>
          <t xml:space="preserve">일작업
</t>
        </r>
        <r>
          <rPr>
            <sz val="9"/>
            <color indexed="81"/>
            <rFont val="Tahoma"/>
            <family val="2"/>
          </rPr>
          <t>6/10-</t>
        </r>
        <r>
          <rPr>
            <sz val="9"/>
            <color indexed="81"/>
            <rFont val="돋움"/>
            <family val="3"/>
            <charset val="129"/>
          </rPr>
          <t>보세반입일</t>
        </r>
      </text>
    </comment>
    <comment ref="B18" authorId="0" shapeId="0" xr:uid="{EE72EBF0-B6AD-40F2-AFF9-DD3F55C5B31A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6/10~6/12-3</t>
        </r>
        <r>
          <rPr>
            <sz val="9"/>
            <color indexed="81"/>
            <rFont val="돋움"/>
            <family val="3"/>
            <charset val="129"/>
          </rPr>
          <t>일작업
보세반입일</t>
        </r>
        <r>
          <rPr>
            <sz val="9"/>
            <color indexed="81"/>
            <rFont val="Tahoma"/>
            <family val="2"/>
          </rPr>
          <t>-6/12</t>
        </r>
      </text>
    </comment>
    <comment ref="C18" authorId="0" shapeId="0" xr:uid="{D8EBB4F6-33E8-4FE2-A435-FA2B95C32D6D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6/15-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20" authorId="0" shapeId="0" xr:uid="{0AF4112A-9988-474C-91B0-6AB175A6B357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6/25-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K20" authorId="0" shapeId="0" xr:uid="{7C584495-2DF9-4EFF-AD9C-A4630381D1DF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-46</t>
        </r>
        <r>
          <rPr>
            <sz val="9"/>
            <color indexed="81"/>
            <rFont val="돋움"/>
            <family val="3"/>
            <charset val="129"/>
          </rPr>
          <t xml:space="preserve">포
</t>
        </r>
        <r>
          <rPr>
            <sz val="9"/>
            <color indexed="81"/>
            <rFont val="Tahoma"/>
            <family val="2"/>
          </rPr>
          <t>7/23-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출고
데미지</t>
        </r>
        <r>
          <rPr>
            <sz val="9"/>
            <color indexed="81"/>
            <rFont val="Tahoma"/>
            <family val="2"/>
          </rPr>
          <t xml:space="preserve"> 44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남음</t>
        </r>
      </text>
    </comment>
    <comment ref="C21" authorId="0" shapeId="0" xr:uid="{37A9A26F-1E56-4CDE-A32B-C2C72ED4087D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6/29-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K22" authorId="0" shapeId="0" xr:uid="{83B66C41-AD1D-4322-9404-F57A4F2BF4D5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-34</t>
        </r>
        <r>
          <rPr>
            <sz val="9"/>
            <color indexed="81"/>
            <rFont val="돋움"/>
            <family val="3"/>
            <charset val="129"/>
          </rPr>
          <t>포</t>
        </r>
      </text>
    </comment>
    <comment ref="B23" authorId="0" shapeId="0" xr:uid="{840FA935-1A3E-4BB6-9D9E-0E9ACCA38082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7/8~7/10-3</t>
        </r>
        <r>
          <rPr>
            <sz val="9"/>
            <color indexed="81"/>
            <rFont val="돋움"/>
            <family val="3"/>
            <charset val="129"/>
          </rPr>
          <t xml:space="preserve">일작업
</t>
        </r>
        <r>
          <rPr>
            <sz val="9"/>
            <color indexed="81"/>
            <rFont val="Tahoma"/>
            <family val="2"/>
          </rPr>
          <t>7/10-</t>
        </r>
        <r>
          <rPr>
            <sz val="9"/>
            <color indexed="81"/>
            <rFont val="돋움"/>
            <family val="3"/>
            <charset val="129"/>
          </rPr>
          <t>보세반입일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주현숙</author>
  </authors>
  <commentList>
    <comment ref="C13" authorId="0" shapeId="0" xr:uid="{F5C4C7B1-73AB-4288-BE8F-43495E548F17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12/23-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1/2-1120GT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C14" authorId="0" shapeId="0" xr:uid="{D495059E-56D7-40AA-81CE-BE1E9AFBB2CF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3/10-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K14" authorId="0" shapeId="0" xr:uid="{0CE717F0-3836-4C3A-A50D-4FDDDA75CF49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-1</t>
        </r>
        <r>
          <rPr>
            <sz val="9"/>
            <color indexed="81"/>
            <rFont val="돋움"/>
            <family val="3"/>
            <charset val="129"/>
          </rPr>
          <t>포
견품반출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 xml:space="preserve">포
</t>
        </r>
      </text>
    </comment>
    <comment ref="K15" authorId="0" shapeId="0" xr:uid="{4FD1C5B4-5C91-4E1E-B2C7-A8DBCD9137B9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견품반출</t>
        </r>
        <r>
          <rPr>
            <sz val="9"/>
            <color indexed="81"/>
            <rFont val="Tahoma"/>
            <family val="2"/>
          </rPr>
          <t>-1</t>
        </r>
        <r>
          <rPr>
            <sz val="9"/>
            <color indexed="81"/>
            <rFont val="돋움"/>
            <family val="3"/>
            <charset val="129"/>
          </rPr>
          <t>포</t>
        </r>
      </text>
    </comment>
    <comment ref="C16" authorId="0" shapeId="0" xr:uid="{4C0E47C8-FE29-4724-AFA6-29F50582D290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4/15-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K16" authorId="0" shapeId="0" xr:uid="{FD6ADB04-0046-4B41-BC35-CDB74DCBCA1E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-2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
4/3-5</t>
        </r>
        <r>
          <rPr>
            <sz val="9"/>
            <color indexed="81"/>
            <rFont val="돋움"/>
            <family val="3"/>
            <charset val="129"/>
          </rPr>
          <t>포에서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소분하여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식약처</t>
        </r>
        <r>
          <rPr>
            <sz val="9"/>
            <color indexed="81"/>
            <rFont val="Tahoma"/>
            <family val="2"/>
          </rPr>
          <t>)
4/24-</t>
        </r>
        <r>
          <rPr>
            <sz val="9"/>
            <color indexed="81"/>
            <rFont val="돋움"/>
            <family val="3"/>
            <charset val="129"/>
          </rPr>
          <t>총데미지</t>
        </r>
        <r>
          <rPr>
            <sz val="9"/>
            <color indexed="81"/>
            <rFont val="Tahoma"/>
            <family val="2"/>
          </rPr>
          <t>7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출고</t>
        </r>
      </text>
    </comment>
    <comment ref="C17" authorId="0" shapeId="0" xr:uid="{87037C61-34EA-4727-8B90-0BCFBBCC9A7F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5/20-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K17" authorId="0" shapeId="0" xr:uid="{7931992E-D339-430C-9993-50633B2F28ED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5/15-1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소분하여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견품반출</t>
        </r>
        <r>
          <rPr>
            <sz val="9"/>
            <color indexed="81"/>
            <rFont val="Tahoma"/>
            <family val="2"/>
          </rPr>
          <t>)
7/10-</t>
        </r>
        <r>
          <rPr>
            <sz val="9"/>
            <color indexed="81"/>
            <rFont val="돋움"/>
            <family val="3"/>
            <charset val="129"/>
          </rPr>
          <t>견품반출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출고</t>
        </r>
      </text>
    </comment>
    <comment ref="C18" authorId="0" shapeId="0" xr:uid="{F005042F-D6D8-49EC-9158-CEF92964A7F1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5/20-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6/17-4480GT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주현숙</author>
  </authors>
  <commentList>
    <comment ref="C13" authorId="0" shapeId="0" xr:uid="{6BEF8655-D25C-41C4-96F2-B1180016B6DE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6/2-890CT </t>
        </r>
        <r>
          <rPr>
            <sz val="9"/>
            <color indexed="81"/>
            <rFont val="돋움"/>
            <family val="3"/>
            <charset val="129"/>
          </rPr>
          <t>분할통관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주현숙</author>
  </authors>
  <commentList>
    <comment ref="K14" authorId="0" shapeId="0" xr:uid="{7AC4BE1C-43AC-4E64-86EA-B06E85ACE317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육안상</t>
        </r>
        <r>
          <rPr>
            <sz val="9"/>
            <color indexed="81"/>
            <rFont val="Tahoma"/>
            <family val="2"/>
          </rPr>
          <t xml:space="preserve"> 7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(5PL)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발견되어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드립니다</t>
        </r>
        <r>
          <rPr>
            <sz val="9"/>
            <color indexed="81"/>
            <rFont val="Tahoma"/>
            <family val="2"/>
          </rPr>
          <t>.
5/13-7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정리하여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포만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처리
</t>
        </r>
        <r>
          <rPr>
            <sz val="9"/>
            <color indexed="81"/>
            <rFont val="Tahoma"/>
            <family val="2"/>
          </rPr>
          <t>11/25-</t>
        </r>
        <r>
          <rPr>
            <sz val="9"/>
            <color indexed="81"/>
            <rFont val="돋움"/>
            <family val="3"/>
            <charset val="129"/>
          </rPr>
          <t>대표님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방문하여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정리하여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정상출고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진행</t>
        </r>
      </text>
    </comment>
    <comment ref="K15" authorId="0" shapeId="0" xr:uid="{907293FD-B8C8-4DE2-872E-E3D485CF29CC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11/5-</t>
        </r>
        <r>
          <rPr>
            <sz val="9"/>
            <color indexed="81"/>
            <rFont val="돋움"/>
            <family val="3"/>
            <charset val="129"/>
          </rPr>
          <t>출고시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조성배대표님이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방문하여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보수작업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</text>
    </comment>
    <comment ref="K19" authorId="0" shapeId="0" xr:uid="{B3DA5A60-544E-4BFB-A128-76E29A503FBD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10/24- 1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</text>
    </comment>
    <comment ref="K21" authorId="0" shapeId="0" xr:uid="{48D42E0E-CB87-4982-9DC7-2148C59E0178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1PL 2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파손
</t>
        </r>
        <r>
          <rPr>
            <sz val="9"/>
            <color indexed="81"/>
            <rFont val="Tahoma"/>
            <family val="2"/>
          </rPr>
          <t>9/8-</t>
        </r>
        <r>
          <rPr>
            <sz val="9"/>
            <color indexed="81"/>
            <rFont val="돋움"/>
            <family val="3"/>
            <charset val="129"/>
          </rPr>
          <t>조성배대표님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방문하여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포로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정리</t>
        </r>
        <r>
          <rPr>
            <sz val="9"/>
            <color indexed="81"/>
            <rFont val="Tahoma"/>
            <family val="2"/>
          </rPr>
          <t>(1/3</t>
        </r>
        <r>
          <rPr>
            <sz val="9"/>
            <color indexed="81"/>
            <rFont val="돋움"/>
            <family val="3"/>
            <charset val="129"/>
          </rPr>
          <t>남음</t>
        </r>
        <r>
          <rPr>
            <sz val="9"/>
            <color indexed="81"/>
            <rFont val="Tahoma"/>
            <family val="2"/>
          </rPr>
          <t>)</t>
        </r>
      </text>
    </comment>
    <comment ref="K25" authorId="0" shapeId="0" xr:uid="{26D31580-26CC-4338-9A87-19DE6C0C23F4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36PL </t>
        </r>
        <r>
          <rPr>
            <sz val="9"/>
            <color indexed="81"/>
            <rFont val="돋움"/>
            <family val="3"/>
            <charset val="129"/>
          </rPr>
          <t>중</t>
        </r>
        <r>
          <rPr>
            <sz val="9"/>
            <color indexed="81"/>
            <rFont val="Tahoma"/>
            <family val="2"/>
          </rPr>
          <t xml:space="preserve"> 6PL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팔레트별로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포씩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6</t>
        </r>
        <r>
          <rPr>
            <sz val="9"/>
            <color indexed="81"/>
            <rFont val="돋움"/>
            <family val="3"/>
            <charset val="129"/>
          </rPr>
          <t>포로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하였습니다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컨테이너</t>
        </r>
        <r>
          <rPr>
            <sz val="9"/>
            <color indexed="81"/>
            <rFont val="Tahoma"/>
            <family val="2"/>
          </rPr>
          <t xml:space="preserve"> NO - BEAU5313601 </t>
        </r>
        <r>
          <rPr>
            <sz val="9"/>
            <color indexed="81"/>
            <rFont val="돋움"/>
            <family val="3"/>
            <charset val="129"/>
          </rPr>
          <t>ㅡ</t>
        </r>
        <r>
          <rPr>
            <sz val="9"/>
            <color indexed="81"/>
            <rFont val="Tahoma"/>
            <family val="2"/>
          </rPr>
          <t>&gt; 1PL 1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
컨테이너</t>
        </r>
        <r>
          <rPr>
            <sz val="9"/>
            <color indexed="81"/>
            <rFont val="Tahoma"/>
            <family val="2"/>
          </rPr>
          <t xml:space="preserve"> NO - ONEU1061120 </t>
        </r>
        <r>
          <rPr>
            <sz val="9"/>
            <color indexed="81"/>
            <rFont val="돋움"/>
            <family val="3"/>
            <charset val="129"/>
          </rPr>
          <t>ㅡ</t>
        </r>
        <r>
          <rPr>
            <sz val="9"/>
            <color indexed="81"/>
            <rFont val="Tahoma"/>
            <family val="2"/>
          </rPr>
          <t xml:space="preserve">&gt; 5PL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포씩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어제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전달드린</t>
        </r>
        <r>
          <rPr>
            <sz val="9"/>
            <color indexed="81"/>
            <rFont val="Tahoma"/>
            <family val="2"/>
          </rPr>
          <t xml:space="preserve"> BL- ONEYANRF18613900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4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드립니다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6PL </t>
        </r>
        <r>
          <rPr>
            <sz val="9"/>
            <color indexed="81"/>
            <rFont val="돋움"/>
            <family val="3"/>
            <charset val="129"/>
          </rPr>
          <t>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팔레트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하단부에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3PL </t>
        </r>
        <r>
          <rPr>
            <sz val="9"/>
            <color indexed="81"/>
            <rFont val="돋움"/>
            <family val="3"/>
            <charset val="129"/>
          </rPr>
          <t>확인하여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재적재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진행하였습니다</t>
        </r>
        <r>
          <rPr>
            <sz val="9"/>
            <color indexed="81"/>
            <rFont val="Tahoma"/>
            <family val="2"/>
          </rPr>
          <t>.
1PL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추가로</t>
        </r>
        <r>
          <rPr>
            <sz val="9"/>
            <color indexed="81"/>
            <rFont val="Tahoma"/>
            <family val="2"/>
          </rPr>
          <t xml:space="preserve"> 4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첨부하여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보내드립니다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재적재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3PL </t>
        </r>
        <r>
          <rPr>
            <sz val="9"/>
            <color indexed="81"/>
            <rFont val="돋움"/>
            <family val="3"/>
            <charset val="129"/>
          </rPr>
          <t>데미지는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팔레트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모았습니다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 xml:space="preserve">포
</t>
        </r>
        <r>
          <rPr>
            <sz val="9"/>
            <color indexed="81"/>
            <rFont val="Tahoma"/>
            <family val="2"/>
          </rPr>
          <t>3PL 1</t>
        </r>
        <r>
          <rPr>
            <sz val="9"/>
            <color indexed="81"/>
            <rFont val="돋움"/>
            <family val="3"/>
            <charset val="129"/>
          </rPr>
          <t>포씩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데미지
</t>
        </r>
        <r>
          <rPr>
            <sz val="9"/>
            <color indexed="81"/>
            <rFont val="Tahoma"/>
            <family val="2"/>
          </rPr>
          <t>1PL 7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데미지
</t>
        </r>
        <r>
          <rPr>
            <sz val="9"/>
            <color indexed="81"/>
            <rFont val="Tahoma"/>
            <family val="2"/>
          </rPr>
          <t>9/8-</t>
        </r>
        <r>
          <rPr>
            <sz val="9"/>
            <color indexed="81"/>
            <rFont val="돋움"/>
            <family val="3"/>
            <charset val="129"/>
          </rPr>
          <t>조성배대표님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방문하여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포로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정리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반포남음</t>
        </r>
        <r>
          <rPr>
            <sz val="9"/>
            <color indexed="81"/>
            <rFont val="Tahoma"/>
            <family val="2"/>
          </rPr>
          <t xml:space="preserve">)
</t>
        </r>
      </text>
    </comment>
    <comment ref="K26" authorId="0" shapeId="0" xr:uid="{2EE196D8-0483-4638-ADC3-7D1E7B78E8CD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 xml:space="preserve">포
</t>
        </r>
        <r>
          <rPr>
            <sz val="9"/>
            <color indexed="81"/>
            <rFont val="Tahoma"/>
            <family val="2"/>
          </rPr>
          <t>10/20-</t>
        </r>
        <r>
          <rPr>
            <sz val="9"/>
            <color indexed="81"/>
            <rFont val="돋움"/>
            <family val="3"/>
            <charset val="129"/>
          </rPr>
          <t>대표님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방문하여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정리</t>
        </r>
      </text>
    </comment>
    <comment ref="K35" authorId="0" shapeId="0" xr:uid="{CA430251-6F1F-4D56-8159-F050FCE6DD19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7/16-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사진전달완료ㅡ</t>
        </r>
        <r>
          <rPr>
            <sz val="9"/>
            <color indexed="81"/>
            <rFont val="Tahoma"/>
            <family val="2"/>
          </rPr>
          <t xml:space="preserve">&gt; </t>
        </r>
        <r>
          <rPr>
            <sz val="9"/>
            <color indexed="81"/>
            <rFont val="돋움"/>
            <family val="3"/>
            <charset val="129"/>
          </rPr>
          <t>정상출고로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진행확인완료</t>
        </r>
      </text>
    </comment>
    <comment ref="K38" authorId="0" shapeId="0" xr:uid="{58B1D8BF-7BA0-4EA6-A4BE-E6B343DE63C3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육안상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데미지는</t>
        </r>
        <r>
          <rPr>
            <sz val="9"/>
            <color indexed="81"/>
            <rFont val="Tahoma"/>
            <family val="2"/>
          </rPr>
          <t xml:space="preserve"> 2PL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포씩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확인
</t>
        </r>
        <r>
          <rPr>
            <sz val="9"/>
            <color indexed="81"/>
            <rFont val="Tahoma"/>
            <family val="2"/>
          </rPr>
          <t>1PL(1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>), 1PL(2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>)
7/3-1PL(2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출고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주현숙</author>
  </authors>
  <commentList>
    <comment ref="C13" authorId="0" shapeId="0" xr:uid="{EE8C5D2E-F081-49F7-AC9F-E92027B190E8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20" authorId="0" shapeId="0" xr:uid="{BE1C6BBA-0099-4EA5-A817-0E4553CB34B1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28" authorId="0" shapeId="0" xr:uid="{80012DE1-DF49-4611-A07A-CE7A49E60697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7/3-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29" authorId="0" shapeId="0" xr:uid="{1E74EDD7-B82D-410E-9AA3-F62850F234BC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7/7-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31" authorId="0" shapeId="0" xr:uid="{BE6E759B-B24E-4EBF-9EBD-E0388A3CE679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7/8-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35" authorId="0" shapeId="0" xr:uid="{E3285ED8-F34B-424E-9EF5-0E840956EC08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7/14-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38" authorId="0" shapeId="0" xr:uid="{CCCFDA47-85FB-41DD-84BE-A5E19F50808E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7/13-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43" authorId="0" shapeId="0" xr:uid="{456E45EA-2D3B-4204-A9D2-935BCA8C8665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7/13-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49" authorId="0" shapeId="0" xr:uid="{30BE183A-12C7-4C4C-9DC1-75EBA357CA9F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7/13-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50" authorId="0" shapeId="0" xr:uid="{B0BEB5F7-9076-4DFA-B0E2-65C37769E017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7/20-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주현숙</author>
  </authors>
  <commentList>
    <comment ref="C13" authorId="0" shapeId="0" xr:uid="{CE4F559B-3F1C-4560-906A-2B90A91C5CF3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10/30-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2/6-64EA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K13" authorId="0" shapeId="0" xr:uid="{6E924F88-0BBA-49FB-B760-5E4E07AE70AF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-14</t>
        </r>
        <r>
          <rPr>
            <sz val="9"/>
            <color indexed="81"/>
            <rFont val="돋움"/>
            <family val="3"/>
            <charset val="129"/>
          </rPr>
          <t xml:space="preserve">포
</t>
        </r>
        <r>
          <rPr>
            <sz val="9"/>
            <color indexed="81"/>
            <rFont val="Tahoma"/>
            <family val="2"/>
          </rPr>
          <t>11/3-2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이대호팀장님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픽업</t>
        </r>
        <r>
          <rPr>
            <sz val="9"/>
            <color indexed="81"/>
            <rFont val="Tahoma"/>
            <family val="2"/>
          </rPr>
          <t>)
11/7-3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이대호팀장님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픽업</t>
        </r>
        <r>
          <rPr>
            <sz val="9"/>
            <color indexed="81"/>
            <rFont val="Tahoma"/>
            <family val="2"/>
          </rPr>
          <t>)
1/21-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9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(1PL) </t>
        </r>
        <r>
          <rPr>
            <sz val="9"/>
            <color indexed="81"/>
            <rFont val="돋움"/>
            <family val="3"/>
            <charset val="129"/>
          </rPr>
          <t>출고</t>
        </r>
      </text>
    </comment>
    <comment ref="C14" authorId="0" shapeId="0" xr:uid="{6B14D5DA-BA12-47C5-B19B-BC5CA94C19EB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2/2~2/3-2</t>
        </r>
        <r>
          <rPr>
            <sz val="9"/>
            <color indexed="81"/>
            <rFont val="돋움"/>
            <family val="3"/>
            <charset val="129"/>
          </rPr>
          <t xml:space="preserve">일작업
</t>
        </r>
        <r>
          <rPr>
            <sz val="9"/>
            <color indexed="81"/>
            <rFont val="Tahoma"/>
            <family val="2"/>
          </rPr>
          <t>2/4-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2/27-2464GT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C15" authorId="0" shapeId="0" xr:uid="{62C620F3-0368-428B-A5FF-B08CC5E5811B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2/23~2/26-4</t>
        </r>
        <r>
          <rPr>
            <sz val="9"/>
            <color indexed="81"/>
            <rFont val="돋움"/>
            <family val="3"/>
            <charset val="129"/>
          </rPr>
          <t xml:space="preserve">일작업
</t>
        </r>
        <r>
          <rPr>
            <sz val="9"/>
            <color indexed="81"/>
            <rFont val="Tahoma"/>
            <family val="2"/>
          </rPr>
          <t>2/26-</t>
        </r>
        <r>
          <rPr>
            <sz val="9"/>
            <color indexed="81"/>
            <rFont val="돋움"/>
            <family val="3"/>
            <charset val="129"/>
          </rPr>
          <t xml:space="preserve">보세반입
</t>
        </r>
        <r>
          <rPr>
            <sz val="9"/>
            <color indexed="81"/>
            <rFont val="Tahoma"/>
            <family val="2"/>
          </rPr>
          <t xml:space="preserve">3/26-12355GT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K15" authorId="0" shapeId="0" xr:uid="{4CAFBCD3-4629-43B9-AA83-7F109571262A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-96</t>
        </r>
        <r>
          <rPr>
            <sz val="9"/>
            <color indexed="81"/>
            <rFont val="돋움"/>
            <family val="3"/>
            <charset val="129"/>
          </rPr>
          <t xml:space="preserve">포
</t>
        </r>
        <r>
          <rPr>
            <sz val="9"/>
            <color indexed="81"/>
            <rFont val="Tahoma"/>
            <family val="2"/>
          </rPr>
          <t>2/26-10</t>
        </r>
        <r>
          <rPr>
            <sz val="9"/>
            <color indexed="81"/>
            <rFont val="돋움"/>
            <family val="3"/>
            <charset val="129"/>
          </rPr>
          <t>포에서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소분하여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검체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식약처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106</t>
        </r>
        <r>
          <rPr>
            <sz val="9"/>
            <color indexed="81"/>
            <rFont val="돋움"/>
            <family val="3"/>
            <charset val="129"/>
          </rPr>
          <t xml:space="preserve">포
</t>
        </r>
        <r>
          <rPr>
            <sz val="9"/>
            <color indexed="81"/>
            <rFont val="Tahoma"/>
            <family val="2"/>
          </rPr>
          <t>5/8-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이대호팀장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픽업
</t>
        </r>
        <r>
          <rPr>
            <sz val="9"/>
            <color indexed="81"/>
            <rFont val="Tahoma"/>
            <family val="2"/>
          </rPr>
          <t>5/26-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이대호팀장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픽업</t>
        </r>
      </text>
    </comment>
    <comment ref="C16" authorId="0" shapeId="0" xr:uid="{73285E61-1F35-42DD-A7D6-3AC16534B291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3/9-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3/16-9350GT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K16" authorId="0" shapeId="0" xr:uid="{5423E791-BD29-49C6-88E7-2642B0D0B29C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-114
</t>
        </r>
        <r>
          <rPr>
            <sz val="9"/>
            <color indexed="81"/>
            <rFont val="돋움"/>
            <family val="3"/>
            <charset val="129"/>
          </rPr>
          <t>식약처</t>
        </r>
        <r>
          <rPr>
            <sz val="9"/>
            <color indexed="81"/>
            <rFont val="Tahoma"/>
            <family val="2"/>
          </rPr>
          <t xml:space="preserve">-10
</t>
        </r>
        <r>
          <rPr>
            <sz val="9"/>
            <color indexed="81"/>
            <rFont val="돋움"/>
            <family val="3"/>
            <charset val="129"/>
          </rPr>
          <t>총데미지</t>
        </r>
        <r>
          <rPr>
            <sz val="9"/>
            <color indexed="81"/>
            <rFont val="Tahoma"/>
            <family val="2"/>
          </rPr>
          <t>-124
3/17-</t>
        </r>
        <r>
          <rPr>
            <sz val="9"/>
            <color indexed="81"/>
            <rFont val="돋움"/>
            <family val="3"/>
            <charset val="129"/>
          </rPr>
          <t>파손품</t>
        </r>
        <r>
          <rPr>
            <sz val="9"/>
            <color indexed="81"/>
            <rFont val="Tahoma"/>
            <family val="2"/>
          </rPr>
          <t xml:space="preserve">5EA </t>
        </r>
        <r>
          <rPr>
            <sz val="9"/>
            <color indexed="81"/>
            <rFont val="돋움"/>
            <family val="3"/>
            <charset val="129"/>
          </rPr>
          <t>이대호팀장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픽업
남은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=119</t>
        </r>
        <r>
          <rPr>
            <sz val="9"/>
            <color indexed="81"/>
            <rFont val="돋움"/>
            <family val="3"/>
            <charset val="129"/>
          </rPr>
          <t>포</t>
        </r>
      </text>
    </comment>
    <comment ref="C17" authorId="0" shapeId="0" xr:uid="{054DC8CF-F8D5-4FB8-B434-6C314335532E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4/1-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4/20-7440GT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K17" authorId="0" shapeId="0" xr:uid="{6158821F-2BD0-4C71-BA29-BA923EE78F55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-60</t>
        </r>
        <r>
          <rPr>
            <sz val="9"/>
            <color indexed="81"/>
            <rFont val="돋움"/>
            <family val="3"/>
            <charset val="129"/>
          </rPr>
          <t xml:space="preserve">포
</t>
        </r>
        <r>
          <rPr>
            <sz val="9"/>
            <color indexed="81"/>
            <rFont val="Tahoma"/>
            <family val="2"/>
          </rPr>
          <t>6/2-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이대호팀장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픽업</t>
        </r>
      </text>
    </comment>
    <comment ref="B18" authorId="0" shapeId="0" xr:uid="{8A64DC4B-47C3-4B07-ADE0-0D9544726BFD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3/31-4/2-3</t>
        </r>
        <r>
          <rPr>
            <sz val="9"/>
            <color indexed="81"/>
            <rFont val="돋움"/>
            <family val="3"/>
            <charset val="129"/>
          </rPr>
          <t xml:space="preserve">일작업
</t>
        </r>
        <r>
          <rPr>
            <sz val="9"/>
            <color indexed="81"/>
            <rFont val="Tahoma"/>
            <family val="2"/>
          </rPr>
          <t>4/2-</t>
        </r>
        <r>
          <rPr>
            <sz val="9"/>
            <color indexed="81"/>
            <rFont val="돋움"/>
            <family val="3"/>
            <charset val="129"/>
          </rPr>
          <t>보세반입일</t>
        </r>
      </text>
    </comment>
    <comment ref="C18" authorId="0" shapeId="0" xr:uid="{1058D477-31F7-4FE4-BCD0-5FCBF370EC18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5/6-130GT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K18" authorId="0" shapeId="0" xr:uid="{4208D9B6-0994-45BB-85CA-B72C6CEA05AE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-122</t>
        </r>
        <r>
          <rPr>
            <sz val="9"/>
            <color indexed="81"/>
            <rFont val="돋움"/>
            <family val="3"/>
            <charset val="129"/>
          </rPr>
          <t xml:space="preserve">포
</t>
        </r>
        <r>
          <rPr>
            <sz val="9"/>
            <color indexed="81"/>
            <rFont val="Tahoma"/>
            <family val="2"/>
          </rPr>
          <t>4/3-8</t>
        </r>
        <r>
          <rPr>
            <sz val="9"/>
            <color indexed="81"/>
            <rFont val="돋움"/>
            <family val="3"/>
            <charset val="129"/>
          </rPr>
          <t>포에서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소분하여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식약처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- 130</t>
        </r>
        <r>
          <rPr>
            <sz val="9"/>
            <color indexed="81"/>
            <rFont val="돋움"/>
            <family val="3"/>
            <charset val="129"/>
          </rPr>
          <t>포</t>
        </r>
      </text>
    </comment>
    <comment ref="C19" authorId="0" shapeId="0" xr:uid="{91403A25-9CE8-4AA3-BE96-B357BE932901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4/20-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5/21-79GT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  <comment ref="B21" authorId="0" shapeId="0" xr:uid="{F991ED02-D835-4384-969B-F988E86AC907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4/23,4/24,4/27-3</t>
        </r>
        <r>
          <rPr>
            <sz val="9"/>
            <color indexed="81"/>
            <rFont val="돋움"/>
            <family val="3"/>
            <charset val="129"/>
          </rPr>
          <t>일작업
보세반입일</t>
        </r>
        <r>
          <rPr>
            <sz val="9"/>
            <color indexed="81"/>
            <rFont val="Tahoma"/>
            <family val="2"/>
          </rPr>
          <t>-4/27</t>
        </r>
      </text>
    </comment>
    <comment ref="C21" authorId="0" shapeId="0" xr:uid="{834E5C93-86BE-40CA-9BCA-A80257621FA5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4/29-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K21" authorId="0" shapeId="0" xr:uid="{44946BFC-BB45-4FF1-B695-C22FC8952BF2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-59</t>
        </r>
        <r>
          <rPr>
            <sz val="9"/>
            <color indexed="81"/>
            <rFont val="돋움"/>
            <family val="3"/>
            <charset val="129"/>
          </rPr>
          <t xml:space="preserve">포
</t>
        </r>
        <r>
          <rPr>
            <sz val="9"/>
            <color indexed="81"/>
            <rFont val="Tahoma"/>
            <family val="2"/>
          </rPr>
          <t>4/28-10</t>
        </r>
        <r>
          <rPr>
            <sz val="9"/>
            <color indexed="81"/>
            <rFont val="돋움"/>
            <family val="3"/>
            <charset val="129"/>
          </rPr>
          <t>포에서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소분하여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식약처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총데미지</t>
        </r>
        <r>
          <rPr>
            <sz val="9"/>
            <color indexed="81"/>
            <rFont val="Tahoma"/>
            <family val="2"/>
          </rPr>
          <t>=69</t>
        </r>
        <r>
          <rPr>
            <sz val="9"/>
            <color indexed="81"/>
            <rFont val="돋움"/>
            <family val="3"/>
            <charset val="129"/>
          </rPr>
          <t>포</t>
        </r>
      </text>
    </comment>
    <comment ref="C22" authorId="0" shapeId="0" xr:uid="{782F6941-E8D6-4608-992A-FD35388047D6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5/14-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K22" authorId="0" shapeId="0" xr:uid="{A1F7F1DC-219D-494F-A0F8-720E94EAB88D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-116EA(3PL)
</t>
        </r>
        <r>
          <rPr>
            <sz val="9"/>
            <color indexed="81"/>
            <rFont val="돋움"/>
            <family val="3"/>
            <charset val="129"/>
          </rPr>
          <t>일반데미지</t>
        </r>
        <r>
          <rPr>
            <sz val="9"/>
            <color indexed="81"/>
            <rFont val="Tahoma"/>
            <family val="2"/>
          </rPr>
          <t xml:space="preserve">-84EA(1PL)+8EA(1PL)
</t>
        </r>
        <r>
          <rPr>
            <sz val="9"/>
            <color indexed="81"/>
            <rFont val="돋움"/>
            <family val="3"/>
            <charset val="129"/>
          </rPr>
          <t>오일데미지</t>
        </r>
        <r>
          <rPr>
            <sz val="9"/>
            <color indexed="81"/>
            <rFont val="Tahoma"/>
            <family val="2"/>
          </rPr>
          <t>-24EA(1PL)</t>
        </r>
      </text>
    </comment>
    <comment ref="C23" authorId="0" shapeId="0" xr:uid="{60860F96-CC85-4DF2-9DB1-C7708B0351C4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5/18-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K23" authorId="0" shapeId="0" xr:uid="{E1343B0B-6ED8-49AC-9F94-7C557B50FFF7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-90</t>
        </r>
        <r>
          <rPr>
            <sz val="9"/>
            <color indexed="81"/>
            <rFont val="돋움"/>
            <family val="3"/>
            <charset val="129"/>
          </rPr>
          <t xml:space="preserve">포
</t>
        </r>
        <r>
          <rPr>
            <sz val="9"/>
            <color indexed="81"/>
            <rFont val="Tahoma"/>
            <family val="2"/>
          </rPr>
          <t>6/25-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6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이대호팀장님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정상품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포와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픽업</t>
        </r>
      </text>
    </comment>
    <comment ref="C24" authorId="0" shapeId="0" xr:uid="{1C2ECF84-BF57-4FEB-9DB6-B65FC36511CF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6/1-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25" authorId="0" shapeId="0" xr:uid="{648F2A99-A23E-4114-92C9-39F32B229F30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6/8-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26" authorId="0" shapeId="0" xr:uid="{E8FD0E19-F031-4F2F-AFC4-ABDDB2A36E21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5/26-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K26" authorId="0" shapeId="0" xr:uid="{2EE8020F-6BB2-4887-BF5A-260CAD9054DC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>-40</t>
        </r>
        <r>
          <rPr>
            <sz val="9"/>
            <color indexed="81"/>
            <rFont val="돋움"/>
            <family val="3"/>
            <charset val="129"/>
          </rPr>
          <t>포</t>
        </r>
        <r>
          <rPr>
            <sz val="9"/>
            <color indexed="81"/>
            <rFont val="Tahoma"/>
            <family val="2"/>
          </rPr>
          <t>+</t>
        </r>
        <r>
          <rPr>
            <sz val="9"/>
            <color indexed="81"/>
            <rFont val="돋움"/>
            <family val="3"/>
            <charset val="129"/>
          </rPr>
          <t>개미데미지</t>
        </r>
        <r>
          <rPr>
            <sz val="9"/>
            <color indexed="81"/>
            <rFont val="Tahoma"/>
            <family val="2"/>
          </rPr>
          <t>84EA*2PL=208EA</t>
        </r>
      </text>
    </comment>
    <comment ref="C27" authorId="0" shapeId="0" xr:uid="{06EB330E-DEBA-4217-BB80-B646F0DCBF51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6/23-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28" authorId="0" shapeId="0" xr:uid="{20D5A482-F0AD-46E4-90FF-8AD0A4409CEC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6/26-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29" authorId="0" shapeId="0" xr:uid="{6ADD09B0-EA51-4361-AEE2-267526CE08F7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7/7-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30" authorId="0" shapeId="0" xr:uid="{5E5FD987-5D9D-46BA-ADDE-F6310A5B7D2F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7/7-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36" authorId="0" shapeId="0" xr:uid="{C151A780-4E48-4D82-A1C3-4C6EBD7AE09C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7/9-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주현숙</author>
  </authors>
  <commentList>
    <comment ref="C13" authorId="0" shapeId="0" xr:uid="{49E0DD05-47C9-40CD-9442-FD17BA72F54E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7/16-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15" authorId="0" shapeId="0" xr:uid="{C66022B4-D4D9-47DC-8B6D-E90CCFF8FAB7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7/16-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17" authorId="0" shapeId="0" xr:uid="{796F68BE-4184-4951-AEF6-67160EAE1A7F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6/11-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19" authorId="0" shapeId="0" xr:uid="{1A9ECB87-D401-4794-81E9-221A5052AFAE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7/10-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주현숙</author>
  </authors>
  <commentList>
    <comment ref="C14" authorId="0" shapeId="0" xr:uid="{34E4E28D-C36C-4AC7-9C9F-1F32E26401E6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3/10-BL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Tahoma"/>
            <family val="2"/>
          </rPr>
          <t xml:space="preserve"> 
F2-PNCHCM2501040 </t>
        </r>
        <r>
          <rPr>
            <sz val="9"/>
            <color indexed="81"/>
            <rFont val="돋움"/>
            <family val="3"/>
            <charset val="129"/>
          </rPr>
          <t>ㅡ</t>
        </r>
        <r>
          <rPr>
            <sz val="9"/>
            <color indexed="81"/>
            <rFont val="Tahoma"/>
            <family val="2"/>
          </rPr>
          <t>&gt; PNCHCM2501038</t>
        </r>
      </text>
    </comment>
    <comment ref="C15" authorId="0" shapeId="0" xr:uid="{3EA7ECFD-40F1-4FBD-ACB7-815F3AC03EE5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6/5 BL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변경
</t>
        </r>
        <r>
          <rPr>
            <sz val="9"/>
            <color indexed="81"/>
            <rFont val="Tahoma"/>
            <family val="2"/>
          </rPr>
          <t xml:space="preserve">DFS06037587 </t>
        </r>
        <r>
          <rPr>
            <sz val="9"/>
            <color indexed="81"/>
            <rFont val="돋움"/>
            <family val="3"/>
            <charset val="129"/>
          </rPr>
          <t>ㅡ</t>
        </r>
        <r>
          <rPr>
            <sz val="9"/>
            <color indexed="81"/>
            <rFont val="Tahoma"/>
            <family val="2"/>
          </rPr>
          <t>&gt; DFS064037587</t>
        </r>
      </text>
    </comment>
    <comment ref="C16" authorId="0" shapeId="0" xr:uid="{8E292843-ADD3-4BB4-8BDD-9E0305341CE4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3/12-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18" authorId="0" shapeId="0" xr:uid="{B326724A-F42F-4983-BF4B-A67CF1275EBC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7/13-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7/27-1600GT </t>
        </r>
        <r>
          <rPr>
            <sz val="9"/>
            <color indexed="81"/>
            <rFont val="돋움"/>
            <family val="3"/>
            <charset val="129"/>
          </rPr>
          <t>보세반출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주현숙</author>
  </authors>
  <commentList>
    <comment ref="C13" authorId="0" shapeId="0" xr:uid="{796721CB-79A7-45EB-B48A-63F4D5818D87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6/29-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16" authorId="0" shapeId="0" xr:uid="{110921EC-BDD0-4853-9738-634B6EA44329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6/24-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17" authorId="0" shapeId="0" xr:uid="{4C666A9B-A680-43D8-B0C2-E12CFAD79DF9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18" authorId="0" shapeId="0" xr:uid="{73B112FC-F8C0-434B-A80D-EB9F80DD3E36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6/24-370GT </t>
        </r>
        <r>
          <rPr>
            <sz val="9"/>
            <color indexed="81"/>
            <rFont val="돋움"/>
            <family val="3"/>
            <charset val="129"/>
          </rPr>
          <t>분할통관완료</t>
        </r>
      </text>
    </comment>
    <comment ref="C20" authorId="0" shapeId="0" xr:uid="{AEB2260C-B58E-4BAC-BF42-1B82D17633E0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6/29-</t>
        </r>
        <r>
          <rPr>
            <sz val="9"/>
            <color indexed="81"/>
            <rFont val="돋움"/>
            <family val="3"/>
            <charset val="129"/>
          </rPr>
          <t>통관완료
전량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21" authorId="0" shapeId="0" xr:uid="{B262FF83-8093-45D4-BB16-7C277FDE41F3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6/24 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25" authorId="0" shapeId="0" xr:uid="{963F196E-A4F5-407F-9F37-14764C1F2F8E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6/29-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26" authorId="0" shapeId="0" xr:uid="{FE95F77D-8A3D-419C-9ED5-2E099E9F1E13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6/29-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27" authorId="0" shapeId="0" xr:uid="{F2401E7C-A7E7-446D-9991-C09FAE5C846B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34" authorId="0" shapeId="0" xr:uid="{6AEDC661-FF35-4338-B48C-6B10EFA5E9B6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6/25-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36" authorId="0" shapeId="0" xr:uid="{2F173199-0999-4D50-9E97-C3B63AC3430A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6/29-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37" authorId="0" shapeId="0" xr:uid="{85A8B549-F451-4768-8E6A-9C764D3C839C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7/6-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38" authorId="0" shapeId="0" xr:uid="{2420C9FA-7994-46CB-ABEE-7C30E85CFF68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7/9-366GT </t>
        </r>
        <r>
          <rPr>
            <sz val="9"/>
            <color indexed="81"/>
            <rFont val="돋움"/>
            <family val="3"/>
            <charset val="129"/>
          </rPr>
          <t>분할통관완료</t>
        </r>
      </text>
    </comment>
    <comment ref="C39" authorId="0" shapeId="0" xr:uid="{8DCE6AA7-A6A1-400B-82A6-E88C7EECAD97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7/15-300GT 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 xml:space="preserve">1229126001050M
</t>
        </r>
        <r>
          <rPr>
            <sz val="9"/>
            <color indexed="81"/>
            <rFont val="돋움"/>
            <family val="3"/>
            <charset val="129"/>
          </rPr>
          <t>전량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</text>
    </comment>
    <comment ref="C41" authorId="0" shapeId="0" xr:uid="{B9C2580F-C5D9-4E95-A4C2-204D096AD0FA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7/14-630GT </t>
        </r>
        <r>
          <rPr>
            <sz val="9"/>
            <color indexed="81"/>
            <rFont val="돋움"/>
            <family val="3"/>
            <charset val="129"/>
          </rPr>
          <t>분할통관완료</t>
        </r>
        <r>
          <rPr>
            <sz val="9"/>
            <color indexed="81"/>
            <rFont val="Tahoma"/>
            <family val="2"/>
          </rPr>
          <t xml:space="preserve"> 1229126001034M</t>
        </r>
      </text>
    </comment>
    <comment ref="C45" authorId="0" shapeId="0" xr:uid="{2295707A-6B44-4FB1-A0F0-6BA6EB153BC4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7/13-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49" authorId="0" shapeId="0" xr:uid="{C8124FCD-C6D8-40C0-B747-A4847D9F2063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7/13-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50" authorId="0" shapeId="0" xr:uid="{23F28484-8871-41AD-B67B-4067F3484259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7/13-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51" authorId="0" shapeId="0" xr:uid="{CAC6DB57-82BB-444B-BB87-3C827912543A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7/15-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53" authorId="0" shapeId="0" xr:uid="{33A37D52-4C1D-441E-9180-F1893ABAA4E7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7/15-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54" authorId="0" shapeId="0" xr:uid="{3DC737CE-0C07-4CA0-9BC4-E08511CF171A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7/15-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56" authorId="0" shapeId="0" xr:uid="{4B153AB2-5E1B-44A5-852B-D06F942D546A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7/16-150GT </t>
        </r>
        <r>
          <rPr>
            <sz val="9"/>
            <color indexed="81"/>
            <rFont val="돋움"/>
            <family val="3"/>
            <charset val="129"/>
          </rPr>
          <t>분할통관완료</t>
        </r>
        <r>
          <rPr>
            <sz val="9"/>
            <color indexed="81"/>
            <rFont val="Tahoma"/>
            <family val="2"/>
          </rPr>
          <t xml:space="preserve"> 1229126001045M</t>
        </r>
      </text>
    </comment>
    <comment ref="C57" authorId="0" shapeId="0" xr:uid="{E286C06A-8D87-47B0-8E2D-2E0627CEF692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7/20-100GT </t>
        </r>
        <r>
          <rPr>
            <sz val="9"/>
            <color indexed="81"/>
            <rFont val="돋움"/>
            <family val="3"/>
            <charset val="129"/>
          </rPr>
          <t>통관완료
전량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62" authorId="0" shapeId="0" xr:uid="{EF90D03B-0263-4478-BF1B-E0DE5C218F6C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7/15-840GT </t>
        </r>
        <r>
          <rPr>
            <sz val="9"/>
            <color indexed="81"/>
            <rFont val="돋움"/>
            <family val="3"/>
            <charset val="129"/>
          </rPr>
          <t xml:space="preserve">통관완료
</t>
        </r>
        <r>
          <rPr>
            <sz val="9"/>
            <color indexed="81"/>
            <rFont val="Tahoma"/>
            <family val="2"/>
          </rPr>
          <t>1229126001049M</t>
        </r>
      </text>
    </comment>
    <comment ref="C66" authorId="0" shapeId="0" xr:uid="{E9037787-1D1C-4B1E-9658-7CE565F47343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7/23-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70" authorId="0" shapeId="0" xr:uid="{FD6995A8-A3D9-47A3-B327-D111558FB79C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7/20-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77" authorId="0" shapeId="0" xr:uid="{9C4C765A-E614-4178-8F6B-03D699237F5D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7/23-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78" authorId="0" shapeId="0" xr:uid="{C6267F6D-995A-4C39-93EA-3A013EEC0BAC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7/22-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86" authorId="0" shapeId="0" xr:uid="{6AE42245-EF81-4DF4-BD7F-A15561FC6F62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7/24-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87" authorId="0" shapeId="0" xr:uid="{2FEE5B30-AAF4-4049-8803-88A15B38E9EF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7/24-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  <comment ref="C88" authorId="0" shapeId="0" xr:uid="{FB152E2D-481F-496D-BAA6-8E7F91A37C15}">
      <text>
        <r>
          <rPr>
            <b/>
            <sz val="9"/>
            <color indexed="81"/>
            <rFont val="돋움"/>
            <family val="3"/>
            <charset val="129"/>
          </rPr>
          <t>주현숙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7/29-120GT </t>
        </r>
        <r>
          <rPr>
            <sz val="9"/>
            <color indexed="81"/>
            <rFont val="돋움"/>
            <family val="3"/>
            <charset val="129"/>
          </rPr>
          <t>통관완료</t>
        </r>
      </text>
    </comment>
  </commentList>
</comments>
</file>

<file path=xl/sharedStrings.xml><?xml version="1.0" encoding="utf-8"?>
<sst xmlns="http://schemas.openxmlformats.org/spreadsheetml/2006/main" count="2941" uniqueCount="1017">
  <si>
    <t>출고일</t>
  </si>
  <si>
    <t>출고처</t>
  </si>
  <si>
    <t>출고비엘</t>
  </si>
  <si>
    <t>출고품목</t>
  </si>
  <si>
    <t>출고수량</t>
  </si>
  <si>
    <t>출고팔렛트 수량</t>
  </si>
  <si>
    <t>보관료 발생일</t>
  </si>
  <si>
    <t>보관료 발생 보관일수</t>
  </si>
  <si>
    <t>출고발생 보관료</t>
  </si>
  <si>
    <t>파손수량(PLT)</t>
    <phoneticPr fontId="2" type="noConversion"/>
  </si>
  <si>
    <t>전월까지총출고수량</t>
  </si>
  <si>
    <t>보관료발생일</t>
  </si>
  <si>
    <t>출고팔렛트수량</t>
  </si>
  <si>
    <t>보관료발생보관일수</t>
  </si>
  <si>
    <t>출고발생보관료</t>
  </si>
  <si>
    <t>18-005</t>
  </si>
  <si>
    <t>반입일</t>
    <phoneticPr fontId="2" type="noConversion"/>
  </si>
  <si>
    <t>BL</t>
    <phoneticPr fontId="2" type="noConversion"/>
  </si>
  <si>
    <t>내국관리번호</t>
    <phoneticPr fontId="2" type="noConversion"/>
  </si>
  <si>
    <t>화주명
컨테이너번호</t>
    <phoneticPr fontId="2" type="noConversion"/>
  </si>
  <si>
    <t>품목</t>
    <phoneticPr fontId="2" type="noConversion"/>
  </si>
  <si>
    <t>반입수량(EA)</t>
    <phoneticPr fontId="2" type="noConversion"/>
  </si>
  <si>
    <t>반입수량(PLT)</t>
    <phoneticPr fontId="2" type="noConversion"/>
  </si>
  <si>
    <t>파손수량(EA)</t>
    <phoneticPr fontId="2" type="noConversion"/>
  </si>
  <si>
    <t>파손출고수량(EA)</t>
    <phoneticPr fontId="2" type="noConversion"/>
  </si>
  <si>
    <t>출고가능수량(EA)</t>
    <phoneticPr fontId="2" type="noConversion"/>
  </si>
  <si>
    <t>출고가능수량(PLT)</t>
    <phoneticPr fontId="2" type="noConversion"/>
  </si>
  <si>
    <t>총재고수량(EA)</t>
    <phoneticPr fontId="2" type="noConversion"/>
  </si>
  <si>
    <t>총재고수량(PLT)</t>
    <phoneticPr fontId="2" type="noConversion"/>
  </si>
  <si>
    <t>전월까지 총출고수량</t>
    <phoneticPr fontId="2" type="noConversion"/>
  </si>
  <si>
    <t>당월출고수량</t>
    <phoneticPr fontId="2" type="noConversion"/>
  </si>
  <si>
    <t>총출고수량</t>
    <phoneticPr fontId="2" type="noConversion"/>
  </si>
  <si>
    <t>비고</t>
    <phoneticPr fontId="2" type="noConversion"/>
  </si>
  <si>
    <t>적재수량(PLT당)</t>
    <phoneticPr fontId="2" type="noConversion"/>
  </si>
  <si>
    <t>보관료 발생일</t>
    <phoneticPr fontId="2" type="noConversion"/>
  </si>
  <si>
    <t>프리타임</t>
    <phoneticPr fontId="2" type="noConversion"/>
  </si>
  <si>
    <t>보관요율(팔렛트당)</t>
    <phoneticPr fontId="2" type="noConversion"/>
  </si>
  <si>
    <t>출고보관료</t>
    <phoneticPr fontId="2" type="noConversion"/>
  </si>
  <si>
    <t>재고보관료</t>
    <phoneticPr fontId="2" type="noConversion"/>
  </si>
  <si>
    <t>총보관료</t>
    <phoneticPr fontId="2" type="noConversion"/>
  </si>
  <si>
    <t>UM2822RC2</t>
    <phoneticPr fontId="2" type="noConversion"/>
  </si>
  <si>
    <t>CA7441A</t>
    <phoneticPr fontId="2" type="noConversion"/>
  </si>
  <si>
    <t>KKLUSP052240</t>
    <phoneticPr fontId="2" type="noConversion"/>
  </si>
  <si>
    <t>UH0411RPH</t>
    <phoneticPr fontId="2" type="noConversion"/>
  </si>
  <si>
    <t>반입일</t>
    <phoneticPr fontId="2" type="noConversion"/>
  </si>
  <si>
    <t>BL</t>
    <phoneticPr fontId="2" type="noConversion"/>
  </si>
  <si>
    <t>내국관리번호</t>
    <phoneticPr fontId="2" type="noConversion"/>
  </si>
  <si>
    <t>화주명
컨테이너번호</t>
    <phoneticPr fontId="2" type="noConversion"/>
  </si>
  <si>
    <t>품목</t>
    <phoneticPr fontId="2" type="noConversion"/>
  </si>
  <si>
    <t>세부품목</t>
    <phoneticPr fontId="2" type="noConversion"/>
  </si>
  <si>
    <t>반입수량(EA)</t>
    <phoneticPr fontId="2" type="noConversion"/>
  </si>
  <si>
    <t>반입수량(PLT)</t>
    <phoneticPr fontId="2" type="noConversion"/>
  </si>
  <si>
    <t>파손수량(PLT)</t>
    <phoneticPr fontId="2" type="noConversion"/>
  </si>
  <si>
    <t>파손수량(EA)</t>
    <phoneticPr fontId="2" type="noConversion"/>
  </si>
  <si>
    <t>파손출고수량(EA)</t>
    <phoneticPr fontId="2" type="noConversion"/>
  </si>
  <si>
    <t>출고가능수량(EA)</t>
    <phoneticPr fontId="2" type="noConversion"/>
  </si>
  <si>
    <t>출고가능수량(PLT)</t>
    <phoneticPr fontId="2" type="noConversion"/>
  </si>
  <si>
    <t>총재고수량(EA)</t>
    <phoneticPr fontId="2" type="noConversion"/>
  </si>
  <si>
    <t>총재고수량(PLT)</t>
    <phoneticPr fontId="2" type="noConversion"/>
  </si>
  <si>
    <t>전월까지 총출고수량</t>
    <phoneticPr fontId="2" type="noConversion"/>
  </si>
  <si>
    <t>당월출고수량</t>
    <phoneticPr fontId="2" type="noConversion"/>
  </si>
  <si>
    <t>총출고수량</t>
    <phoneticPr fontId="2" type="noConversion"/>
  </si>
  <si>
    <t>비고</t>
    <phoneticPr fontId="2" type="noConversion"/>
  </si>
  <si>
    <t>적재수량(PLT당)</t>
    <phoneticPr fontId="2" type="noConversion"/>
  </si>
  <si>
    <t>보관료 발생일</t>
    <phoneticPr fontId="2" type="noConversion"/>
  </si>
  <si>
    <t>프리타임</t>
    <phoneticPr fontId="2" type="noConversion"/>
  </si>
  <si>
    <t>보관요율(팔렛트당)</t>
    <phoneticPr fontId="2" type="noConversion"/>
  </si>
  <si>
    <t>출고보관료</t>
    <phoneticPr fontId="2" type="noConversion"/>
  </si>
  <si>
    <t>재고보관료</t>
    <phoneticPr fontId="2" type="noConversion"/>
  </si>
  <si>
    <t>총보관료</t>
    <phoneticPr fontId="2" type="noConversion"/>
  </si>
  <si>
    <t>비엘+품명</t>
    <phoneticPr fontId="2" type="noConversion"/>
  </si>
  <si>
    <t>부족수량(SHORTAGE)/EA</t>
    <phoneticPr fontId="2" type="noConversion"/>
  </si>
  <si>
    <t>반입일</t>
  </si>
  <si>
    <t>BL</t>
  </si>
  <si>
    <t>내국관리번호</t>
  </si>
  <si>
    <t>품목</t>
  </si>
  <si>
    <t>총재고수량(EA)</t>
  </si>
  <si>
    <t>총재고수량(PLT)</t>
  </si>
  <si>
    <t>당월출고수량</t>
  </si>
  <si>
    <t>적재수량(PLT당)</t>
  </si>
  <si>
    <t>프리타임</t>
  </si>
  <si>
    <t>보관요율(팔렛트당)</t>
  </si>
  <si>
    <t>출고보관료</t>
  </si>
  <si>
    <t>재고보관료</t>
  </si>
  <si>
    <t>총보관료</t>
  </si>
  <si>
    <t>블루베리믹스필링</t>
  </si>
  <si>
    <t>정산일(마감)</t>
    <phoneticPr fontId="2" type="noConversion"/>
  </si>
  <si>
    <t>정산일(개시)</t>
    <phoneticPr fontId="2" type="noConversion"/>
  </si>
  <si>
    <t>정산일(개시)</t>
    <phoneticPr fontId="2" type="noConversion"/>
  </si>
  <si>
    <t>정산일(마감)</t>
    <phoneticPr fontId="2" type="noConversion"/>
  </si>
  <si>
    <t>정산일(개시)</t>
  </si>
  <si>
    <t>정산일(마감)</t>
  </si>
  <si>
    <t>출고일</t>
    <phoneticPr fontId="2" type="noConversion"/>
  </si>
  <si>
    <t>18 파렛트(990 백)</t>
  </si>
  <si>
    <t>OOCU7151756</t>
  </si>
  <si>
    <t>40HQX1</t>
  </si>
  <si>
    <t>WG1474Y03</t>
  </si>
  <si>
    <t>OOLU2103579150</t>
    <phoneticPr fontId="2" type="noConversion"/>
  </si>
  <si>
    <t>Q100F</t>
    <phoneticPr fontId="2" type="noConversion"/>
  </si>
  <si>
    <t>요약</t>
  </si>
  <si>
    <t>9/17-50장입고(아주팔레트)</t>
    <phoneticPr fontId="2" type="noConversion"/>
  </si>
  <si>
    <t>시노로직스</t>
  </si>
  <si>
    <t>SJTJ19030050</t>
  </si>
  <si>
    <t>SJTJ19030050블루베리믹스필링</t>
  </si>
  <si>
    <t>4/8-1CT견품반출,샘플2CT입고,3/28-입고</t>
  </si>
  <si>
    <t>시노관세사</t>
  </si>
  <si>
    <t>KANEKA IMPROVER CONCENTRATED ST KR2</t>
  </si>
  <si>
    <t>RBD CANOLA OIL</t>
  </si>
  <si>
    <t>CNB0133409</t>
  </si>
  <si>
    <t>6/17-1CT견품반출</t>
  </si>
  <si>
    <t>NSE90800320</t>
  </si>
  <si>
    <t>8/21-1CT견품반출</t>
  </si>
  <si>
    <t>FCLBUS1934004</t>
  </si>
  <si>
    <t>건조크랜베리</t>
  </si>
  <si>
    <t>9/19-1ct견품반출(전량)</t>
  </si>
  <si>
    <t>출고비엘</t>
    <phoneticPr fontId="2" type="noConversion"/>
  </si>
  <si>
    <t>총재고수량(EA)</t>
    <phoneticPr fontId="2" type="noConversion"/>
  </si>
  <si>
    <t>COSU4004784830</t>
    <phoneticPr fontId="2" type="noConversion"/>
  </si>
  <si>
    <t>PJ081HX01</t>
    <phoneticPr fontId="2" type="noConversion"/>
  </si>
  <si>
    <t>SP2102C</t>
    <phoneticPr fontId="2" type="noConversion"/>
  </si>
  <si>
    <t>MAEU608606454</t>
    <phoneticPr fontId="2" type="noConversion"/>
  </si>
  <si>
    <t>F2-MAEU608606454</t>
    <phoneticPr fontId="2" type="noConversion"/>
  </si>
  <si>
    <t>AE1422RE4</t>
    <phoneticPr fontId="2" type="noConversion"/>
  </si>
  <si>
    <t>CA138A</t>
    <phoneticPr fontId="2" type="noConversion"/>
  </si>
  <si>
    <t>PB8220M</t>
    <phoneticPr fontId="2" type="noConversion"/>
  </si>
  <si>
    <t>유통기한</t>
    <phoneticPr fontId="2" type="noConversion"/>
  </si>
  <si>
    <t>사용 팔렛트
입고수량</t>
    <phoneticPr fontId="2" type="noConversion"/>
  </si>
  <si>
    <t>팔렛트 유형</t>
    <phoneticPr fontId="2" type="noConversion"/>
  </si>
  <si>
    <t>ONEYANRC05741400</t>
    <phoneticPr fontId="2" type="noConversion"/>
  </si>
  <si>
    <t>F2-ONEYANRC05741400</t>
    <phoneticPr fontId="2" type="noConversion"/>
  </si>
  <si>
    <t>BB1222RA1</t>
    <phoneticPr fontId="2" type="noConversion"/>
  </si>
  <si>
    <t>Q300F</t>
    <phoneticPr fontId="2" type="noConversion"/>
  </si>
  <si>
    <t>아주</t>
    <phoneticPr fontId="2" type="noConversion"/>
  </si>
  <si>
    <t>KPP</t>
    <phoneticPr fontId="2" type="noConversion"/>
  </si>
  <si>
    <t>팔렛트 보관료</t>
    <phoneticPr fontId="2" type="noConversion"/>
  </si>
  <si>
    <t>팔렛트규격</t>
    <phoneticPr fontId="2" type="noConversion"/>
  </si>
  <si>
    <t>출고팔레트비용</t>
    <phoneticPr fontId="2" type="noConversion"/>
  </si>
  <si>
    <t>재고이관일</t>
    <phoneticPr fontId="2" type="noConversion"/>
  </si>
  <si>
    <t>22/02/10 부터 2창고에서 재고관리</t>
    <phoneticPr fontId="2" type="noConversion"/>
  </si>
  <si>
    <t>15KG설탕</t>
    <phoneticPr fontId="2" type="noConversion"/>
  </si>
  <si>
    <t>참치캔</t>
    <phoneticPr fontId="2" type="noConversion"/>
  </si>
  <si>
    <t>입고</t>
    <phoneticPr fontId="2" type="noConversion"/>
  </si>
  <si>
    <t>사용</t>
    <phoneticPr fontId="2" type="noConversion"/>
  </si>
  <si>
    <t>재고</t>
    <phoneticPr fontId="2" type="noConversion"/>
  </si>
  <si>
    <t>F2-220928</t>
    <phoneticPr fontId="2" type="noConversion"/>
  </si>
  <si>
    <t>XA2124BA8</t>
    <phoneticPr fontId="2" type="noConversion"/>
  </si>
  <si>
    <t>KTMR07</t>
    <phoneticPr fontId="2" type="noConversion"/>
  </si>
  <si>
    <t>부족수량(SHORTAGE)_EA</t>
    <phoneticPr fontId="2" type="noConversion"/>
  </si>
  <si>
    <t>사용 팔렛트_입고수량</t>
    <phoneticPr fontId="2" type="noConversion"/>
  </si>
  <si>
    <t>비보세</t>
    <phoneticPr fontId="2" type="noConversion"/>
  </si>
  <si>
    <t>톤백설탕</t>
    <phoneticPr fontId="2" type="noConversion"/>
  </si>
  <si>
    <t>KMTCPEN0978419(본사)</t>
    <phoneticPr fontId="2" type="noConversion"/>
  </si>
  <si>
    <t>말레이시아</t>
    <phoneticPr fontId="2" type="noConversion"/>
  </si>
  <si>
    <t>MAEU609639096</t>
    <phoneticPr fontId="2" type="noConversion"/>
  </si>
  <si>
    <t>F2-MAEU609639096</t>
    <phoneticPr fontId="2" type="noConversion"/>
  </si>
  <si>
    <t>BA0324BF1</t>
    <phoneticPr fontId="2" type="noConversion"/>
  </si>
  <si>
    <t>BA0824BQ0</t>
    <phoneticPr fontId="2" type="noConversion"/>
  </si>
  <si>
    <t>시노(아주)</t>
    <phoneticPr fontId="2" type="noConversion"/>
  </si>
  <si>
    <t>피아이로지스(아주)</t>
    <phoneticPr fontId="2" type="noConversion"/>
  </si>
  <si>
    <t>세부품목</t>
  </si>
  <si>
    <t>반입수량(EA)</t>
  </si>
  <si>
    <t>반입수량(PLT)</t>
  </si>
  <si>
    <t>파손수량(EA)</t>
  </si>
  <si>
    <t>파손수량(PLT)</t>
  </si>
  <si>
    <t>파손출고수량(EA)</t>
  </si>
  <si>
    <t>출고가능수량(EA)</t>
  </si>
  <si>
    <t>출고가능수량(PLT)</t>
  </si>
  <si>
    <t>총출고수량</t>
  </si>
  <si>
    <t>비고</t>
  </si>
  <si>
    <t/>
  </si>
  <si>
    <t>KMTCPEN0977935(1물류)</t>
    <phoneticPr fontId="2" type="noConversion"/>
  </si>
  <si>
    <t>KMTCPEN0973753(본사)</t>
    <phoneticPr fontId="2" type="noConversion"/>
  </si>
  <si>
    <t>창고</t>
    <phoneticPr fontId="2" type="noConversion"/>
  </si>
  <si>
    <t>KPP PLT</t>
    <phoneticPr fontId="2" type="noConversion"/>
  </si>
  <si>
    <t>해인에프에스(아주 12A)</t>
    <phoneticPr fontId="2" type="noConversion"/>
  </si>
  <si>
    <t>아주12A</t>
    <phoneticPr fontId="2" type="noConversion"/>
  </si>
  <si>
    <t xml:space="preserve"> </t>
    <phoneticPr fontId="2" type="noConversion"/>
  </si>
  <si>
    <t>SMLMBKK4A2564300</t>
    <phoneticPr fontId="2" type="noConversion"/>
  </si>
  <si>
    <t>X100G</t>
    <phoneticPr fontId="2" type="noConversion"/>
  </si>
  <si>
    <t>말레이시아,7/23-파손1EA에서 소분하여 출고</t>
    <phoneticPr fontId="2" type="noConversion"/>
  </si>
  <si>
    <t>BROOMCORN MILLET(광복) 작업비 -22만원</t>
    <phoneticPr fontId="2" type="noConversion"/>
  </si>
  <si>
    <t>프로틴(대호) 작업비 -22만원</t>
    <phoneticPr fontId="2" type="noConversion"/>
  </si>
  <si>
    <t>칩블럭&amp;합판(세종우드텍) 작업비 -28만원</t>
    <phoneticPr fontId="2" type="noConversion"/>
  </si>
  <si>
    <t>ONEYANRE21002800</t>
    <phoneticPr fontId="2" type="noConversion"/>
  </si>
  <si>
    <t>F2-ONEYANRE21002800</t>
    <phoneticPr fontId="2" type="noConversion"/>
  </si>
  <si>
    <t>CJ0224BD0</t>
    <phoneticPr fontId="2" type="noConversion"/>
  </si>
  <si>
    <t>PB0300M</t>
    <phoneticPr fontId="2" type="noConversion"/>
  </si>
  <si>
    <t>홀 커널 스위트콘</t>
    <phoneticPr fontId="2" type="noConversion"/>
  </si>
  <si>
    <t>태국</t>
    <phoneticPr fontId="2" type="noConversion"/>
  </si>
  <si>
    <t>부강 PLT</t>
    <phoneticPr fontId="2" type="noConversion"/>
  </si>
  <si>
    <t>입고</t>
    <phoneticPr fontId="2" type="noConversion"/>
  </si>
  <si>
    <t>사용</t>
    <phoneticPr fontId="2" type="noConversion"/>
  </si>
  <si>
    <t>재고</t>
    <phoneticPr fontId="2" type="noConversion"/>
  </si>
  <si>
    <t>액상-20만원</t>
    <phoneticPr fontId="2" type="noConversion"/>
  </si>
  <si>
    <t>MAEU720464811</t>
    <phoneticPr fontId="2" type="noConversion"/>
  </si>
  <si>
    <t>F2-MAEU720464811</t>
    <phoneticPr fontId="2" type="noConversion"/>
  </si>
  <si>
    <t>DK0511RRN</t>
    <phoneticPr fontId="2" type="noConversion"/>
  </si>
  <si>
    <t>CA7413A</t>
    <phoneticPr fontId="2" type="noConversion"/>
  </si>
  <si>
    <t>산화마그네슘</t>
    <phoneticPr fontId="2" type="noConversion"/>
  </si>
  <si>
    <t>산화마그네슘(에이치투케이)-22만원 보관료 300원 프리 15일</t>
    <phoneticPr fontId="2" type="noConversion"/>
  </si>
  <si>
    <t>HP1886T</t>
    <phoneticPr fontId="2" type="noConversion"/>
  </si>
  <si>
    <t>동결건조 블루베리 분말</t>
    <phoneticPr fontId="2" type="noConversion"/>
  </si>
  <si>
    <t>KMTCPEN1050521 25KG설탕(테너플라이) 데미지 출고시 1장 남음</t>
    <phoneticPr fontId="2" type="noConversion"/>
  </si>
  <si>
    <t>2물류_KPP</t>
    <phoneticPr fontId="2" type="noConversion"/>
  </si>
  <si>
    <t>블루베리 믹스필링</t>
    <phoneticPr fontId="2" type="noConversion"/>
  </si>
  <si>
    <t>HFIBKO24B039 15KG설탕(본음 트레이딩), 15KG설탕(에스에이치 트래이딩) 자투리 출고 후 2장 남음</t>
    <phoneticPr fontId="2" type="noConversion"/>
  </si>
  <si>
    <t>25KG설탕</t>
    <phoneticPr fontId="2" type="noConversion"/>
  </si>
  <si>
    <t>바이탈 밀 글루텐</t>
    <phoneticPr fontId="2" type="noConversion"/>
  </si>
  <si>
    <t>포도당(HYC인터내셔널) 작업비-220,000원 보관료 300원 프리 20일</t>
    <phoneticPr fontId="2" type="noConversion"/>
  </si>
  <si>
    <t>알로에 드럼(엘앤엘) 작업비-230,000원 보관료 430원 프리 15일</t>
    <phoneticPr fontId="2" type="noConversion"/>
  </si>
  <si>
    <t>HFIBKO24B039 자투리 출고 후 3장 남음</t>
    <phoneticPr fontId="2" type="noConversion"/>
  </si>
  <si>
    <t>KMTCLCH4988524 유앤아이 2포 남은것 아주팔레트에 적재</t>
    <phoneticPr fontId="2" type="noConversion"/>
  </si>
  <si>
    <t>자투리 팔레트 출고후 5장 남음</t>
    <phoneticPr fontId="2" type="noConversion"/>
  </si>
  <si>
    <t>MAEU720639431</t>
    <phoneticPr fontId="2" type="noConversion"/>
  </si>
  <si>
    <t>F2-MAEU720639431</t>
    <phoneticPr fontId="2" type="noConversion"/>
  </si>
  <si>
    <t>DM1311RYD</t>
    <phoneticPr fontId="2" type="noConversion"/>
  </si>
  <si>
    <t>DK0711RRT</t>
    <phoneticPr fontId="2" type="noConversion"/>
  </si>
  <si>
    <t>액상-20만원 프리타임 20일 보관료 200원 5월부터 기존재고 일괄적용</t>
    <phoneticPr fontId="2" type="noConversion"/>
  </si>
  <si>
    <t>차마요 PLT</t>
    <phoneticPr fontId="2" type="noConversion"/>
  </si>
  <si>
    <t>A급 입고 25년 1월부터 KPP 사용</t>
    <phoneticPr fontId="2" type="noConversion"/>
  </si>
  <si>
    <t xml:space="preserve"> </t>
    <phoneticPr fontId="2" type="noConversion"/>
  </si>
  <si>
    <t>CKCOTAO7010009</t>
    <phoneticPr fontId="2" type="noConversion"/>
  </si>
  <si>
    <t>제조2025-06-23</t>
    <phoneticPr fontId="2" type="noConversion"/>
  </si>
  <si>
    <t>딸기 다이스</t>
    <phoneticPr fontId="2" type="noConversion"/>
  </si>
  <si>
    <t>ONEYANRF16036600</t>
    <phoneticPr fontId="2" type="noConversion"/>
  </si>
  <si>
    <t>MEDUAK905795</t>
    <phoneticPr fontId="2" type="noConversion"/>
  </si>
  <si>
    <t>F2-MEDUAK905795</t>
    <phoneticPr fontId="2" type="noConversion"/>
  </si>
  <si>
    <t>DM0845F04</t>
    <phoneticPr fontId="2" type="noConversion"/>
  </si>
  <si>
    <t>A2910M</t>
    <phoneticPr fontId="2" type="noConversion"/>
  </si>
  <si>
    <t>CJ0124BC1</t>
    <phoneticPr fontId="2" type="noConversion"/>
  </si>
  <si>
    <t>OOLU2310003500</t>
    <phoneticPr fontId="2" type="noConversion"/>
  </si>
  <si>
    <t>15KG설탕(미미슈가)</t>
    <phoneticPr fontId="2" type="noConversion"/>
  </si>
  <si>
    <t>F2-ONEYANRF16036600</t>
    <phoneticPr fontId="2" type="noConversion"/>
  </si>
  <si>
    <t>F2-250902</t>
    <phoneticPr fontId="2" type="noConversion"/>
  </si>
  <si>
    <t>벌집상자</t>
    <phoneticPr fontId="2" type="noConversion"/>
  </si>
  <si>
    <t>화주-카이신 글로벌</t>
    <phoneticPr fontId="2" type="noConversion"/>
  </si>
  <si>
    <t>PLT당 8,000, 보관료 프리없이 400원</t>
    <phoneticPr fontId="2" type="noConversion"/>
  </si>
  <si>
    <t>ONEYANRF18613900</t>
    <phoneticPr fontId="2" type="noConversion"/>
  </si>
  <si>
    <t>F2-ONEYANRF18613900</t>
    <phoneticPr fontId="2" type="noConversion"/>
  </si>
  <si>
    <t>EE1822RC4</t>
    <phoneticPr fontId="2" type="noConversion"/>
  </si>
  <si>
    <t>정산-OK</t>
    <phoneticPr fontId="2" type="noConversion"/>
  </si>
  <si>
    <t>9/11 HFIBKO249014,DJSCLCH240002427 자투리 출고 후 공팔레트 2장 남음</t>
    <phoneticPr fontId="2" type="noConversion"/>
  </si>
  <si>
    <t>KMTCLCH5332392</t>
    <phoneticPr fontId="2" type="noConversion"/>
  </si>
  <si>
    <t>HDMUBKKA11202400</t>
    <phoneticPr fontId="2" type="noConversion"/>
  </si>
  <si>
    <t>25HDMUC059I-4030-1000</t>
    <phoneticPr fontId="2" type="noConversion"/>
  </si>
  <si>
    <t>25HDMUC059i-4030-2000</t>
    <phoneticPr fontId="2" type="noConversion"/>
  </si>
  <si>
    <t>15KG설탕(명인상사)</t>
    <phoneticPr fontId="2" type="noConversion"/>
  </si>
  <si>
    <t>말레이시아,10/31-2백 보상완료 10월 재고에서 제외요청,재고이동9/27</t>
    <phoneticPr fontId="2" type="noConversion"/>
  </si>
  <si>
    <t>KMTCLCH5353069</t>
    <phoneticPr fontId="2" type="noConversion"/>
  </si>
  <si>
    <t>25KG설탕(엠에스에프원)</t>
    <phoneticPr fontId="2" type="noConversion"/>
  </si>
  <si>
    <t>ONEYANRF22416500</t>
    <phoneticPr fontId="2" type="noConversion"/>
  </si>
  <si>
    <t>F2-ONEYANRF22416500</t>
    <phoneticPr fontId="2" type="noConversion"/>
  </si>
  <si>
    <t>EA1522RC2</t>
    <phoneticPr fontId="2" type="noConversion"/>
  </si>
  <si>
    <t>블루컬러</t>
    <phoneticPr fontId="2" type="noConversion"/>
  </si>
  <si>
    <t>샤니성남</t>
  </si>
  <si>
    <t>WTAOINC25103014</t>
    <phoneticPr fontId="2" type="noConversion"/>
  </si>
  <si>
    <t>제조2025-09-26</t>
    <phoneticPr fontId="2" type="noConversion"/>
  </si>
  <si>
    <t>반품</t>
    <phoneticPr fontId="2" type="noConversion"/>
  </si>
  <si>
    <t>25HASL1780i-0014-2000</t>
    <phoneticPr fontId="2" type="noConversion"/>
  </si>
  <si>
    <t>11/7-2캔 수거(식약처)</t>
    <phoneticPr fontId="2" type="noConversion"/>
  </si>
  <si>
    <t>KMTCLCH5388843</t>
    <phoneticPr fontId="2" type="noConversion"/>
  </si>
  <si>
    <t>CPC0259124</t>
    <phoneticPr fontId="2" type="noConversion"/>
  </si>
  <si>
    <t>후르츠 칵테일 3KG</t>
    <phoneticPr fontId="2" type="noConversion"/>
  </si>
  <si>
    <t>실화주-에이치투케이</t>
    <phoneticPr fontId="2" type="noConversion"/>
  </si>
  <si>
    <t>아주</t>
    <phoneticPr fontId="2" type="noConversion"/>
  </si>
  <si>
    <t>MAEU257789982</t>
    <phoneticPr fontId="2" type="noConversion"/>
  </si>
  <si>
    <t>벌집상자(450G)-불량</t>
    <phoneticPr fontId="2" type="noConversion"/>
  </si>
  <si>
    <t>벌집상자(450G)</t>
    <phoneticPr fontId="2" type="noConversion"/>
  </si>
  <si>
    <t>648KG</t>
    <phoneticPr fontId="2" type="noConversion"/>
  </si>
  <si>
    <t>630kg(4plt), 702kg, 720kg</t>
    <phoneticPr fontId="2" type="noConversion"/>
  </si>
  <si>
    <t>HASLS22251001288</t>
    <phoneticPr fontId="2" type="noConversion"/>
  </si>
  <si>
    <t>아주</t>
    <phoneticPr fontId="2" type="noConversion"/>
  </si>
  <si>
    <t>2029-08</t>
    <phoneticPr fontId="2" type="noConversion"/>
  </si>
  <si>
    <t>EGLV090500250193</t>
    <phoneticPr fontId="2" type="noConversion"/>
  </si>
  <si>
    <t>아주12A</t>
    <phoneticPr fontId="2" type="noConversion"/>
  </si>
  <si>
    <t>25KG설탕(씨엔트레이드)</t>
    <phoneticPr fontId="2" type="noConversion"/>
  </si>
  <si>
    <t>25EVER6047i-0414-1000</t>
    <phoneticPr fontId="2" type="noConversion"/>
  </si>
  <si>
    <t>KMTCLCH5430307</t>
    <phoneticPr fontId="2" type="noConversion"/>
  </si>
  <si>
    <t>아주</t>
    <phoneticPr fontId="2" type="noConversion"/>
  </si>
  <si>
    <t>실화주-우리와</t>
    <phoneticPr fontId="2" type="noConversion"/>
  </si>
  <si>
    <t>DFS064042097</t>
    <phoneticPr fontId="2" type="noConversion"/>
  </si>
  <si>
    <t>LCL</t>
    <phoneticPr fontId="2" type="noConversion"/>
  </si>
  <si>
    <t>화주-카이신 글로벌</t>
    <phoneticPr fontId="2" type="noConversion"/>
  </si>
  <si>
    <t>HONEYCOMB</t>
    <phoneticPr fontId="2" type="noConversion"/>
  </si>
  <si>
    <t>토호식품</t>
  </si>
  <si>
    <t>15KG설탕(씨에치홀딩스)</t>
    <phoneticPr fontId="2" type="noConversion"/>
  </si>
  <si>
    <t>2/3-2EA(식약처)</t>
    <phoneticPr fontId="2" type="noConversion"/>
  </si>
  <si>
    <t>HASLS22251201299(HFIBKO25C0B4)</t>
    <phoneticPr fontId="2" type="noConversion"/>
  </si>
  <si>
    <t>단무지(슬)</t>
  </si>
  <si>
    <t>샌기리(채)</t>
  </si>
  <si>
    <t>샌기리(알밥)</t>
  </si>
  <si>
    <t>세종우드텍</t>
  </si>
  <si>
    <t>SMLMBKK6A0065600</t>
    <phoneticPr fontId="2" type="noConversion"/>
  </si>
  <si>
    <t>2물류</t>
    <phoneticPr fontId="2" type="noConversion"/>
  </si>
  <si>
    <t>2/9~2/11-3일작업, 보세반입일2/12(오버수량확인으로인한지연)</t>
    <phoneticPr fontId="2" type="noConversion"/>
  </si>
  <si>
    <t>아주</t>
    <phoneticPr fontId="2" type="noConversion"/>
  </si>
  <si>
    <t>쯔보즈케</t>
  </si>
  <si>
    <t>매콤한단무지</t>
  </si>
  <si>
    <t>COAU7265664230</t>
    <phoneticPr fontId="2" type="noConversion"/>
  </si>
  <si>
    <t>아주12A</t>
    <phoneticPr fontId="2" type="noConversion"/>
  </si>
  <si>
    <t>핑크솔트25KG(2-5mm)</t>
    <phoneticPr fontId="2" type="noConversion"/>
  </si>
  <si>
    <t>핑크솔트25KG(20-50mesh)</t>
    <phoneticPr fontId="2" type="noConversion"/>
  </si>
  <si>
    <t>HASLS22251201659</t>
    <phoneticPr fontId="2" type="noConversion"/>
  </si>
  <si>
    <t>시노명인(kpp)</t>
    <phoneticPr fontId="2" type="noConversion"/>
  </si>
  <si>
    <t>시노티알(kpp)</t>
    <phoneticPr fontId="2" type="noConversion"/>
  </si>
  <si>
    <t>2/26-10포에서 소분하여 검체(식약처),3포 추가입고</t>
    <phoneticPr fontId="2" type="noConversion"/>
  </si>
  <si>
    <t>2026년 2월 입고건부터 보관료 330원 프리20일 적용</t>
    <phoneticPr fontId="2" type="noConversion"/>
  </si>
  <si>
    <t>DJSCLCH260000246</t>
    <phoneticPr fontId="2" type="noConversion"/>
  </si>
  <si>
    <t>3개 추가입고,2/27-1포 소분(견품반출)</t>
    <phoneticPr fontId="2" type="noConversion"/>
  </si>
  <si>
    <t>2개 추가입고,2/27-1포 소분(견품반출)</t>
    <phoneticPr fontId="2" type="noConversion"/>
  </si>
  <si>
    <t>15KG설탕(엠에스에프원)</t>
    <phoneticPr fontId="2" type="noConversion"/>
  </si>
  <si>
    <t>CKCODLC0019487</t>
    <phoneticPr fontId="2" type="noConversion"/>
  </si>
  <si>
    <t>WTAOINC26033002</t>
    <phoneticPr fontId="2" type="noConversion"/>
  </si>
  <si>
    <t>HASLS22260100473</t>
    <phoneticPr fontId="2" type="noConversion"/>
  </si>
  <si>
    <t>3/5-10포에서 소분하여 검체(식약처)</t>
    <phoneticPr fontId="2" type="noConversion"/>
  </si>
  <si>
    <t>15KG설탕(비정제원당_부리람)</t>
    <phoneticPr fontId="2" type="noConversion"/>
  </si>
  <si>
    <t>SMLMBKK6A0309700</t>
    <phoneticPr fontId="2" type="noConversion"/>
  </si>
  <si>
    <t>3/10-내국전환2026-003</t>
    <phoneticPr fontId="2" type="noConversion"/>
  </si>
  <si>
    <t>PNCHCM2501038</t>
    <phoneticPr fontId="2" type="noConversion"/>
  </si>
  <si>
    <t>1박스=10봉,3/5-5봉 수거(식약처, 5지점에서 1봉씩 5봉 수거),3/6-1봉 개봉(식물검역)ㅡ&gt;1박스 데미지로 정리</t>
    <phoneticPr fontId="2" type="noConversion"/>
  </si>
  <si>
    <t>F2-HASLS22260201501</t>
    <phoneticPr fontId="2" type="noConversion"/>
  </si>
  <si>
    <t>SMLMBKK6A0310600</t>
    <phoneticPr fontId="2" type="noConversion"/>
  </si>
  <si>
    <t>대성케미텍</t>
  </si>
  <si>
    <t>SMLMBKK6A0528300</t>
    <phoneticPr fontId="2" type="noConversion"/>
  </si>
  <si>
    <t>CKCOBKK0044293</t>
    <phoneticPr fontId="2" type="noConversion"/>
  </si>
  <si>
    <t>파리대구</t>
  </si>
  <si>
    <t>KMTCLCH5557026</t>
    <phoneticPr fontId="2" type="noConversion"/>
  </si>
  <si>
    <t>25KG설탕(엘리트티앤에스)</t>
    <phoneticPr fontId="2" type="noConversion"/>
  </si>
  <si>
    <t>실화주-씨에치홀딩스</t>
    <phoneticPr fontId="2" type="noConversion"/>
  </si>
  <si>
    <t>비보세,통관후반입</t>
  </si>
  <si>
    <t>KMTCLCH5550031</t>
    <phoneticPr fontId="2" type="noConversion"/>
  </si>
  <si>
    <t>15KG설탕(카이신)</t>
    <phoneticPr fontId="2" type="noConversion"/>
  </si>
  <si>
    <t>실화주-엘리트</t>
    <phoneticPr fontId="2" type="noConversion"/>
  </si>
  <si>
    <t>KMTCPEN1108799</t>
    <phoneticPr fontId="2" type="noConversion"/>
  </si>
  <si>
    <t>4/3-5포에서 소분하여 수거(식약처)</t>
    <phoneticPr fontId="2" type="noConversion"/>
  </si>
  <si>
    <t>4/3-8포에서 소분하여 수거(식약처)</t>
    <phoneticPr fontId="2" type="noConversion"/>
  </si>
  <si>
    <t>MEDUW6796306</t>
    <phoneticPr fontId="2" type="noConversion"/>
  </si>
  <si>
    <t>F2-MEDUW6796306</t>
    <phoneticPr fontId="2" type="noConversion"/>
  </si>
  <si>
    <t>EG2924BA3</t>
    <phoneticPr fontId="2" type="noConversion"/>
  </si>
  <si>
    <t>EH2224BA0</t>
    <phoneticPr fontId="2" type="noConversion"/>
  </si>
  <si>
    <t>아주</t>
    <phoneticPr fontId="2" type="noConversion"/>
  </si>
  <si>
    <t>KMTCLCH5560733</t>
    <phoneticPr fontId="2" type="noConversion"/>
  </si>
  <si>
    <t>F2-KMTCLCH5560733</t>
    <phoneticPr fontId="2" type="noConversion"/>
  </si>
  <si>
    <t>KMTCLCH5550845</t>
    <phoneticPr fontId="2" type="noConversion"/>
  </si>
  <si>
    <t>실화주-엘앤엘</t>
    <phoneticPr fontId="2" type="noConversion"/>
  </si>
  <si>
    <t>G3S6626030104</t>
    <phoneticPr fontId="2" type="noConversion"/>
  </si>
  <si>
    <t>CKCOBKK0044593</t>
    <phoneticPr fontId="2" type="noConversion"/>
  </si>
  <si>
    <t>3/23-3박스에서 2캔씩 총6캔 수거ㅡ&gt;1박스 재고제서 제외완료</t>
    <phoneticPr fontId="2" type="noConversion"/>
  </si>
  <si>
    <t>삼립시화</t>
  </si>
  <si>
    <t>비보세,굳은현상이 발견</t>
    <phoneticPr fontId="2" type="noConversion"/>
  </si>
  <si>
    <t>비보세</t>
    <phoneticPr fontId="2" type="noConversion"/>
  </si>
  <si>
    <t>KMTCLCH5562999</t>
    <phoneticPr fontId="2" type="noConversion"/>
  </si>
  <si>
    <t>후르츠칵테일</t>
    <phoneticPr fontId="2" type="noConversion"/>
  </si>
  <si>
    <t>HASLS22260300563</t>
  </si>
  <si>
    <t>DTECH 10L NAOX PET FOOD 샘플(액상)</t>
  </si>
  <si>
    <t>MAEU267673776</t>
    <phoneticPr fontId="2" type="noConversion"/>
  </si>
  <si>
    <t>4/22 SNKO190251203432 파손품 출고시 1장 남음</t>
    <phoneticPr fontId="2" type="noConversion"/>
  </si>
  <si>
    <t>HASLS22260202130</t>
    <phoneticPr fontId="2" type="noConversion"/>
  </si>
  <si>
    <t>칩블럭</t>
    <phoneticPr fontId="2" type="noConversion"/>
  </si>
  <si>
    <t>KPP PLT (더블)</t>
    <phoneticPr fontId="2" type="noConversion"/>
  </si>
  <si>
    <t>아주 PLT(삼보)</t>
    <phoneticPr fontId="2" type="noConversion"/>
  </si>
  <si>
    <t>HASLS22260201971(HFIBKO264002)</t>
    <phoneticPr fontId="2" type="noConversion"/>
  </si>
  <si>
    <t>15KG설탕(화인비)</t>
    <phoneticPr fontId="2" type="noConversion"/>
  </si>
  <si>
    <t>DDCLADE176010</t>
    <phoneticPr fontId="2" type="noConversion"/>
  </si>
  <si>
    <t>KPP 22장 + 일반 8장</t>
    <phoneticPr fontId="2" type="noConversion"/>
  </si>
  <si>
    <t>4/28-10포에서 소분하여 수거(식약처)</t>
    <phoneticPr fontId="2" type="noConversion"/>
  </si>
  <si>
    <t>시노티알(kpp EL14)</t>
    <phoneticPr fontId="2" type="noConversion"/>
  </si>
  <si>
    <t>HASLS22260300563</t>
    <phoneticPr fontId="2" type="noConversion"/>
  </si>
  <si>
    <t>DTECH 10L NAOX PET FOOD(액상)</t>
    <phoneticPr fontId="2" type="noConversion"/>
  </si>
  <si>
    <t>카이신 입고 PLT당 8,000, 보관료 프리없이 400원</t>
    <phoneticPr fontId="2" type="noConversion"/>
  </si>
  <si>
    <t>F2-DJSCLCH260000982</t>
    <phoneticPr fontId="2" type="noConversion"/>
  </si>
  <si>
    <t>5/6 DJSCLCH260000246 불란집 72ea 팔레트 없이 출고</t>
    <phoneticPr fontId="2" type="noConversion"/>
  </si>
  <si>
    <t>파리성남</t>
  </si>
  <si>
    <t>SNKO190260302313</t>
    <phoneticPr fontId="2" type="noConversion"/>
  </si>
  <si>
    <t>MEDUW6780045</t>
    <phoneticPr fontId="2" type="noConversion"/>
  </si>
  <si>
    <t>2물류_KPP EL14</t>
    <phoneticPr fontId="2" type="noConversion"/>
  </si>
  <si>
    <t>50KG설탕</t>
    <phoneticPr fontId="2" type="noConversion"/>
  </si>
  <si>
    <t>5/8 DJSCLCH260000246 자투리 출고 후 1장 남음</t>
    <phoneticPr fontId="2" type="noConversion"/>
  </si>
  <si>
    <t>연질팔레트</t>
    <phoneticPr fontId="2" type="noConversion"/>
  </si>
  <si>
    <t>KMTCKHI0692807</t>
    <phoneticPr fontId="2" type="noConversion"/>
  </si>
  <si>
    <t>아주12A</t>
    <phoneticPr fontId="2" type="noConversion"/>
  </si>
  <si>
    <t>핑크솔트</t>
    <phoneticPr fontId="2" type="noConversion"/>
  </si>
  <si>
    <t>KMTCLCH5607649</t>
    <phoneticPr fontId="2" type="noConversion"/>
  </si>
  <si>
    <t>15KG설탕(원물산)</t>
    <phoneticPr fontId="2" type="noConversion"/>
  </si>
  <si>
    <t>KMTCLCH5607649</t>
    <phoneticPr fontId="2" type="noConversion"/>
  </si>
  <si>
    <t>15KG설탕(비정제원당)</t>
    <phoneticPr fontId="2" type="noConversion"/>
  </si>
  <si>
    <t>HASLS22260302170</t>
  </si>
  <si>
    <t>DTECH 12L NAOX PET FOOD 샘플(액상)</t>
  </si>
  <si>
    <t>KMTCLCH5603441</t>
    <phoneticPr fontId="2" type="noConversion"/>
  </si>
  <si>
    <t>15KG설탕(우리에프엠)</t>
    <phoneticPr fontId="2" type="noConversion"/>
  </si>
  <si>
    <t>SNLGLCKL013611</t>
    <phoneticPr fontId="2" type="noConversion"/>
  </si>
  <si>
    <t>F2-SNLGLCKL013611</t>
    <phoneticPr fontId="2" type="noConversion"/>
  </si>
  <si>
    <t>4포 추가입고,5/15-1포 소분하여 수거(견품반출)</t>
    <phoneticPr fontId="2" type="noConversion"/>
  </si>
  <si>
    <t>DTECH 12L NAOX PET FOOD(액상)</t>
    <phoneticPr fontId="2" type="noConversion"/>
  </si>
  <si>
    <t>HASLS22260302170</t>
    <phoneticPr fontId="2" type="noConversion"/>
  </si>
  <si>
    <t>NSSLLCICC2600180</t>
    <phoneticPr fontId="2" type="noConversion"/>
  </si>
  <si>
    <t>5/21 양봉금산 10포 출고시 적재</t>
    <phoneticPr fontId="2" type="noConversion"/>
  </si>
  <si>
    <t>SNKO190260300395(본사)</t>
    <phoneticPr fontId="2" type="noConversion"/>
  </si>
  <si>
    <t>5/11-1캔 수거(식약처)</t>
    <phoneticPr fontId="2" type="noConversion"/>
  </si>
  <si>
    <t>KMTCLCH5575781(본사)</t>
    <phoneticPr fontId="2" type="noConversion"/>
  </si>
  <si>
    <t>SNKO190260400823</t>
    <phoneticPr fontId="2" type="noConversion"/>
  </si>
  <si>
    <t>본사_KPP</t>
  </si>
  <si>
    <t>2물류_KPP</t>
  </si>
  <si>
    <t>KMTCBKK3857878</t>
    <phoneticPr fontId="2" type="noConversion"/>
  </si>
  <si>
    <t>톤백설탕(애이투지엠)</t>
    <phoneticPr fontId="2" type="noConversion"/>
  </si>
  <si>
    <t>청주 - AT면역</t>
  </si>
  <si>
    <t>KMTCLCH5629344</t>
    <phoneticPr fontId="2" type="noConversion"/>
  </si>
  <si>
    <t>15KG설탕(씨엔)</t>
    <phoneticPr fontId="2" type="noConversion"/>
  </si>
  <si>
    <t>KMTCBKK3857878</t>
    <phoneticPr fontId="2" type="noConversion"/>
  </si>
  <si>
    <t>SMLMBKK6A1634200</t>
    <phoneticPr fontId="2" type="noConversion"/>
  </si>
  <si>
    <t>26TSLUC059i-0010-0002</t>
    <phoneticPr fontId="2" type="noConversion"/>
  </si>
  <si>
    <t>백단무지(슬)</t>
  </si>
  <si>
    <t>PLIPH4H00211</t>
    <phoneticPr fontId="2" type="noConversion"/>
  </si>
  <si>
    <t>CPC0270678</t>
    <phoneticPr fontId="2" type="noConversion"/>
  </si>
  <si>
    <t>454610011640</t>
  </si>
  <si>
    <t>커스터드</t>
  </si>
  <si>
    <t>명인검은색팔레트 사용</t>
    <phoneticPr fontId="2" type="noConversion"/>
  </si>
  <si>
    <t>SJTJ26050065</t>
    <phoneticPr fontId="2" type="noConversion"/>
  </si>
  <si>
    <t>실화주-스케일테크놀로지</t>
    <phoneticPr fontId="2" type="noConversion"/>
  </si>
  <si>
    <t>동광플라텍㈜</t>
  </si>
  <si>
    <t>내국2026-004</t>
    <phoneticPr fontId="2" type="noConversion"/>
  </si>
  <si>
    <t>26NSSLE011i-3016-0002</t>
    <phoneticPr fontId="2" type="noConversion"/>
  </si>
  <si>
    <t>KPP 30장</t>
    <phoneticPr fontId="2" type="noConversion"/>
  </si>
  <si>
    <t>6/1-1캔 수거(식약처)</t>
    <phoneticPr fontId="2" type="noConversion"/>
  </si>
  <si>
    <t>KMTCSWA0400494</t>
    <phoneticPr fontId="2" type="noConversion"/>
  </si>
  <si>
    <t>HFIBKO26500E</t>
    <phoneticPr fontId="2" type="noConversion"/>
  </si>
  <si>
    <t>누들</t>
    <phoneticPr fontId="2" type="noConversion"/>
  </si>
  <si>
    <t>012605QN5INC0838</t>
    <phoneticPr fontId="2" type="noConversion"/>
  </si>
  <si>
    <t>대상다이브스 (논산)</t>
  </si>
  <si>
    <t>DDCLADE187002</t>
    <phoneticPr fontId="2" type="noConversion"/>
  </si>
  <si>
    <t>COHEAR657YN094A_F</t>
    <phoneticPr fontId="2" type="noConversion"/>
  </si>
  <si>
    <t>6월, 작업비 및 운송료 청구, 작업비35만원 청구,보관료800(프리타임없음)</t>
    <phoneticPr fontId="2" type="noConversion"/>
  </si>
  <si>
    <t>15KG설탕(부리람슈가_사료용)</t>
    <phoneticPr fontId="2" type="noConversion"/>
  </si>
  <si>
    <t>EGLV050600583438</t>
    <phoneticPr fontId="2" type="noConversion"/>
  </si>
  <si>
    <t>F2-EGLV050600583438</t>
    <phoneticPr fontId="2" type="noConversion"/>
  </si>
  <si>
    <t>HIJINH26052001</t>
    <phoneticPr fontId="2" type="noConversion"/>
  </si>
  <si>
    <t>5/29-1캔 수거(식약처)</t>
    <phoneticPr fontId="2" type="noConversion"/>
  </si>
  <si>
    <t>SNKO190260400823</t>
    <phoneticPr fontId="2" type="noConversion"/>
  </si>
  <si>
    <t>HFIBKO26500E</t>
    <phoneticPr fontId="2" type="noConversion"/>
  </si>
  <si>
    <t>454610011640</t>
    <phoneticPr fontId="2" type="noConversion"/>
  </si>
  <si>
    <t>DFS064037587</t>
    <phoneticPr fontId="2" type="noConversion"/>
  </si>
  <si>
    <t>KMTCSWA0400591</t>
    <phoneticPr fontId="2" type="noConversion"/>
  </si>
  <si>
    <t>주식회사 엠보틀</t>
  </si>
  <si>
    <t>㈜아진화학</t>
  </si>
  <si>
    <t>SNKO190260400328</t>
    <phoneticPr fontId="2" type="noConversion"/>
  </si>
  <si>
    <t>26DJSC792Ci-3002-0002</t>
    <phoneticPr fontId="2" type="noConversion"/>
  </si>
  <si>
    <t>SNKO190260400328(본사)</t>
    <phoneticPr fontId="2" type="noConversion"/>
  </si>
  <si>
    <t>26DJSC792Ci-3002-0001</t>
    <phoneticPr fontId="2" type="noConversion"/>
  </si>
  <si>
    <t>26TSLUC059i-0010-0001</t>
    <phoneticPr fontId="2" type="noConversion"/>
  </si>
  <si>
    <t>DJSCBKK260001111</t>
  </si>
  <si>
    <t>실화주-대한사료</t>
    <phoneticPr fontId="2" type="noConversion"/>
  </si>
  <si>
    <t>DTECH 10L NAOX PET FOOD(액상)</t>
  </si>
  <si>
    <t>백초생강3KG*4EA</t>
  </si>
  <si>
    <t>적초생강</t>
  </si>
  <si>
    <t>백초생강(채)</t>
  </si>
  <si>
    <t>백초생강(채)5KG*2EA</t>
  </si>
  <si>
    <t>적초생강(채)</t>
  </si>
  <si>
    <t>공박스</t>
  </si>
  <si>
    <t>HIJINH26052701</t>
    <phoneticPr fontId="2" type="noConversion"/>
  </si>
  <si>
    <t>COHEAR661YN083A_B</t>
    <phoneticPr fontId="2" type="noConversion"/>
  </si>
  <si>
    <t>SMLMBKK6A1642100(본사)</t>
    <phoneticPr fontId="2" type="noConversion"/>
  </si>
  <si>
    <t>경기도 일산</t>
  </si>
  <si>
    <t>SMLMBKK6A1912100</t>
    <phoneticPr fontId="2" type="noConversion"/>
  </si>
  <si>
    <t>GXAUS26052399</t>
    <phoneticPr fontId="2" type="noConversion"/>
  </si>
  <si>
    <t>PLIPH4H00226</t>
    <phoneticPr fontId="2" type="noConversion"/>
  </si>
  <si>
    <t>본사_아주</t>
    <phoneticPr fontId="2" type="noConversion"/>
  </si>
  <si>
    <t>스케일테크놀러지 BL-454610011640 25장 사용</t>
    <phoneticPr fontId="2" type="noConversion"/>
  </si>
  <si>
    <t>6/12-1캔 수거(식약처)</t>
    <phoneticPr fontId="2" type="noConversion"/>
  </si>
  <si>
    <t>6/15 출고시 같이 상차</t>
    <phoneticPr fontId="2" type="noConversion"/>
  </si>
  <si>
    <t>KMTCLCH5649563</t>
    <phoneticPr fontId="2" type="noConversion"/>
  </si>
  <si>
    <t>CKCOBKK0045524</t>
    <phoneticPr fontId="2" type="noConversion"/>
  </si>
  <si>
    <t>SNKO190260400330(본사)</t>
    <phoneticPr fontId="2" type="noConversion"/>
  </si>
  <si>
    <t>본사_KPP</t>
    <phoneticPr fontId="2" type="noConversion"/>
  </si>
  <si>
    <t>15KG설탕(사료용_아주)</t>
    <phoneticPr fontId="2" type="noConversion"/>
  </si>
  <si>
    <t>15KG설탕(사료용_KPP)</t>
    <phoneticPr fontId="2" type="noConversion"/>
  </si>
  <si>
    <t>ONEYGOAG08782700</t>
    <phoneticPr fontId="2" type="noConversion"/>
  </si>
  <si>
    <t>F2-ONEYGOAG08782700</t>
    <phoneticPr fontId="2" type="noConversion"/>
  </si>
  <si>
    <t>EL2311RUP</t>
    <phoneticPr fontId="2" type="noConversion"/>
  </si>
  <si>
    <t>6/18 정경미(춘천) 36포 출고시 사용</t>
    <phoneticPr fontId="2" type="noConversion"/>
  </si>
  <si>
    <t>CKCOLCH0053278</t>
    <phoneticPr fontId="2" type="noConversion"/>
  </si>
  <si>
    <t>가평 - 삼진</t>
  </si>
  <si>
    <t>KMTCLCH5655733</t>
    <phoneticPr fontId="2" type="noConversion"/>
  </si>
  <si>
    <t>본사 SNKO190260400328  부족분 2장 전달</t>
    <phoneticPr fontId="2" type="noConversion"/>
  </si>
  <si>
    <t>F2-KMTCLCH5655437</t>
    <phoneticPr fontId="2" type="noConversion"/>
  </si>
  <si>
    <t>012606EW8INC0214</t>
    <phoneticPr fontId="2" type="noConversion"/>
  </si>
  <si>
    <t>칩블럭</t>
  </si>
  <si>
    <t>SJTJ26060025</t>
    <phoneticPr fontId="2" type="noConversion"/>
  </si>
  <si>
    <t>ONEYGOAG08777400</t>
    <phoneticPr fontId="2" type="noConversion"/>
  </si>
  <si>
    <t>F2-ONEYGOAG08777400</t>
    <phoneticPr fontId="2" type="noConversion"/>
  </si>
  <si>
    <t>EJ0511RRJ</t>
    <phoneticPr fontId="2" type="noConversion"/>
  </si>
  <si>
    <t>CA02A</t>
    <phoneticPr fontId="2" type="noConversion"/>
  </si>
  <si>
    <t>샌드팜 시화</t>
  </si>
  <si>
    <t>백초생강</t>
  </si>
  <si>
    <t>1봉</t>
    <phoneticPr fontId="2" type="noConversion"/>
  </si>
  <si>
    <t>시노명인(아주-사료용)</t>
    <phoneticPr fontId="2" type="noConversion"/>
  </si>
  <si>
    <t>HASLS22260401559</t>
    <phoneticPr fontId="2" type="noConversion"/>
  </si>
  <si>
    <t>15KG설탕(엘앤엘)</t>
    <phoneticPr fontId="2" type="noConversion"/>
  </si>
  <si>
    <t>옥수수국수 400G*25BAG/CTN</t>
  </si>
  <si>
    <t>옥수수국수 1KG*10BAG/CT</t>
  </si>
  <si>
    <t>1포(소분) 견품반출</t>
    <phoneticPr fontId="2" type="noConversion"/>
  </si>
  <si>
    <t>HFIBKO265025</t>
    <phoneticPr fontId="2" type="noConversion"/>
  </si>
  <si>
    <t>2물류_KPP</t>
    <phoneticPr fontId="2" type="noConversion"/>
  </si>
  <si>
    <t>26TSLUC071i-2057-0002</t>
    <phoneticPr fontId="2" type="noConversion"/>
  </si>
  <si>
    <t>COHEAR675YN091C</t>
  </si>
  <si>
    <t>COHEAR675YN091E</t>
  </si>
  <si>
    <t>COHEAR675YN091H</t>
  </si>
  <si>
    <t>COHEAR675YN091I</t>
  </si>
  <si>
    <t>소이빈 밀크 파우더</t>
  </si>
  <si>
    <t>향라맛 따콴펀</t>
  </si>
  <si>
    <t>마장맛 둔분</t>
  </si>
  <si>
    <t>카오렁미엔(Grilled Cold Noodles)</t>
  </si>
  <si>
    <t>오징어(오리지널_35G)</t>
  </si>
  <si>
    <t>오징어(향라맛_25G)</t>
  </si>
  <si>
    <t>오징어(향라맛_68G)</t>
  </si>
  <si>
    <t>호인가_쉐이주위</t>
  </si>
  <si>
    <t>호인가_마라샹궈</t>
  </si>
  <si>
    <t>호인가_마파두부용소스</t>
  </si>
  <si>
    <t>호인가 청유훠궈소스</t>
  </si>
  <si>
    <t>호인가_토마토소스</t>
  </si>
  <si>
    <t>호인가_청유훠궈소스</t>
  </si>
  <si>
    <t>호인가_마라탕소스</t>
  </si>
  <si>
    <t>마라소스</t>
  </si>
  <si>
    <t>오향맛소스</t>
  </si>
  <si>
    <t>012606HW4INC0092</t>
    <phoneticPr fontId="2" type="noConversion"/>
  </si>
  <si>
    <t>24EA*3PL+28EA*1PL</t>
    <phoneticPr fontId="2" type="noConversion"/>
  </si>
  <si>
    <t>COHEAR675YN091A</t>
    <phoneticPr fontId="2" type="noConversion"/>
  </si>
  <si>
    <t>COHEAR675YN091E</t>
    <phoneticPr fontId="2" type="noConversion"/>
  </si>
  <si>
    <t>정성가득 통팥앙금</t>
    <phoneticPr fontId="2" type="noConversion"/>
  </si>
  <si>
    <t>SMLMBKK6A2612600</t>
    <phoneticPr fontId="2" type="noConversion"/>
  </si>
  <si>
    <t>15KG설탕(부리람슈가코리아_사료용)</t>
    <phoneticPr fontId="2" type="noConversion"/>
  </si>
  <si>
    <t>2물류_KPP</t>
    <phoneticPr fontId="2" type="noConversion"/>
  </si>
  <si>
    <t>26PoBUBG85i-1006-0002</t>
    <phoneticPr fontId="2" type="noConversion"/>
  </si>
  <si>
    <t>26PoBUBG85i-1006-0001</t>
    <phoneticPr fontId="2" type="noConversion"/>
  </si>
  <si>
    <t>15KG설탕(미미슈가_식품용)</t>
    <phoneticPr fontId="2" type="noConversion"/>
  </si>
  <si>
    <t>2물류_아주</t>
    <phoneticPr fontId="2" type="noConversion"/>
  </si>
  <si>
    <t>COHEAR675YN091C</t>
    <phoneticPr fontId="2" type="noConversion"/>
  </si>
  <si>
    <t>COHEAR675YN091D</t>
    <phoneticPr fontId="2" type="noConversion"/>
  </si>
  <si>
    <t>매듭곤약향라맛</t>
    <phoneticPr fontId="2" type="noConversion"/>
  </si>
  <si>
    <t>KMTCLCH5603441 15KG설탕(우리에프엠) 4포(정상품) 자투리-1장, 6포(파손품) 자투리 1장 이대호팀장님 픽업하여 2장 남음</t>
    <phoneticPr fontId="2" type="noConversion"/>
  </si>
  <si>
    <t>간지,비닐작업</t>
    <phoneticPr fontId="2" type="noConversion"/>
  </si>
  <si>
    <t>향균합판(11MM)</t>
    <phoneticPr fontId="2" type="noConversion"/>
  </si>
  <si>
    <t>JCSCFE759E029</t>
    <phoneticPr fontId="2" type="noConversion"/>
  </si>
  <si>
    <t>COHEAR675YN091I</t>
    <phoneticPr fontId="2" type="noConversion"/>
  </si>
  <si>
    <t>HASLS22260401559</t>
    <phoneticPr fontId="2" type="noConversion"/>
  </si>
  <si>
    <t>26TSLUC071i-2057-0001</t>
    <phoneticPr fontId="2" type="noConversion"/>
  </si>
  <si>
    <t>HASLS22260401559 15KG설탕(화인비) 자투리 출고 후 1장 남음</t>
    <phoneticPr fontId="2" type="noConversion"/>
  </si>
  <si>
    <t>옥수수국수 2.5KG*4BAG/CTN</t>
    <phoneticPr fontId="2" type="noConversion"/>
  </si>
  <si>
    <t>티에스사료</t>
  </si>
  <si>
    <t>SMLMBKK6A2612600</t>
    <phoneticPr fontId="2" type="noConversion"/>
  </si>
  <si>
    <t>F2-KMTCLCH5655437</t>
    <phoneticPr fontId="2" type="noConversion"/>
  </si>
  <si>
    <t>HFIBKO266013</t>
  </si>
  <si>
    <t>15KG설탕(명진)</t>
    <phoneticPr fontId="2" type="noConversion"/>
  </si>
  <si>
    <t>ONEYANRG06354900</t>
    <phoneticPr fontId="2" type="noConversion"/>
  </si>
  <si>
    <t>F2-ONEYANRG06354900</t>
    <phoneticPr fontId="2" type="noConversion"/>
  </si>
  <si>
    <t>FB2222RA3</t>
    <phoneticPr fontId="2" type="noConversion"/>
  </si>
  <si>
    <t>파손품 보상건</t>
    <phoneticPr fontId="2" type="noConversion"/>
  </si>
  <si>
    <t>DDCLADE193031</t>
    <phoneticPr fontId="2" type="noConversion"/>
  </si>
  <si>
    <t>㈜비앤에프엘앤씨</t>
  </si>
  <si>
    <t>대전 - 제일사료</t>
  </si>
  <si>
    <t>천안 - 대상</t>
    <phoneticPr fontId="2" type="noConversion"/>
  </si>
  <si>
    <t>COHEAR675YN091F</t>
    <phoneticPr fontId="2" type="noConversion"/>
  </si>
  <si>
    <t>COHEAR675YN091G</t>
    <phoneticPr fontId="2" type="noConversion"/>
  </si>
  <si>
    <t>COHEAR675YN091J</t>
    <phoneticPr fontId="2" type="noConversion"/>
  </si>
  <si>
    <t>삼양국제무역2차</t>
  </si>
  <si>
    <t>F2-KMTCLCH5325092</t>
    <phoneticPr fontId="2" type="noConversion"/>
  </si>
  <si>
    <t>F2-KMTCLCH5485485</t>
    <phoneticPr fontId="2" type="noConversion"/>
  </si>
  <si>
    <t>F2-HASLS22251001006</t>
    <phoneticPr fontId="2" type="noConversion"/>
  </si>
  <si>
    <t>7월 작업비 청구</t>
    <phoneticPr fontId="2" type="noConversion"/>
  </si>
  <si>
    <t>부족수량(SHORTAGE)/EA</t>
  </si>
  <si>
    <t>TGLGS2511002</t>
  </si>
  <si>
    <t>커스터드크림분말 25kg</t>
  </si>
  <si>
    <t>POBUZHL26062258G</t>
  </si>
  <si>
    <t>트레할로스</t>
  </si>
  <si>
    <t>㈜우성플라테크</t>
  </si>
  <si>
    <t>팔레트작업건</t>
    <phoneticPr fontId="2" type="noConversion"/>
  </si>
  <si>
    <t>012606DU2INC0882</t>
    <phoneticPr fontId="2" type="noConversion"/>
  </si>
  <si>
    <t>WDFCHNP22632402</t>
  </si>
  <si>
    <t>켐코정밀㈜ 2공장</t>
  </si>
  <si>
    <t>양봉농협 - 창녕</t>
  </si>
  <si>
    <t>DH바이탈피드</t>
  </si>
  <si>
    <t>F2-KMTCLCH5485485, F2-HASLS22251001006 자투리 올려서 출고하고 남음 2장</t>
    <phoneticPr fontId="2" type="noConversion"/>
  </si>
  <si>
    <t>정산시 자투리 1PL 출고로 정산</t>
    <phoneticPr fontId="2" type="noConversion"/>
  </si>
  <si>
    <t>COHEAR675YN091H</t>
    <phoneticPr fontId="2" type="noConversion"/>
  </si>
  <si>
    <t>COHEAR675YN091B</t>
    <phoneticPr fontId="2" type="noConversion"/>
  </si>
  <si>
    <t>버터 레이즌 크래커</t>
    <phoneticPr fontId="2" type="noConversion"/>
  </si>
  <si>
    <t>삼양국제무역1차</t>
  </si>
  <si>
    <t>마자오유</t>
    <phoneticPr fontId="2" type="noConversion"/>
  </si>
  <si>
    <t>혼합즈마장</t>
    <phoneticPr fontId="2" type="noConversion"/>
  </si>
  <si>
    <t>JYPRQD2606057</t>
  </si>
  <si>
    <t>호남장성 사업소</t>
  </si>
  <si>
    <t>012606QN5INC0739</t>
    <phoneticPr fontId="2" type="noConversion"/>
  </si>
  <si>
    <t>012606DU2INC0576</t>
    <phoneticPr fontId="2" type="noConversion"/>
  </si>
  <si>
    <t>LVL 단목</t>
    <phoneticPr fontId="2" type="noConversion"/>
  </si>
  <si>
    <t>ONEYGOAG08782701</t>
    <phoneticPr fontId="2" type="noConversion"/>
  </si>
  <si>
    <t>F2-ONEYGOAG08782701</t>
    <phoneticPr fontId="2" type="noConversion"/>
  </si>
  <si>
    <t>최황규</t>
  </si>
  <si>
    <t>DJSCBKK260001111</t>
    <phoneticPr fontId="2" type="noConversion"/>
  </si>
  <si>
    <t>단무지(알밥)</t>
    <phoneticPr fontId="2" type="noConversion"/>
  </si>
  <si>
    <t>김태규</t>
  </si>
  <si>
    <t>대한사료</t>
  </si>
  <si>
    <t>시흥 - SPC삼립</t>
  </si>
  <si>
    <t>시흥 - SPC삼립2차</t>
  </si>
  <si>
    <t>WDFCHNP22632402</t>
    <phoneticPr fontId="2" type="noConversion"/>
  </si>
  <si>
    <t>양봉농협 옥천</t>
  </si>
  <si>
    <t>제조2026-05-08</t>
    <phoneticPr fontId="2" type="noConversion"/>
  </si>
  <si>
    <t>1뱍스=4통,6/22-1통 수거(식약처)</t>
    <phoneticPr fontId="2" type="noConversion"/>
  </si>
  <si>
    <t>6월 보관료 7월로 이월</t>
    <phoneticPr fontId="2" type="noConversion"/>
  </si>
  <si>
    <t>EASHP2263QI212</t>
    <phoneticPr fontId="2" type="noConversion"/>
  </si>
  <si>
    <t>양파</t>
    <phoneticPr fontId="2" type="noConversion"/>
  </si>
  <si>
    <t>한미 (일산)</t>
  </si>
  <si>
    <t>7월부터 티알재고로 변경 시노에서 요청</t>
    <phoneticPr fontId="2" type="noConversion"/>
  </si>
  <si>
    <t>㈜왕성프라몰드</t>
  </si>
  <si>
    <t>㈜ 청진</t>
  </si>
  <si>
    <t>해인 FS</t>
  </si>
  <si>
    <t>지노바이오</t>
  </si>
  <si>
    <t>012605EW8INC1119</t>
    <phoneticPr fontId="2" type="noConversion"/>
  </si>
  <si>
    <t>칩블럭(90*70*85)</t>
    <phoneticPr fontId="2" type="noConversion"/>
  </si>
  <si>
    <t>KMTCLCH5677322</t>
    <phoneticPr fontId="2" type="noConversion"/>
  </si>
  <si>
    <t>15KG설탕(지제이)</t>
    <phoneticPr fontId="2" type="noConversion"/>
  </si>
  <si>
    <t>15KG설탕(씨에치홀딩스)</t>
    <phoneticPr fontId="2" type="noConversion"/>
  </si>
  <si>
    <t>KMTCLCH5677322</t>
    <phoneticPr fontId="2" type="noConversion"/>
  </si>
  <si>
    <t>KMTCLCH5678809</t>
    <phoneticPr fontId="2" type="noConversion"/>
  </si>
  <si>
    <t>톤백설탕(선플러스)</t>
    <phoneticPr fontId="2" type="noConversion"/>
  </si>
  <si>
    <t>KMTCSWA0406734</t>
    <phoneticPr fontId="2" type="noConversion"/>
  </si>
  <si>
    <t>VITAMIN C MINT TABLET CANDY 800G*10/CTN</t>
    <phoneticPr fontId="2" type="noConversion"/>
  </si>
  <si>
    <t>COHEAR685YN066</t>
  </si>
  <si>
    <t>CKCOBKK0045853</t>
    <phoneticPr fontId="2" type="noConversion"/>
  </si>
  <si>
    <t>경기광주-신진식품</t>
    <phoneticPr fontId="2" type="noConversion"/>
  </si>
  <si>
    <t>삼양국제무역2차</t>
    <phoneticPr fontId="2" type="noConversion"/>
  </si>
  <si>
    <t>삼양국제무역</t>
  </si>
  <si>
    <t>동서소재</t>
    <phoneticPr fontId="2" type="noConversion"/>
  </si>
  <si>
    <t>실화주-씨엔</t>
    <phoneticPr fontId="2" type="noConversion"/>
  </si>
  <si>
    <t>대성케미텍</t>
    <phoneticPr fontId="2" type="noConversion"/>
  </si>
  <si>
    <t>인천 - 우리식품</t>
    <phoneticPr fontId="2" type="noConversion"/>
  </si>
  <si>
    <t>SITTAGIN653306</t>
  </si>
  <si>
    <t>튀긴마늘슬라이스A</t>
  </si>
  <si>
    <t>튀긴마늘슬라이스B</t>
  </si>
  <si>
    <t>튀긴마늘슬라이스 150g</t>
  </si>
  <si>
    <t>튀긴마늘후레이크300g</t>
  </si>
  <si>
    <t>공주사업소</t>
  </si>
  <si>
    <t xml:space="preserve">우리존 </t>
  </si>
  <si>
    <t>금성앙금</t>
  </si>
  <si>
    <t>COHEAR685YN066</t>
    <phoneticPr fontId="2" type="noConversion"/>
  </si>
  <si>
    <t>안키모 200g</t>
    <phoneticPr fontId="2" type="noConversion"/>
  </si>
  <si>
    <t>안키모 250g</t>
    <phoneticPr fontId="2" type="noConversion"/>
  </si>
  <si>
    <t>단무지</t>
    <phoneticPr fontId="2" type="noConversion"/>
  </si>
  <si>
    <t>양봉공주(남원)</t>
  </si>
  <si>
    <t>정신사 1PL 출고로 정산</t>
    <phoneticPr fontId="2" type="noConversion"/>
  </si>
  <si>
    <t>식약처 검사건 5캔 출고</t>
    <phoneticPr fontId="2" type="noConversion"/>
  </si>
  <si>
    <t>SITTAGIN653306</t>
    <phoneticPr fontId="2" type="noConversion"/>
  </si>
  <si>
    <t>경기도 일산</t>
    <phoneticPr fontId="2" type="noConversion"/>
  </si>
  <si>
    <t>벅민스터(직접픽업)</t>
  </si>
  <si>
    <t>파손품</t>
    <phoneticPr fontId="2" type="noConversion"/>
  </si>
  <si>
    <t>음성 - 와우</t>
    <phoneticPr fontId="2" type="noConversion"/>
  </si>
  <si>
    <t>JYPRQD2606057</t>
    <phoneticPr fontId="2" type="noConversion"/>
  </si>
  <si>
    <t>메지온 (예산)</t>
  </si>
  <si>
    <t>삼광식품 (진천)</t>
  </si>
  <si>
    <t>HSTE26070292</t>
  </si>
  <si>
    <t>목이버섯A</t>
  </si>
  <si>
    <t>목이버섯B</t>
  </si>
  <si>
    <t>유부롤튀김</t>
  </si>
  <si>
    <t>대성케미텍</t>
    <phoneticPr fontId="2" type="noConversion"/>
  </si>
  <si>
    <t>COHEAR689YN075</t>
  </si>
  <si>
    <t>자른 푸주 BEAN CURD STICKS(500G)</t>
  </si>
  <si>
    <t>단정빙탕 SINGLE CRYSTAL ROCK SUGAR</t>
  </si>
  <si>
    <t>SITTAGIN657094</t>
  </si>
  <si>
    <t>후쿠진스케</t>
  </si>
  <si>
    <t>아오갓빠스케</t>
  </si>
  <si>
    <t>시바스케</t>
  </si>
  <si>
    <t>타카나</t>
  </si>
  <si>
    <t>타카나(매운맛)</t>
  </si>
  <si>
    <t>양봉농협호남사업소(해남)</t>
  </si>
  <si>
    <t>COHEAR689YN075</t>
    <phoneticPr fontId="2" type="noConversion"/>
  </si>
  <si>
    <t>SITTAGIN657094</t>
    <phoneticPr fontId="2" type="noConversion"/>
  </si>
  <si>
    <t>삼양국제무역</t>
    <phoneticPr fontId="2" type="noConversion"/>
  </si>
  <si>
    <t>해인 FS</t>
    <phoneticPr fontId="2" type="noConversion"/>
  </si>
  <si>
    <t>5종,13박스*60개씩*5종=3900EA,7/10-4종 라벨 재작업진행</t>
    <phoneticPr fontId="2" type="noConversion"/>
  </si>
  <si>
    <t>김포창고</t>
  </si>
  <si>
    <t>파손품 출고</t>
    <phoneticPr fontId="2" type="noConversion"/>
  </si>
  <si>
    <t>경기 광주 - 맘모스식품</t>
    <phoneticPr fontId="2" type="noConversion"/>
  </si>
  <si>
    <t>논산 - 네오베이스</t>
  </si>
  <si>
    <t>HASLS22260501844</t>
  </si>
  <si>
    <t>실화주-대한사료</t>
  </si>
  <si>
    <t>HASLS22260501844</t>
    <phoneticPr fontId="2" type="noConversion"/>
  </si>
  <si>
    <t>JYPRQD2607006</t>
  </si>
  <si>
    <t>KMTCLCH5666979</t>
    <phoneticPr fontId="2" type="noConversion"/>
  </si>
  <si>
    <t>EGLV050600743559</t>
    <phoneticPr fontId="2" type="noConversion"/>
  </si>
  <si>
    <t>F2-EGLV050600743559</t>
    <phoneticPr fontId="2" type="noConversion"/>
  </si>
  <si>
    <t>KMTCSWA0401955A</t>
    <phoneticPr fontId="2" type="noConversion"/>
  </si>
  <si>
    <t>KMTCSWA0401955</t>
    <phoneticPr fontId="2" type="noConversion"/>
  </si>
  <si>
    <t>백초생강3KG*4EA</t>
    <phoneticPr fontId="2" type="noConversion"/>
  </si>
  <si>
    <t>AT면역 (청주)</t>
  </si>
  <si>
    <t>KMTCLCH5685285</t>
    <phoneticPr fontId="2" type="noConversion"/>
  </si>
  <si>
    <t>15KG설탕(부리람슈가코리아_사료용)</t>
    <phoneticPr fontId="2" type="noConversion"/>
  </si>
  <si>
    <t>본사_아주</t>
  </si>
  <si>
    <t>2물류_KPP</t>
    <phoneticPr fontId="2" type="noConversion"/>
  </si>
  <si>
    <t>VITAMIN C MINT TABLET CANDY 80G*8BOT*6BOX/CTN</t>
    <phoneticPr fontId="2" type="noConversion"/>
  </si>
  <si>
    <t>VITAMIN C MINT TABLET CANDY 200G*20/CTN</t>
    <phoneticPr fontId="2" type="noConversion"/>
  </si>
  <si>
    <t>MANGO FLAVOR CANDY 1KG*15/CTN</t>
    <phoneticPr fontId="2" type="noConversion"/>
  </si>
  <si>
    <t>삼양국제무역 1차</t>
  </si>
  <si>
    <t>삼양국제무역 2차</t>
  </si>
  <si>
    <t>삼양국제무역 3차</t>
  </si>
  <si>
    <t>양봉농협 공주</t>
  </si>
  <si>
    <t>평택 푸름</t>
    <phoneticPr fontId="2" type="noConversion"/>
  </si>
  <si>
    <t>PCSLDIC830260624</t>
    <phoneticPr fontId="2" type="noConversion"/>
  </si>
  <si>
    <t>실화주-에이치투케이</t>
  </si>
  <si>
    <t>산화마그네슘</t>
  </si>
  <si>
    <t>HCMKRINC260770</t>
    <phoneticPr fontId="2" type="noConversion"/>
  </si>
  <si>
    <t>튀긴마늘칩</t>
    <phoneticPr fontId="2" type="noConversion"/>
  </si>
  <si>
    <t>COHEAR691YN062</t>
    <phoneticPr fontId="2" type="noConversion"/>
  </si>
  <si>
    <t>한국양봉 횡성 지점</t>
    <phoneticPr fontId="2" type="noConversion"/>
  </si>
  <si>
    <t>삼양국제무역 3차</t>
    <phoneticPr fontId="2" type="noConversion"/>
  </si>
  <si>
    <t>삼양국제무역 1차</t>
    <phoneticPr fontId="2" type="noConversion"/>
  </si>
  <si>
    <t>향라맛 따콴펀 MA JIANG DA KUAN FEN-XIANGLA</t>
    <phoneticPr fontId="2" type="noConversion"/>
  </si>
  <si>
    <t>마장맛 둔분 MA JIANG DA KUAN FEN-MAJIANG</t>
    <phoneticPr fontId="2" type="noConversion"/>
  </si>
  <si>
    <t>따콴펀 로제맛  ZHI XINAG DA KUAN FEN</t>
    <phoneticPr fontId="2" type="noConversion"/>
  </si>
  <si>
    <t>대성케미텍</t>
    <phoneticPr fontId="2" type="noConversion"/>
  </si>
  <si>
    <t>더좋은양봉산업(창녕)</t>
    <phoneticPr fontId="2" type="noConversion"/>
  </si>
  <si>
    <t>예산 - 신성</t>
    <phoneticPr fontId="2" type="noConversion"/>
  </si>
  <si>
    <t>우리식품</t>
  </si>
  <si>
    <t>한국양봉 전북 김제</t>
  </si>
  <si>
    <t>KMTCBKK3893795</t>
    <phoneticPr fontId="2" type="noConversion"/>
  </si>
  <si>
    <t>MEDUWO184024</t>
    <phoneticPr fontId="2" type="noConversion"/>
  </si>
  <si>
    <t>50KG설탕</t>
    <phoneticPr fontId="2" type="noConversion"/>
  </si>
  <si>
    <t>2물류_KPP EL14</t>
    <phoneticPr fontId="2" type="noConversion"/>
  </si>
  <si>
    <t>COHEAR693YN077AB</t>
  </si>
  <si>
    <t>COHEAR693YN077C</t>
  </si>
  <si>
    <t>COHEAR693YN077D</t>
  </si>
  <si>
    <t>COHEAR693YN077HI</t>
  </si>
  <si>
    <t>인조콩고기 5kg</t>
  </si>
  <si>
    <t>사천꿍차이곤약(고수맛)</t>
  </si>
  <si>
    <t>사천꿍차이곤약(마라탕맛)</t>
  </si>
  <si>
    <t>마자오유</t>
  </si>
  <si>
    <t>마라유</t>
  </si>
  <si>
    <t>호인가_우지수공훠궈소스(500g)</t>
  </si>
  <si>
    <t>호인가_우지수공조각훠궈(360g)</t>
  </si>
  <si>
    <t>호인가_우지수공조각훠궈(200g)</t>
  </si>
  <si>
    <t>호인가_우지수공조각훠궈(90g)</t>
  </si>
  <si>
    <t>인조콩고기 2.5kg</t>
    <phoneticPr fontId="2" type="noConversion"/>
  </si>
  <si>
    <t>동광플라텍㈜</t>
    <phoneticPr fontId="2" type="noConversion"/>
  </si>
  <si>
    <t>G3S6626050140(1물류)</t>
    <phoneticPr fontId="2" type="noConversion"/>
  </si>
  <si>
    <t>식약처</t>
    <phoneticPr fontId="2" type="noConversion"/>
  </si>
  <si>
    <t>우리존</t>
  </si>
  <si>
    <t>단정빙탕</t>
    <phoneticPr fontId="2" type="noConversion"/>
  </si>
  <si>
    <t>프레시코</t>
  </si>
  <si>
    <t>ONEYGOAG10996700</t>
    <phoneticPr fontId="2" type="noConversion"/>
  </si>
  <si>
    <t>F2-ONEYGOAG10996700</t>
    <phoneticPr fontId="2" type="noConversion"/>
  </si>
  <si>
    <t>EG0711RLD</t>
    <phoneticPr fontId="2" type="noConversion"/>
  </si>
  <si>
    <t>COHEAR693YN077HI</t>
    <phoneticPr fontId="2" type="noConversion"/>
  </si>
  <si>
    <t>COHEAR693YN077D</t>
    <phoneticPr fontId="2" type="noConversion"/>
  </si>
  <si>
    <t>푸주링롤 RINGING ROLLS</t>
    <phoneticPr fontId="2" type="noConversion"/>
  </si>
  <si>
    <t>삼양국제무역 2차</t>
    <phoneticPr fontId="2" type="noConversion"/>
  </si>
  <si>
    <t>호인가_우육칭탕용 소스</t>
    <phoneticPr fontId="2" type="noConversion"/>
  </si>
  <si>
    <t>012607QN5INC0040</t>
    <phoneticPr fontId="2" type="noConversion"/>
  </si>
  <si>
    <t>HSTE26070292</t>
    <phoneticPr fontId="2" type="noConversion"/>
  </si>
  <si>
    <t>JYPRQD2607006</t>
    <phoneticPr fontId="2" type="noConversion"/>
  </si>
  <si>
    <t>백초생강</t>
    <phoneticPr fontId="2" type="noConversion"/>
  </si>
  <si>
    <t>012607HW4INC0039</t>
    <phoneticPr fontId="2" type="noConversion"/>
  </si>
  <si>
    <t>합판(11MM)</t>
    <phoneticPr fontId="2" type="noConversion"/>
  </si>
  <si>
    <t>COHEAR693YN077AB</t>
    <phoneticPr fontId="2" type="noConversion"/>
  </si>
  <si>
    <t>COHEAR693YN077G</t>
    <phoneticPr fontId="2" type="noConversion"/>
  </si>
  <si>
    <t>천미방 자른 푸주 BEAN CURD STICKS(1000G)</t>
    <phoneticPr fontId="2" type="noConversion"/>
  </si>
  <si>
    <t>호인가_사천유펜소스</t>
    <phoneticPr fontId="2" type="noConversion"/>
  </si>
  <si>
    <t>COHEAR693YN077EF</t>
    <phoneticPr fontId="2" type="noConversion"/>
  </si>
  <si>
    <t>향신료혼합분말</t>
    <phoneticPr fontId="2" type="noConversion"/>
  </si>
  <si>
    <t>한양제과</t>
  </si>
  <si>
    <t>KPP 24장 + 일반 6장</t>
    <phoneticPr fontId="2" type="noConversion"/>
  </si>
  <si>
    <t>YZJHP2268EQDIH906</t>
  </si>
  <si>
    <t>단무지(알밥)</t>
  </si>
  <si>
    <t>HASLS22260600079</t>
    <phoneticPr fontId="2" type="noConversion"/>
  </si>
  <si>
    <t>25KG설탕</t>
    <phoneticPr fontId="2" type="noConversion"/>
  </si>
  <si>
    <t>KMTCLCH5685285(본사)</t>
    <phoneticPr fontId="2" type="noConversion"/>
  </si>
  <si>
    <t>유통기한 확인중</t>
    <phoneticPr fontId="2" type="noConversion"/>
  </si>
  <si>
    <t>KMTCLCH5667484(본사)</t>
    <phoneticPr fontId="2" type="noConversion"/>
  </si>
  <si>
    <t>음성공장</t>
    <phoneticPr fontId="2" type="noConversion"/>
  </si>
  <si>
    <t>음성공장1차</t>
  </si>
  <si>
    <t>음성공장2차</t>
  </si>
  <si>
    <t>영보화학㈜</t>
    <phoneticPr fontId="2" type="noConversion"/>
  </si>
  <si>
    <t>MEDUWW382990</t>
    <phoneticPr fontId="2" type="noConversion"/>
  </si>
  <si>
    <t>F2-MEDUWW382990</t>
    <phoneticPr fontId="2" type="noConversion"/>
  </si>
  <si>
    <t>FD1911RDH</t>
    <phoneticPr fontId="2" type="noConversion"/>
  </si>
  <si>
    <t>인천 - 우리식품</t>
  </si>
  <si>
    <t>진천 - 삼진푸드</t>
    <phoneticPr fontId="2" type="noConversion"/>
  </si>
  <si>
    <t>천안 - 대상푸드플러스</t>
  </si>
  <si>
    <t>동서소재</t>
    <phoneticPr fontId="2" type="noConversion"/>
  </si>
  <si>
    <t>F2-260720</t>
    <phoneticPr fontId="2" type="noConversion"/>
  </si>
  <si>
    <t>실화-다오</t>
    <phoneticPr fontId="2" type="noConversion"/>
  </si>
  <si>
    <t>석재</t>
    <phoneticPr fontId="2" type="noConversion"/>
  </si>
  <si>
    <t>수출건</t>
    <phoneticPr fontId="2" type="noConversion"/>
  </si>
  <si>
    <t>DDCLADE200067</t>
  </si>
  <si>
    <t>DDCLADE200007</t>
  </si>
  <si>
    <t>옥수수국수 1KG*10BAG/CTN</t>
  </si>
  <si>
    <t>Traditional Beijing-style Mooncakes(전통경식월병)</t>
  </si>
  <si>
    <t>ORIGINAL TASTE BIG BISCUITS(올드 소프트 케이크)</t>
  </si>
  <si>
    <t>HAND MADE SOFT TWISTED MAHUA (YOGURT FLAVOR)(꽈배기(요구르트맛))</t>
  </si>
  <si>
    <t>HAND MADE SOFT TWISTED MAHUA (RED BEAN FLAVOR)(꽈배기(팥맛))</t>
  </si>
  <si>
    <t>Banana bread(바나나빵)</t>
  </si>
  <si>
    <t>BUTTER CHEESE STRIP(치즈소스브레드)</t>
  </si>
  <si>
    <t>JUJUBE PASTRY(대추필링월병)</t>
  </si>
  <si>
    <t>실화주-더블인터내셔널</t>
    <phoneticPr fontId="2" type="noConversion"/>
  </si>
  <si>
    <t>DJSCLCH260001546(HFIBKO266013)</t>
    <phoneticPr fontId="2" type="noConversion"/>
  </si>
  <si>
    <t>26SNKo2353i-2205-1001</t>
    <phoneticPr fontId="2" type="noConversion"/>
  </si>
  <si>
    <t>26SNKo2353i-2205-2002</t>
    <phoneticPr fontId="2" type="noConversion"/>
  </si>
  <si>
    <t>KMTCLCH5629344 15KG설탕(원물산) 9포(정상품) 자투리-1장 남음</t>
    <phoneticPr fontId="2" type="noConversion"/>
  </si>
  <si>
    <t>DDCLADE200007</t>
    <phoneticPr fontId="2" type="noConversion"/>
  </si>
  <si>
    <t>DDCLADE200067</t>
    <phoneticPr fontId="2" type="noConversion"/>
  </si>
  <si>
    <t>더블인터내셔널</t>
  </si>
  <si>
    <t>눈육분</t>
    <phoneticPr fontId="2" type="noConversion"/>
  </si>
  <si>
    <t>사업장(경기도 시흥시 방산가마터길 45)</t>
    <phoneticPr fontId="2" type="noConversion"/>
  </si>
  <si>
    <t>대성케미텍</t>
    <phoneticPr fontId="2" type="noConversion"/>
  </si>
  <si>
    <t>AT면역</t>
  </si>
  <si>
    <t>YZJHP2268EQDIH906</t>
    <phoneticPr fontId="2" type="noConversion"/>
  </si>
  <si>
    <t>한국양봉농협 호남사업소</t>
  </si>
  <si>
    <t>㈜왕성프라몰드</t>
    <phoneticPr fontId="2" type="noConversion"/>
  </si>
  <si>
    <t>HASLS22260600079</t>
    <phoneticPr fontId="2" type="noConversion"/>
  </si>
  <si>
    <t>이천 - HY창고</t>
    <phoneticPr fontId="2" type="noConversion"/>
  </si>
  <si>
    <t>문경 - 썬레이크</t>
    <phoneticPr fontId="2" type="noConversion"/>
  </si>
  <si>
    <t>VITAMIN C MINT TABLET CANDY 800G*10/CTN</t>
  </si>
  <si>
    <t>당면</t>
  </si>
  <si>
    <t xml:space="preserve">한국양봉농협 호남사업소 </t>
  </si>
  <si>
    <t>블루베리 믹스필링(유27_3_12)</t>
  </si>
  <si>
    <t>LYFRLYIF7269571</t>
    <phoneticPr fontId="2" type="noConversion"/>
  </si>
  <si>
    <t>SMLMBKK6A2986600</t>
    <phoneticPr fontId="2" type="noConversion"/>
  </si>
  <si>
    <t>25KG설탕(유기농)</t>
    <phoneticPr fontId="2" type="noConversion"/>
  </si>
  <si>
    <t>KMTCSWA0407964</t>
    <phoneticPr fontId="2" type="noConversion"/>
  </si>
  <si>
    <t>COHEAR693YN077J</t>
    <phoneticPr fontId="2" type="noConversion"/>
  </si>
  <si>
    <t>COHEAR699YN049AB</t>
  </si>
  <si>
    <t>COHEAR699YN049C</t>
  </si>
  <si>
    <t>COHEAR699YN049E</t>
  </si>
  <si>
    <t>호인가-우지수공조각훠궈 Spicy Hot Pot Soup Base</t>
  </si>
  <si>
    <t>호인가-토마토훠궈 TOMATO HOT POT CONDIMENT</t>
  </si>
  <si>
    <t>호인가-쉐이주위 SEASONING FOR BOILED FISH</t>
  </si>
  <si>
    <t>호인가-마라샹궈 HOT &amp; SPICY POT SEASONING</t>
  </si>
  <si>
    <t>호인가-마파두부용소스 SEASONING FOR MAPO TOFU</t>
  </si>
  <si>
    <t>호인가-청유훠궈소스 SPICY HOT POT SOUP BASE</t>
  </si>
  <si>
    <t>호인가-쏘룡사쇼스 SEASONING FOR HOT&amp;SPICY CRAYFISH</t>
  </si>
  <si>
    <t>SESAME PEAUNT BUTTER 2KG*8BAG/CTN</t>
  </si>
  <si>
    <t>SQUID CUB-YUANWEI (오징어 오리지널_35G)</t>
  </si>
  <si>
    <t>SQUID STRING-XIANGLA(오징어_향라맛 25G)</t>
  </si>
  <si>
    <t>A SQUID-XIANGLA(오징어_향라맛 68G)</t>
  </si>
  <si>
    <t>SPICY ANCHOVIES 100G*30BAG/CTN</t>
  </si>
  <si>
    <t>COHEAR699YN049AB</t>
    <phoneticPr fontId="2" type="noConversion"/>
  </si>
  <si>
    <t>성신 (철원)</t>
  </si>
  <si>
    <t>COHEAR699YN049D</t>
    <phoneticPr fontId="2" type="noConversion"/>
  </si>
  <si>
    <t>BEAN CURD STICKS 500G*15BAG/CTN(자른푸주)</t>
    <phoneticPr fontId="2" type="noConversion"/>
  </si>
  <si>
    <t>호인가_훠궈소스</t>
    <phoneticPr fontId="2" type="noConversion"/>
  </si>
  <si>
    <t>충칭 혼합훠궈소스</t>
    <phoneticPr fontId="2" type="noConversion"/>
  </si>
  <si>
    <t>서울식품(양주)</t>
    <phoneticPr fontId="2" type="noConversion"/>
  </si>
  <si>
    <t>제이와이서울식품</t>
  </si>
  <si>
    <t>㈜엔에이치씨</t>
  </si>
  <si>
    <t>SJTJ26070038(GFS26-0293)</t>
    <phoneticPr fontId="2" type="noConversion"/>
  </si>
  <si>
    <t>SJTJ26070038(GFS26-0328)</t>
    <phoneticPr fontId="2" type="noConversion"/>
  </si>
  <si>
    <t>블루베리 믹스필링(유27_3_25)</t>
    <phoneticPr fontId="2" type="noConversion"/>
  </si>
  <si>
    <t>농업회사법인 한길</t>
    <phoneticPr fontId="2" type="noConversion"/>
  </si>
  <si>
    <t>한국양봉 공주사업소(청주)</t>
  </si>
  <si>
    <t>대성케미텍</t>
    <phoneticPr fontId="2" type="noConversion"/>
  </si>
  <si>
    <t>CKCOTAO1200884</t>
  </si>
  <si>
    <t>비앤아이(서주김제)</t>
  </si>
  <si>
    <t>경기광주 - 신진</t>
    <phoneticPr fontId="2" type="noConversion"/>
  </si>
  <si>
    <t>시화 - 삼립</t>
  </si>
  <si>
    <t>수출</t>
  </si>
  <si>
    <t>CKCOTAO1200884</t>
    <phoneticPr fontId="2" type="noConversion"/>
  </si>
  <si>
    <t>청주 - at면역</t>
  </si>
  <si>
    <t>천안 - 대상</t>
  </si>
  <si>
    <t>KMTCLCH5702874</t>
    <phoneticPr fontId="2" type="noConversion"/>
  </si>
  <si>
    <t>톤백설탕</t>
    <phoneticPr fontId="2" type="noConversion"/>
  </si>
  <si>
    <t>한국양봉 창녕</t>
  </si>
  <si>
    <t>반송1차</t>
  </si>
  <si>
    <t>반송2차</t>
  </si>
  <si>
    <t>반송</t>
    <phoneticPr fontId="2" type="noConversion"/>
  </si>
  <si>
    <t>KMTCKG08i-6030-0002,유통기한오류건으로반송진행</t>
    <phoneticPr fontId="2" type="noConversion"/>
  </si>
  <si>
    <t>HIJINH26070901</t>
  </si>
  <si>
    <t>Masuya Miso Awase Miso 1kg*10packs_ctn</t>
  </si>
  <si>
    <t>Masuya Miso Koshi Kouji 1kg*10packs_ctn</t>
  </si>
  <si>
    <t>Masuya Miso Akadashi Kouji 1kg*10packs_ctn</t>
  </si>
  <si>
    <t>Business moromi miso 1kg*10packs_ctn</t>
  </si>
  <si>
    <t>Korea udon tsuyu 1,8L*6pieces_ctn</t>
  </si>
  <si>
    <t>부강</t>
    <phoneticPr fontId="2" type="noConversion"/>
  </si>
  <si>
    <t>KMTCSWA0401955</t>
  </si>
  <si>
    <t>KMTCSWA0401955A</t>
  </si>
  <si>
    <t>화주명
컨테이너번호</t>
  </si>
  <si>
    <t>전월까지 총출고수량</t>
  </si>
  <si>
    <t>DDCLADE193031</t>
  </si>
  <si>
    <t>정산-OK</t>
  </si>
  <si>
    <t>옥수수국수 2.5KG*4BAG/CTN</t>
  </si>
  <si>
    <t>DDCLADE193031옥수수국수 2.5KG*4BAG/CTN</t>
  </si>
  <si>
    <t>DDCLADE193031옥수수국수 400G*25BAG/CTN</t>
  </si>
  <si>
    <t>DDCLADE193031옥수수국수 1KG*10BAG/CT</t>
  </si>
  <si>
    <t>COHEAR675YN091A</t>
  </si>
  <si>
    <t>COHEAR675YN091A소이빈 밀크 파우더</t>
  </si>
  <si>
    <t>COHEAR675YN091B</t>
  </si>
  <si>
    <t>버터 레이즌 크래커</t>
  </si>
  <si>
    <t>COHEAR675YN091B버터 레이즌 크래커</t>
  </si>
  <si>
    <t>24EA*3PL+28EA*1PL</t>
  </si>
  <si>
    <t>COHEAR675YN091C향라맛 따콴펀</t>
  </si>
  <si>
    <t>COHEAR675YN091C마장맛 둔분</t>
  </si>
  <si>
    <t>매듭곤약향라맛</t>
  </si>
  <si>
    <t>COHEAR675YN091C매듭곤약향라맛</t>
  </si>
  <si>
    <t>COHEAR675YN091D</t>
  </si>
  <si>
    <t>COHEAR675YN091D카오렁미엔(Grilled Cold Noodles)</t>
  </si>
  <si>
    <t>COHEAR675YN091E오징어(오리지널_35G)</t>
  </si>
  <si>
    <t>COHEAR675YN091E오징어(향라맛_25G)</t>
  </si>
  <si>
    <t>COHEAR675YN091E오징어(향라맛_68G)</t>
  </si>
  <si>
    <t>COHEAR675YN091F</t>
  </si>
  <si>
    <t>혼합즈마장</t>
  </si>
  <si>
    <t>COHEAR675YN091F혼합즈마장</t>
  </si>
  <si>
    <t>COHEAR675YN091G</t>
  </si>
  <si>
    <t>호인가_우육칭탕용 소스</t>
  </si>
  <si>
    <t>COHEAR675YN091G호인가_우육칭탕용 소스</t>
  </si>
  <si>
    <t>COHEAR675YN091H호인가_쉐이주위</t>
  </si>
  <si>
    <t>COHEAR675YN091H호인가_마라샹궈</t>
  </si>
  <si>
    <t>COHEAR675YN091H호인가_마파두부용소스</t>
  </si>
  <si>
    <t>COHEAR675YN091H호인가 청유훠궈소스</t>
  </si>
  <si>
    <t>COHEAR675YN091H호인가_토마토소스</t>
  </si>
  <si>
    <t>COHEAR675YN091H호인가_청유훠궈소스</t>
  </si>
  <si>
    <t>COHEAR675YN091H호인가_마라탕소스</t>
  </si>
  <si>
    <t>COHEAR675YN091I마라소스</t>
  </si>
  <si>
    <t>COHEAR675YN091I오향맛소스</t>
  </si>
  <si>
    <t>COHEAR675YN091J</t>
  </si>
  <si>
    <t>COHEAR675YN091J마자오유</t>
  </si>
  <si>
    <t>KMTCSWA0406734</t>
  </si>
  <si>
    <t>KMTCSWA0406734VITAMIN C MINT TABLET CANDY 800G*10/CTN</t>
  </si>
  <si>
    <t>COHEAR689YN075자른 푸주 BEAN CURD STICKS(500G)</t>
  </si>
  <si>
    <t>푸주링롤 RINGING ROLLS</t>
  </si>
  <si>
    <t>COHEAR689YN075푸주링롤 RINGING ROLLS</t>
  </si>
  <si>
    <t>천미방 자른 푸주 BEAN CURD STICKS(1000G)</t>
  </si>
  <si>
    <t>COHEAR689YN075천미방 자른 푸주 BEAN CURD STICKS(1000G)</t>
  </si>
  <si>
    <t>향라맛 따콴펀 MA JIANG DA KUAN FEN-XIANGLA</t>
  </si>
  <si>
    <t>COHEAR689YN075향라맛 따콴펀 MA JIANG DA KUAN FEN-XIANGLA</t>
  </si>
  <si>
    <t>마장맛 둔분 MA JIANG DA KUAN FEN-MAJIANG</t>
  </si>
  <si>
    <t>COHEAR689YN075마장맛 둔분 MA JIANG DA KUAN FEN-MAJIANG</t>
  </si>
  <si>
    <t>따콴펀 로제맛  ZHI XINAG DA KUAN FEN</t>
  </si>
  <si>
    <t>COHEAR689YN075따콴펀 로제맛  ZHI XINAG DA KUAN FEN</t>
  </si>
  <si>
    <t>COHEAR689YN075단정빙탕 SINGLE CRYSTAL ROCK SUGAR</t>
  </si>
  <si>
    <t>VITAMIN C MINT TABLET CANDY 80G*8BOT*6BOX/CTN</t>
  </si>
  <si>
    <t>KMTCSWA0401955VITAMIN C MINT TABLET CANDY 80G*8BOT*6BOX/CTN</t>
  </si>
  <si>
    <t>KMTCSWA0401955VITAMIN C MINT TABLET CANDY 800G*10/CTN</t>
  </si>
  <si>
    <t>VITAMIN C MINT TABLET CANDY 200G*20/CTN</t>
  </si>
  <si>
    <t>KMTCSWA0401955AVITAMIN C MINT TABLET CANDY 200G*20/CTN</t>
  </si>
  <si>
    <t>MANGO FLAVOR CANDY 1KG*15/CTN</t>
  </si>
  <si>
    <t>KMTCSWA0401955AMANGO FLAVOR CANDY 1KG*15/CTN</t>
  </si>
  <si>
    <t>KMTCSWA0401955AVITAMIN C MINT TABLET CANDY 800G*10/CTN</t>
  </si>
  <si>
    <t>COHEAR691YN062</t>
  </si>
  <si>
    <t>COHEAR691YN062VITAMIN C MINT TABLET CANDY 800G*10/CTN</t>
  </si>
  <si>
    <t>프리타임기간중</t>
  </si>
  <si>
    <t>인조콩고기 2.5kg</t>
  </si>
  <si>
    <t>COHEAR693YN077AB인조콩고기 2.5kg</t>
  </si>
  <si>
    <t>COHEAR693YN077AB인조콩고기 5kg</t>
  </si>
  <si>
    <t>단정빙탕</t>
  </si>
  <si>
    <t>COHEAR693YN077C단정빙탕</t>
  </si>
  <si>
    <t>COHEAR693YN077D사천꿍차이곤약(고수맛)</t>
  </si>
  <si>
    <t>COHEAR693YN077D사천꿍차이곤약(마라탕맛)</t>
  </si>
  <si>
    <t>COHEAR693YN077EF</t>
  </si>
  <si>
    <t>향신료혼합분말</t>
  </si>
  <si>
    <t>COHEAR693YN077EF향신료혼합분말</t>
  </si>
  <si>
    <t>눈육분</t>
  </si>
  <si>
    <t>COHEAR693YN077EF눈육분</t>
  </si>
  <si>
    <t>COHEAR693YN077G</t>
  </si>
  <si>
    <t>COHEAR693YN077G마자오유</t>
  </si>
  <si>
    <t>COHEAR693YN077G마라유</t>
  </si>
  <si>
    <t>호인가_사천유펜소스</t>
  </si>
  <si>
    <t>COHEAR693YN077HI호인가_사천유펜소스</t>
  </si>
  <si>
    <t>호인가_훠궈소스</t>
  </si>
  <si>
    <t>COHEAR693YN077HI호인가_훠궈소스</t>
  </si>
  <si>
    <t>COHEAR693YN077HI호인가_우지수공훠궈소스(500g)</t>
  </si>
  <si>
    <t>COHEAR693YN077HI호인가_우지수공조각훠궈(360g)</t>
  </si>
  <si>
    <t>COHEAR693YN077HI호인가_우지수공조각훠궈(200g)</t>
  </si>
  <si>
    <t>COHEAR693YN077HI호인가_우지수공조각훠궈(90g)</t>
  </si>
  <si>
    <t>COHEAR693YN077J</t>
  </si>
  <si>
    <t>충칭 혼합훠궈소스</t>
  </si>
  <si>
    <t>COHEAR693YN077J충칭 혼합훠궈소스</t>
  </si>
  <si>
    <t>DDCLADE200067옥수수국수 2.5KG*4BAG/CTN</t>
  </si>
  <si>
    <t>DDCLADE200067옥수수국수 400G*25BAG/CTN</t>
  </si>
  <si>
    <t>DDCLADE200067옥수수국수 1KG*10BAG/CTN</t>
  </si>
  <si>
    <t>실화주-더블인터내셔널</t>
  </si>
  <si>
    <t>DDCLADE200007Traditional Beijing-style Mooncakes(전통경식월병)</t>
  </si>
  <si>
    <t>DDCLADE200007ORIGINAL TASTE BIG BISCUITS(올드 소프트 케이크)</t>
  </si>
  <si>
    <t>DDCLADE200007HAND MADE SOFT TWISTED MAHUA (YOGURT FLAVOR)(꽈배기(요구르트맛))</t>
  </si>
  <si>
    <t>DDCLADE200007HAND MADE SOFT TWISTED MAHUA (RED BEAN FLAVOR)(꽈배기(팥맛))</t>
  </si>
  <si>
    <t>DDCLADE200007Banana bread(바나나빵)</t>
  </si>
  <si>
    <t>DDCLADE200007BUTTER CHEESE STRIP(치즈소스브레드)</t>
  </si>
  <si>
    <t>DDCLADE200007JUJUBE PASTRY(대추필링월병)</t>
  </si>
  <si>
    <t>KMTCSWA0407964</t>
  </si>
  <si>
    <t>KMTCSWA0407964VITAMIN C MINT TABLET CANDY 800G*10/CTN</t>
  </si>
  <si>
    <t>LYFRLYIF7269571</t>
  </si>
  <si>
    <t>LYFRLYIF7269571당면</t>
  </si>
  <si>
    <t>COHEAR699YN049AB호인가-우지수공조각훠궈 Spicy Hot Pot Soup Base</t>
  </si>
  <si>
    <t>COHEAR699YN049AB호인가-토마토훠궈 TOMATO HOT POT CONDIMENT</t>
  </si>
  <si>
    <t>COHEAR699YN049AB호인가-쉐이주위 SEASONING FOR BOILED FISH</t>
  </si>
  <si>
    <t>COHEAR699YN049AB호인가-마라샹궈 HOT &amp; SPICY POT SEASONING</t>
  </si>
  <si>
    <t>COHEAR699YN049AB호인가-마파두부용소스 SEASONING FOR MAPO TOFU</t>
  </si>
  <si>
    <t>COHEAR699YN049AB호인가-청유훠궈소스 SPICY HOT POT SOUP BASE</t>
  </si>
  <si>
    <t>COHEAR699YN049AB호인가-쏘룡사쇼스 SEASONING FOR HOT&amp;SPICY CRAYFISH</t>
  </si>
  <si>
    <t>COHEAR699YN049CSESAME PEAUNT BUTTER 2KG*8BAG/CTN</t>
  </si>
  <si>
    <t>COHEAR699YN049D</t>
  </si>
  <si>
    <t>BEAN CURD STICKS 500G*15BAG/CTN(자른푸주)</t>
  </si>
  <si>
    <t>COHEAR699YN049DBEAN CURD STICKS 500G*15BAG/CTN(자른푸주)</t>
  </si>
  <si>
    <t>COHEAR699YN049ESQUID CUB-YUANWEI (오징어 오리지널_35G)</t>
  </si>
  <si>
    <t>COHEAR699YN049ESQUID STRING-XIANGLA(오징어_향라맛 25G)</t>
  </si>
  <si>
    <t>COHEAR699YN049EA SQUID-XIANGLA(오징어_향라맛 68G)</t>
  </si>
  <si>
    <t>COHEAR699YN049ESPICY ANCHOVIES 100G*30BAG/CTN</t>
  </si>
  <si>
    <t>아주 PLT(삼보)</t>
  </si>
  <si>
    <t>입고</t>
  </si>
  <si>
    <t>사용</t>
  </si>
  <si>
    <t>재고</t>
  </si>
  <si>
    <t>KMTCSWA0400494</t>
  </si>
  <si>
    <t>COHEAR657YN094A_F</t>
  </si>
  <si>
    <t>KMTCSWA0400591</t>
  </si>
  <si>
    <t>COHEAR661YN083A_B</t>
  </si>
  <si>
    <t>KPP PLT (더블)</t>
  </si>
  <si>
    <t>DDCLADE176010</t>
  </si>
  <si>
    <t>KPP 22장 + 일반 8장</t>
  </si>
  <si>
    <t>KPP 30장</t>
  </si>
  <si>
    <t>DDCLADE187002</t>
  </si>
  <si>
    <t>KPP 24장 + 일반 6장</t>
  </si>
  <si>
    <t>프리타임 기간내 출고</t>
  </si>
  <si>
    <t>사업장(경기도 시흥시 방산가마터길 45)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</si>
</sst>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#,##0\ \ \ \ \ "/>
    <numFmt numFmtId="178" formatCode="_ * #,##0_ ;_ * \-#,##0_ ;_ * &quot;-&quot;_ ;_ @_ "/>
    <numFmt numFmtId="179" formatCode="&quot;$&quot;#,##0_);[Red]\(&quot;$&quot;#,##0\)"/>
    <numFmt numFmtId="180" formatCode="&quot;$&quot;#,##0.00_);[Red]\(&quot;$&quot;#,##0.00\)"/>
    <numFmt numFmtId="181" formatCode="#&quot;EA&quot;"/>
    <numFmt numFmtId="182" formatCode="0_ "/>
    <numFmt numFmtId="183" formatCode="mm&quot;월&quot;\ dd&quot;일&quot;"/>
    <numFmt numFmtId="184" formatCode="#&quot;PLT&quot;"/>
    <numFmt numFmtId="185" formatCode="[DBNum4][$-412]General"/>
    <numFmt numFmtId="186" formatCode="&quot;₩&quot;#,##0"/>
  </numFmts>
  <fonts count="3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name val="맑은 고딕"/>
      <family val="3"/>
      <charset val="129"/>
      <scheme val="minor"/>
    </font>
    <font>
      <sz val="12"/>
      <name val="바탕체"/>
      <family val="1"/>
      <charset val="129"/>
    </font>
    <font>
      <sz val="8"/>
      <color rgb="FF000000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2"/>
      <name val="¹UAAA¼"/>
      <family val="3"/>
      <charset val="129"/>
    </font>
    <font>
      <sz val="10"/>
      <name val="Arial"/>
      <family val="2"/>
    </font>
    <font>
      <sz val="10"/>
      <name val="돋움체"/>
      <family val="3"/>
      <charset val="129"/>
    </font>
    <font>
      <b/>
      <sz val="12"/>
      <name val="Arial"/>
      <family val="2"/>
    </font>
    <font>
      <b/>
      <sz val="18"/>
      <name val="Arial"/>
      <family val="2"/>
    </font>
    <font>
      <sz val="10"/>
      <name val="MS Sans Serif"/>
      <family val="2"/>
    </font>
    <font>
      <sz val="12"/>
      <name val="뼻뮝"/>
      <family val="1"/>
      <charset val="129"/>
    </font>
    <font>
      <sz val="12"/>
      <name val="Century Gothic"/>
      <family val="2"/>
    </font>
    <font>
      <sz val="11"/>
      <color theme="1"/>
      <name val="맑은 고딕"/>
      <family val="3"/>
      <charset val="129"/>
      <scheme val="minor"/>
    </font>
    <font>
      <sz val="8"/>
      <color indexed="8"/>
      <name val="맑은 고딕"/>
      <family val="3"/>
      <charset val="129"/>
      <scheme val="minor"/>
    </font>
    <font>
      <b/>
      <sz val="8"/>
      <color indexed="8"/>
      <name val="맑은 고딕"/>
      <family val="3"/>
      <charset val="129"/>
      <scheme val="minor"/>
    </font>
    <font>
      <i/>
      <u/>
      <sz val="8"/>
      <color theme="1"/>
      <name val="맑은 고딕"/>
      <family val="3"/>
      <charset val="129"/>
      <scheme val="minor"/>
    </font>
    <font>
      <sz val="8"/>
      <color rgb="FFFF0000"/>
      <name val="맑은 고딕"/>
      <family val="3"/>
      <charset val="129"/>
      <scheme val="minor"/>
    </font>
    <font>
      <i/>
      <u/>
      <sz val="8"/>
      <name val="맑은 고딕"/>
      <family val="3"/>
      <charset val="129"/>
      <scheme val="minor"/>
    </font>
    <font>
      <sz val="7.5"/>
      <name val="맑은 고딕"/>
      <family val="3"/>
      <charset val="129"/>
      <scheme val="minor"/>
    </font>
    <font>
      <sz val="7.5"/>
      <color theme="1"/>
      <name val="맑은 고딕"/>
      <family val="3"/>
      <charset val="129"/>
      <scheme val="minor"/>
    </font>
    <font>
      <sz val="11"/>
      <color theme="1"/>
      <name val="돋움"/>
      <family val="2"/>
      <charset val="129"/>
    </font>
    <font>
      <sz val="11"/>
      <color indexed="8"/>
      <name val="맑은 고딕"/>
      <family val="3"/>
      <charset val="129"/>
    </font>
    <font>
      <sz val="7"/>
      <color rgb="FFFF0000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  <font>
      <sz val="10"/>
      <color indexed="8"/>
      <name val="ARIAL"/>
      <family val="2"/>
    </font>
    <font>
      <b/>
      <sz val="8"/>
      <color indexed="9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8"/>
      <color theme="0"/>
      <name val="맑은 고딕"/>
      <family val="3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DBE5F1"/>
        <bgColor rgb="FFDBE5F1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rgb="FFB8CCE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3FD"/>
        <bgColor indexed="64"/>
      </patternFill>
    </fill>
    <fill>
      <patternFill patternType="solid">
        <fgColor rgb="FFCCFDEA"/>
        <bgColor indexed="64"/>
      </patternFill>
    </fill>
    <fill>
      <patternFill patternType="solid">
        <fgColor indexed="26"/>
      </patternFill>
    </fill>
    <fill>
      <patternFill patternType="solid">
        <fgColor indexed="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38">
    <border>
      <left/>
      <right/>
      <top/>
      <bottom/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56">
    <xf numFmtId="0" fontId="0" fillId="0" borderId="0">
      <alignment vertical="center"/>
    </xf>
    <xf numFmtId="0" fontId="5" fillId="0" borderId="0"/>
    <xf numFmtId="177" fontId="7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14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177" fontId="15" fillId="0" borderId="0" applyFont="0" applyFill="0" applyBorder="0" applyAlignment="0" applyProtection="0"/>
    <xf numFmtId="0" fontId="14" fillId="0" borderId="0" applyFont="0" applyFill="0" applyBorder="0" applyAlignment="0" applyProtection="0"/>
    <xf numFmtId="2" fontId="14" fillId="0" borderId="0" applyFont="0" applyFill="0" applyBorder="0" applyAlignment="0" applyProtection="0"/>
    <xf numFmtId="0" fontId="16" fillId="0" borderId="5" applyNumberFormat="0" applyAlignment="0" applyProtection="0">
      <alignment horizontal="left" vertical="center"/>
    </xf>
    <xf numFmtId="0" fontId="16" fillId="0" borderId="6">
      <alignment horizontal="left" vertical="center"/>
    </xf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4" fillId="0" borderId="0"/>
    <xf numFmtId="0" fontId="18" fillId="0" borderId="7">
      <alignment horizontal="center"/>
    </xf>
    <xf numFmtId="0" fontId="14" fillId="0" borderId="8" applyNumberFormat="0" applyFont="0" applyFill="0" applyAlignment="0" applyProtection="0"/>
    <xf numFmtId="9" fontId="5" fillId="0" borderId="0" applyFont="0" applyFill="0" applyBorder="0" applyAlignment="0" applyProtection="0">
      <alignment vertical="center"/>
    </xf>
    <xf numFmtId="0" fontId="19" fillId="0" borderId="0"/>
    <xf numFmtId="0" fontId="14" fillId="0" borderId="0"/>
    <xf numFmtId="41" fontId="5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0" fontId="14" fillId="0" borderId="0"/>
    <xf numFmtId="0" fontId="20" fillId="0" borderId="0"/>
    <xf numFmtId="38" fontId="18" fillId="0" borderId="0" applyFont="0" applyFill="0" applyBorder="0" applyAlignment="0" applyProtection="0"/>
    <xf numFmtId="40" fontId="18" fillId="0" borderId="0" applyFont="0" applyFill="0" applyBorder="0" applyAlignment="0" applyProtection="0"/>
    <xf numFmtId="178" fontId="7" fillId="0" borderId="0" applyFont="0" applyFill="0" applyBorder="0" applyAlignment="0" applyProtection="0"/>
    <xf numFmtId="42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/>
    <xf numFmtId="0" fontId="1" fillId="0" borderId="0">
      <alignment vertical="center"/>
    </xf>
    <xf numFmtId="179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0" fontId="5" fillId="0" borderId="0"/>
    <xf numFmtId="0" fontId="21" fillId="0" borderId="0">
      <alignment vertical="center"/>
    </xf>
    <xf numFmtId="9" fontId="2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29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0" fillId="0" borderId="0">
      <alignment vertical="center"/>
    </xf>
    <xf numFmtId="0" fontId="30" fillId="16" borderId="37" applyNumberFormat="0" applyFont="0" applyAlignment="0" applyProtection="0">
      <alignment vertical="center"/>
    </xf>
    <xf numFmtId="9" fontId="5" fillId="0" borderId="0" applyFont="0" applyFill="0" applyBorder="0" applyAlignment="0" applyProtection="0"/>
    <xf numFmtId="0" fontId="33" fillId="0" borderId="0">
      <alignment vertical="top"/>
    </xf>
    <xf numFmtId="42" fontId="30" fillId="0" borderId="0" applyFont="0" applyFill="0" applyBorder="0" applyAlignment="0" applyProtection="0">
      <alignment vertical="center"/>
    </xf>
    <xf numFmtId="0" fontId="5" fillId="0" borderId="0"/>
    <xf numFmtId="0" fontId="36" fillId="0" borderId="0" applyNumberFormat="0" applyFill="0" applyBorder="0" applyAlignment="0" applyProtection="0">
      <alignment vertical="top"/>
      <protection locked="0"/>
    </xf>
  </cellStyleXfs>
  <cellXfs count="243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14" fontId="3" fillId="0" borderId="3" xfId="0" applyNumberFormat="1" applyFont="1" applyBorder="1" applyAlignment="1">
      <alignment horizontal="left" vertical="center"/>
    </xf>
    <xf numFmtId="181" fontId="3" fillId="0" borderId="0" xfId="0" applyNumberFormat="1" applyFont="1" applyAlignment="1">
      <alignment horizontal="left" vertical="center"/>
    </xf>
    <xf numFmtId="0" fontId="8" fillId="0" borderId="3" xfId="1" applyFont="1" applyBorder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3" fillId="0" borderId="3" xfId="0" applyFont="1" applyBorder="1" applyAlignment="1">
      <alignment horizontal="center" vertical="center" wrapText="1"/>
    </xf>
    <xf numFmtId="14" fontId="3" fillId="0" borderId="3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16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22" fillId="0" borderId="3" xfId="34" applyFont="1" applyBorder="1" applyAlignment="1">
      <alignment horizontal="center" vertical="center" wrapText="1"/>
    </xf>
    <xf numFmtId="0" fontId="22" fillId="7" borderId="3" xfId="34" applyFont="1" applyFill="1" applyBorder="1" applyAlignment="1">
      <alignment horizontal="center" vertical="center" wrapText="1"/>
    </xf>
    <xf numFmtId="0" fontId="6" fillId="0" borderId="3" xfId="40" applyFont="1" applyBorder="1" applyAlignment="1">
      <alignment horizontal="center"/>
    </xf>
    <xf numFmtId="181" fontId="3" fillId="0" borderId="0" xfId="0" applyNumberFormat="1" applyFont="1" applyAlignment="1">
      <alignment horizontal="center" vertical="center"/>
    </xf>
    <xf numFmtId="14" fontId="8" fillId="3" borderId="1" xfId="0" applyNumberFormat="1" applyFont="1" applyFill="1" applyBorder="1" applyAlignment="1">
      <alignment horizontal="left" vertical="center"/>
    </xf>
    <xf numFmtId="14" fontId="8" fillId="4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8" fillId="4" borderId="1" xfId="0" applyFont="1" applyFill="1" applyBorder="1" applyAlignment="1">
      <alignment horizontal="left" vertical="center"/>
    </xf>
    <xf numFmtId="181" fontId="3" fillId="0" borderId="0" xfId="0" applyNumberFormat="1" applyFont="1">
      <alignment vertical="center"/>
    </xf>
    <xf numFmtId="184" fontId="3" fillId="0" borderId="0" xfId="0" applyNumberFormat="1" applyFont="1" applyAlignment="1">
      <alignment horizontal="right" vertical="center"/>
    </xf>
    <xf numFmtId="0" fontId="25" fillId="0" borderId="0" xfId="0" applyFont="1">
      <alignment vertical="center"/>
    </xf>
    <xf numFmtId="181" fontId="26" fillId="6" borderId="3" xfId="0" applyNumberFormat="1" applyFont="1" applyFill="1" applyBorder="1" applyAlignment="1">
      <alignment horizontal="left" vertical="center"/>
    </xf>
    <xf numFmtId="181" fontId="25" fillId="0" borderId="0" xfId="0" applyNumberFormat="1" applyFont="1">
      <alignment vertical="center"/>
    </xf>
    <xf numFmtId="181" fontId="3" fillId="0" borderId="15" xfId="0" applyNumberFormat="1" applyFont="1" applyBorder="1" applyAlignment="1">
      <alignment horizontal="left" vertical="center"/>
    </xf>
    <xf numFmtId="181" fontId="3" fillId="0" borderId="3" xfId="0" applyNumberFormat="1" applyFont="1" applyBorder="1" applyAlignment="1">
      <alignment horizontal="left" vertical="center"/>
    </xf>
    <xf numFmtId="181" fontId="3" fillId="0" borderId="3" xfId="0" applyNumberFormat="1" applyFont="1" applyBorder="1">
      <alignment vertical="center"/>
    </xf>
    <xf numFmtId="181" fontId="3" fillId="0" borderId="3" xfId="0" applyNumberFormat="1" applyFont="1" applyBorder="1" applyAlignment="1">
      <alignment horizontal="center" vertical="center"/>
    </xf>
    <xf numFmtId="181" fontId="3" fillId="0" borderId="0" xfId="0" applyNumberFormat="1" applyFont="1" applyAlignment="1">
      <alignment horizontal="right" vertical="center"/>
    </xf>
    <xf numFmtId="181" fontId="24" fillId="8" borderId="3" xfId="0" applyNumberFormat="1" applyFont="1" applyFill="1" applyBorder="1" applyAlignment="1">
      <alignment horizontal="center" vertical="center"/>
    </xf>
    <xf numFmtId="181" fontId="22" fillId="0" borderId="3" xfId="34" applyNumberFormat="1" applyFont="1" applyBorder="1" applyAlignment="1">
      <alignment horizontal="center" vertical="center"/>
    </xf>
    <xf numFmtId="181" fontId="3" fillId="7" borderId="8" xfId="35" applyNumberFormat="1" applyFont="1" applyFill="1" applyBorder="1" applyAlignment="1">
      <alignment horizontal="center" vertical="center" wrapText="1"/>
    </xf>
    <xf numFmtId="181" fontId="3" fillId="7" borderId="8" xfId="35" applyNumberFormat="1" applyFont="1" applyFill="1" applyBorder="1" applyAlignment="1">
      <alignment horizontal="center" vertical="center" shrinkToFit="1"/>
    </xf>
    <xf numFmtId="181" fontId="3" fillId="7" borderId="8" xfId="0" applyNumberFormat="1" applyFont="1" applyFill="1" applyBorder="1" applyAlignment="1">
      <alignment horizontal="center" vertical="center"/>
    </xf>
    <xf numFmtId="184" fontId="25" fillId="0" borderId="0" xfId="0" applyNumberFormat="1" applyFont="1">
      <alignment vertical="center"/>
    </xf>
    <xf numFmtId="184" fontId="3" fillId="0" borderId="3" xfId="0" applyNumberFormat="1" applyFont="1" applyBorder="1" applyAlignment="1">
      <alignment horizontal="left" vertical="center"/>
    </xf>
    <xf numFmtId="184" fontId="3" fillId="0" borderId="0" xfId="0" applyNumberFormat="1" applyFont="1" applyAlignment="1">
      <alignment horizontal="left" vertical="center"/>
    </xf>
    <xf numFmtId="184" fontId="26" fillId="6" borderId="3" xfId="0" applyNumberFormat="1" applyFont="1" applyFill="1" applyBorder="1" applyAlignment="1">
      <alignment horizontal="left" vertical="center"/>
    </xf>
    <xf numFmtId="184" fontId="3" fillId="0" borderId="0" xfId="0" applyNumberFormat="1" applyFont="1" applyAlignment="1">
      <alignment horizontal="center" vertical="center"/>
    </xf>
    <xf numFmtId="184" fontId="3" fillId="0" borderId="3" xfId="0" applyNumberFormat="1" applyFont="1" applyBorder="1" applyAlignment="1">
      <alignment horizontal="center" vertical="center"/>
    </xf>
    <xf numFmtId="184" fontId="24" fillId="8" borderId="3" xfId="0" applyNumberFormat="1" applyFont="1" applyFill="1" applyBorder="1" applyAlignment="1">
      <alignment horizontal="center" vertical="center"/>
    </xf>
    <xf numFmtId="184" fontId="3" fillId="7" borderId="8" xfId="27" applyNumberFormat="1" applyFont="1" applyFill="1" applyBorder="1" applyAlignment="1" applyProtection="1">
      <alignment horizontal="center" vertical="center" wrapText="1"/>
    </xf>
    <xf numFmtId="184" fontId="26" fillId="8" borderId="3" xfId="0" applyNumberFormat="1" applyFont="1" applyFill="1" applyBorder="1" applyAlignment="1">
      <alignment horizontal="center" vertical="center"/>
    </xf>
    <xf numFmtId="181" fontId="26" fillId="8" borderId="3" xfId="0" applyNumberFormat="1" applyFont="1" applyFill="1" applyBorder="1" applyAlignment="1">
      <alignment horizontal="left" vertical="center"/>
    </xf>
    <xf numFmtId="184" fontId="26" fillId="8" borderId="3" xfId="0" applyNumberFormat="1" applyFont="1" applyFill="1" applyBorder="1" applyAlignment="1">
      <alignment horizontal="left" vertical="center"/>
    </xf>
    <xf numFmtId="181" fontId="8" fillId="9" borderId="1" xfId="0" applyNumberFormat="1" applyFont="1" applyFill="1" applyBorder="1" applyAlignment="1">
      <alignment horizontal="left" vertical="center"/>
    </xf>
    <xf numFmtId="181" fontId="8" fillId="3" borderId="1" xfId="0" applyNumberFormat="1" applyFont="1" applyFill="1" applyBorder="1" applyAlignment="1">
      <alignment horizontal="left" vertical="center"/>
    </xf>
    <xf numFmtId="184" fontId="8" fillId="5" borderId="1" xfId="0" applyNumberFormat="1" applyFont="1" applyFill="1" applyBorder="1" applyAlignment="1">
      <alignment horizontal="left" vertical="center"/>
    </xf>
    <xf numFmtId="184" fontId="8" fillId="4" borderId="1" xfId="0" applyNumberFormat="1" applyFont="1" applyFill="1" applyBorder="1" applyAlignment="1">
      <alignment horizontal="left" vertical="center"/>
    </xf>
    <xf numFmtId="181" fontId="6" fillId="0" borderId="3" xfId="34" applyNumberFormat="1" applyFont="1" applyBorder="1" applyAlignment="1">
      <alignment horizontal="center" vertical="center"/>
    </xf>
    <xf numFmtId="183" fontId="25" fillId="0" borderId="0" xfId="0" applyNumberFormat="1" applyFont="1">
      <alignment vertical="center"/>
    </xf>
    <xf numFmtId="14" fontId="25" fillId="0" borderId="0" xfId="0" applyNumberFormat="1" applyFont="1">
      <alignment vertical="center"/>
    </xf>
    <xf numFmtId="0" fontId="25" fillId="10" borderId="0" xfId="0" applyFont="1" applyFill="1">
      <alignment vertical="center"/>
    </xf>
    <xf numFmtId="0" fontId="4" fillId="10" borderId="0" xfId="0" applyFont="1" applyFill="1" applyAlignment="1">
      <alignment horizontal="left" vertical="center"/>
    </xf>
    <xf numFmtId="184" fontId="4" fillId="10" borderId="0" xfId="0" applyNumberFormat="1" applyFont="1" applyFill="1" applyAlignment="1">
      <alignment horizontal="left" vertical="center"/>
    </xf>
    <xf numFmtId="0" fontId="3" fillId="10" borderId="0" xfId="0" applyFont="1" applyFill="1" applyAlignment="1">
      <alignment horizontal="left" vertical="center"/>
    </xf>
    <xf numFmtId="0" fontId="23" fillId="10" borderId="0" xfId="0" applyFont="1" applyFill="1" applyAlignment="1">
      <alignment horizontal="center" vertical="center"/>
    </xf>
    <xf numFmtId="184" fontId="23" fillId="10" borderId="0" xfId="0" applyNumberFormat="1" applyFont="1" applyFill="1" applyAlignment="1">
      <alignment horizontal="center" vertical="center"/>
    </xf>
    <xf numFmtId="0" fontId="3" fillId="10" borderId="0" xfId="0" applyFont="1" applyFill="1" applyAlignment="1">
      <alignment horizontal="right" vertical="center"/>
    </xf>
    <xf numFmtId="0" fontId="23" fillId="10" borderId="0" xfId="0" applyFont="1" applyFill="1" applyAlignment="1">
      <alignment horizontal="left" vertical="center"/>
    </xf>
    <xf numFmtId="184" fontId="23" fillId="10" borderId="0" xfId="0" applyNumberFormat="1" applyFont="1" applyFill="1" applyAlignment="1">
      <alignment horizontal="left" vertical="center"/>
    </xf>
    <xf numFmtId="0" fontId="25" fillId="7" borderId="0" xfId="0" applyFont="1" applyFill="1">
      <alignment vertical="center"/>
    </xf>
    <xf numFmtId="181" fontId="0" fillId="0" borderId="0" xfId="0" applyNumberFormat="1">
      <alignment vertical="center"/>
    </xf>
    <xf numFmtId="184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27" fillId="5" borderId="3" xfId="35" applyFont="1" applyFill="1" applyBorder="1" applyAlignment="1">
      <alignment horizontal="left" vertical="center"/>
    </xf>
    <xf numFmtId="0" fontId="28" fillId="5" borderId="3" xfId="0" applyFont="1" applyFill="1" applyBorder="1" applyAlignment="1">
      <alignment horizontal="left" vertical="center"/>
    </xf>
    <xf numFmtId="0" fontId="4" fillId="11" borderId="0" xfId="0" applyFont="1" applyFill="1" applyAlignment="1">
      <alignment horizontal="left" vertical="center"/>
    </xf>
    <xf numFmtId="0" fontId="23" fillId="11" borderId="0" xfId="0" applyFont="1" applyFill="1" applyAlignment="1">
      <alignment horizontal="center" vertical="center"/>
    </xf>
    <xf numFmtId="0" fontId="23" fillId="11" borderId="0" xfId="0" applyFont="1" applyFill="1" applyAlignment="1">
      <alignment horizontal="left" vertical="center"/>
    </xf>
    <xf numFmtId="176" fontId="8" fillId="3" borderId="1" xfId="0" applyNumberFormat="1" applyFont="1" applyFill="1" applyBorder="1" applyAlignment="1">
      <alignment horizontal="left" vertical="center"/>
    </xf>
    <xf numFmtId="14" fontId="3" fillId="11" borderId="0" xfId="0" applyNumberFormat="1" applyFont="1" applyFill="1">
      <alignment vertical="center"/>
    </xf>
    <xf numFmtId="0" fontId="3" fillId="11" borderId="0" xfId="0" applyFont="1" applyFill="1">
      <alignment vertical="center"/>
    </xf>
    <xf numFmtId="4" fontId="3" fillId="0" borderId="0" xfId="0" applyNumberFormat="1" applyFont="1">
      <alignment vertical="center"/>
    </xf>
    <xf numFmtId="14" fontId="3" fillId="11" borderId="0" xfId="0" applyNumberFormat="1" applyFont="1" applyFill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22" fillId="0" borderId="3" xfId="34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81" fontId="26" fillId="8" borderId="3" xfId="0" applyNumberFormat="1" applyFont="1" applyFill="1" applyBorder="1" applyAlignment="1">
      <alignment horizontal="center" vertical="center"/>
    </xf>
    <xf numFmtId="183" fontId="3" fillId="0" borderId="3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/>
    </xf>
    <xf numFmtId="0" fontId="0" fillId="0" borderId="0" xfId="0" applyAlignment="1">
      <alignment vertical="center" wrapText="1"/>
    </xf>
    <xf numFmtId="181" fontId="0" fillId="0" borderId="0" xfId="0" applyNumberFormat="1" applyAlignment="1">
      <alignment vertical="center" wrapText="1"/>
    </xf>
    <xf numFmtId="0" fontId="0" fillId="12" borderId="0" xfId="0" applyFill="1">
      <alignment vertical="center"/>
    </xf>
    <xf numFmtId="176" fontId="6" fillId="13" borderId="3" xfId="1" applyNumberFormat="1" applyFont="1" applyFill="1" applyBorder="1" applyAlignment="1">
      <alignment horizontal="left"/>
    </xf>
    <xf numFmtId="0" fontId="6" fillId="13" borderId="3" xfId="1" applyFont="1" applyFill="1" applyBorder="1" applyAlignment="1">
      <alignment horizontal="left" vertical="center"/>
    </xf>
    <xf numFmtId="176" fontId="6" fillId="14" borderId="3" xfId="1" applyNumberFormat="1" applyFont="1" applyFill="1" applyBorder="1" applyAlignment="1">
      <alignment horizontal="left"/>
    </xf>
    <xf numFmtId="0" fontId="6" fillId="14" borderId="3" xfId="1" applyFont="1" applyFill="1" applyBorder="1" applyAlignment="1">
      <alignment horizontal="left" vertical="center"/>
    </xf>
    <xf numFmtId="14" fontId="3" fillId="14" borderId="2" xfId="0" applyNumberFormat="1" applyFont="1" applyFill="1" applyBorder="1" applyAlignment="1">
      <alignment horizontal="left" vertical="center"/>
    </xf>
    <xf numFmtId="176" fontId="6" fillId="14" borderId="3" xfId="1" applyNumberFormat="1" applyFont="1" applyFill="1" applyBorder="1" applyAlignment="1">
      <alignment horizontal="center" vertical="center"/>
    </xf>
    <xf numFmtId="0" fontId="6" fillId="0" borderId="3" xfId="1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0" xfId="0" applyFont="1" applyAlignment="1">
      <alignment horizontal="right" vertical="center"/>
    </xf>
    <xf numFmtId="14" fontId="3" fillId="0" borderId="3" xfId="0" applyNumberFormat="1" applyFont="1" applyBorder="1">
      <alignment vertical="center"/>
    </xf>
    <xf numFmtId="0" fontId="3" fillId="0" borderId="3" xfId="0" applyFont="1" applyBorder="1" applyAlignment="1">
      <alignment horizontal="right" vertical="center"/>
    </xf>
    <xf numFmtId="181" fontId="3" fillId="0" borderId="3" xfId="0" applyNumberFormat="1" applyFont="1" applyBorder="1" applyAlignment="1">
      <alignment horizontal="right" vertical="center"/>
    </xf>
    <xf numFmtId="0" fontId="3" fillId="0" borderId="3" xfId="0" applyFont="1" applyBorder="1">
      <alignment vertical="center"/>
    </xf>
    <xf numFmtId="0" fontId="3" fillId="0" borderId="3" xfId="0" applyFont="1" applyBorder="1" applyAlignment="1">
      <alignment vertical="center" wrapText="1"/>
    </xf>
    <xf numFmtId="0" fontId="3" fillId="10" borderId="0" xfId="0" applyFont="1" applyFill="1" applyAlignment="1">
      <alignment horizontal="center" vertical="center"/>
    </xf>
    <xf numFmtId="181" fontId="8" fillId="4" borderId="1" xfId="0" applyNumberFormat="1" applyFont="1" applyFill="1" applyBorder="1" applyAlignment="1">
      <alignment horizontal="left" vertical="center"/>
    </xf>
    <xf numFmtId="14" fontId="31" fillId="0" borderId="0" xfId="0" applyNumberFormat="1" applyFont="1">
      <alignment vertical="center"/>
    </xf>
    <xf numFmtId="0" fontId="3" fillId="10" borderId="3" xfId="0" applyFont="1" applyFill="1" applyBorder="1" applyAlignment="1">
      <alignment horizontal="right" vertical="center"/>
    </xf>
    <xf numFmtId="14" fontId="3" fillId="0" borderId="0" xfId="0" applyNumberFormat="1" applyFont="1">
      <alignment vertical="center"/>
    </xf>
    <xf numFmtId="176" fontId="8" fillId="0" borderId="3" xfId="1" applyNumberFormat="1" applyFont="1" applyBorder="1" applyAlignment="1">
      <alignment horizontal="left"/>
    </xf>
    <xf numFmtId="0" fontId="25" fillId="15" borderId="0" xfId="0" applyFont="1" applyFill="1">
      <alignment vertical="center"/>
    </xf>
    <xf numFmtId="14" fontId="3" fillId="0" borderId="0" xfId="0" applyNumberFormat="1" applyFont="1" applyAlignment="1">
      <alignment horizontal="left" vertical="center"/>
    </xf>
    <xf numFmtId="14" fontId="32" fillId="0" borderId="3" xfId="0" applyNumberFormat="1" applyFont="1" applyBorder="1" applyAlignment="1">
      <alignment horizontal="left" vertical="center"/>
    </xf>
    <xf numFmtId="14" fontId="3" fillId="13" borderId="2" xfId="0" applyNumberFormat="1" applyFont="1" applyFill="1" applyBorder="1" applyAlignment="1">
      <alignment horizontal="left" vertical="center"/>
    </xf>
    <xf numFmtId="183" fontId="3" fillId="14" borderId="3" xfId="0" applyNumberFormat="1" applyFont="1" applyFill="1" applyBorder="1" applyAlignment="1">
      <alignment horizontal="center" vertical="center"/>
    </xf>
    <xf numFmtId="0" fontId="3" fillId="14" borderId="3" xfId="0" applyFont="1" applyFill="1" applyBorder="1" applyAlignment="1">
      <alignment vertical="center" wrapText="1"/>
    </xf>
    <xf numFmtId="0" fontId="3" fillId="14" borderId="3" xfId="0" applyFont="1" applyFill="1" applyBorder="1">
      <alignment vertical="center"/>
    </xf>
    <xf numFmtId="0" fontId="3" fillId="14" borderId="3" xfId="0" applyFont="1" applyFill="1" applyBorder="1" applyAlignment="1">
      <alignment horizontal="center" vertical="center"/>
    </xf>
    <xf numFmtId="0" fontId="3" fillId="14" borderId="3" xfId="0" applyFont="1" applyFill="1" applyBorder="1" applyAlignment="1">
      <alignment horizontal="center" vertical="center" wrapText="1"/>
    </xf>
    <xf numFmtId="176" fontId="3" fillId="0" borderId="0" xfId="0" applyNumberFormat="1" applyFont="1" applyAlignment="1">
      <alignment horizontal="center" vertical="center"/>
    </xf>
    <xf numFmtId="176" fontId="3" fillId="0" borderId="0" xfId="0" applyNumberFormat="1" applyFont="1">
      <alignment vertical="center"/>
    </xf>
    <xf numFmtId="14" fontId="8" fillId="0" borderId="3" xfId="1" quotePrefix="1" applyNumberFormat="1" applyFont="1" applyBorder="1" applyAlignment="1">
      <alignment horizontal="left"/>
    </xf>
    <xf numFmtId="14" fontId="3" fillId="14" borderId="3" xfId="0" applyNumberFormat="1" applyFont="1" applyFill="1" applyBorder="1" applyAlignment="1">
      <alignment horizontal="left" vertical="center"/>
    </xf>
    <xf numFmtId="14" fontId="6" fillId="0" borderId="3" xfId="0" applyNumberFormat="1" applyFont="1" applyBorder="1" applyAlignment="1">
      <alignment horizontal="left" vertical="center"/>
    </xf>
    <xf numFmtId="183" fontId="3" fillId="0" borderId="0" xfId="0" applyNumberFormat="1" applyFont="1">
      <alignment vertical="center"/>
    </xf>
    <xf numFmtId="0" fontId="34" fillId="17" borderId="0" xfId="0" applyFont="1" applyFill="1" applyAlignment="1">
      <alignment horizontal="left" vertical="center"/>
    </xf>
    <xf numFmtId="183" fontId="3" fillId="13" borderId="3" xfId="0" applyNumberFormat="1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vertical="center" wrapText="1"/>
    </xf>
    <xf numFmtId="0" fontId="3" fillId="13" borderId="3" xfId="0" applyFont="1" applyFill="1" applyBorder="1">
      <alignment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 wrapText="1"/>
    </xf>
    <xf numFmtId="14" fontId="22" fillId="0" borderId="3" xfId="34" applyNumberFormat="1" applyFont="1" applyBorder="1" applyAlignment="1">
      <alignment horizontal="center" vertical="center"/>
    </xf>
    <xf numFmtId="14" fontId="27" fillId="5" borderId="2" xfId="35" applyNumberFormat="1" applyFont="1" applyFill="1" applyBorder="1" applyAlignment="1">
      <alignment horizontal="left" vertical="center"/>
    </xf>
    <xf numFmtId="14" fontId="3" fillId="10" borderId="0" xfId="0" applyNumberFormat="1" applyFont="1" applyFill="1" applyAlignment="1">
      <alignment horizontal="left" vertical="center"/>
    </xf>
    <xf numFmtId="176" fontId="6" fillId="13" borderId="3" xfId="1" applyNumberFormat="1" applyFont="1" applyFill="1" applyBorder="1" applyAlignment="1">
      <alignment horizontal="center" vertical="center"/>
    </xf>
    <xf numFmtId="182" fontId="3" fillId="14" borderId="3" xfId="0" quotePrefix="1" applyNumberFormat="1" applyFont="1" applyFill="1" applyBorder="1" applyAlignment="1">
      <alignment horizontal="left" vertical="center"/>
    </xf>
    <xf numFmtId="181" fontId="3" fillId="18" borderId="3" xfId="0" applyNumberFormat="1" applyFont="1" applyFill="1" applyBorder="1" applyAlignment="1">
      <alignment horizontal="left" vertical="center"/>
    </xf>
    <xf numFmtId="185" fontId="25" fillId="0" borderId="0" xfId="0" applyNumberFormat="1" applyFont="1">
      <alignment vertical="center"/>
    </xf>
    <xf numFmtId="182" fontId="3" fillId="13" borderId="3" xfId="0" quotePrefix="1" applyNumberFormat="1" applyFont="1" applyFill="1" applyBorder="1" applyAlignment="1">
      <alignment horizontal="left" vertical="center"/>
    </xf>
    <xf numFmtId="14" fontId="23" fillId="11" borderId="0" xfId="0" applyNumberFormat="1" applyFont="1" applyFill="1" applyAlignment="1">
      <alignment horizontal="center" vertical="center"/>
    </xf>
    <xf numFmtId="184" fontId="0" fillId="0" borderId="0" xfId="0" applyNumberFormat="1" applyAlignment="1">
      <alignment vertical="center" wrapText="1"/>
    </xf>
    <xf numFmtId="186" fontId="0" fillId="0" borderId="0" xfId="0" applyNumberFormat="1">
      <alignment vertical="center"/>
    </xf>
    <xf numFmtId="186" fontId="0" fillId="12" borderId="0" xfId="0" applyNumberFormat="1" applyFill="1">
      <alignment vertical="center"/>
    </xf>
    <xf numFmtId="14" fontId="3" fillId="0" borderId="3" xfId="0" quotePrefix="1" applyNumberFormat="1" applyFont="1" applyBorder="1" applyAlignment="1">
      <alignment horizontal="left" vertical="center"/>
    </xf>
    <xf numFmtId="0" fontId="34" fillId="17" borderId="0" xfId="0" applyFont="1" applyFill="1">
      <alignment vertical="center"/>
    </xf>
    <xf numFmtId="183" fontId="3" fillId="0" borderId="0" xfId="0" applyNumberFormat="1" applyFont="1" applyAlignment="1">
      <alignment horizontal="left" vertical="center"/>
    </xf>
    <xf numFmtId="0" fontId="34" fillId="17" borderId="3" xfId="0" applyFont="1" applyFill="1" applyBorder="1" applyAlignment="1">
      <alignment horizontal="left" vertical="center"/>
    </xf>
    <xf numFmtId="183" fontId="3" fillId="19" borderId="3" xfId="0" applyNumberFormat="1" applyFont="1" applyFill="1" applyBorder="1" applyAlignment="1">
      <alignment horizontal="center" vertical="center"/>
    </xf>
    <xf numFmtId="0" fontId="3" fillId="19" borderId="3" xfId="0" applyFont="1" applyFill="1" applyBorder="1" applyAlignment="1">
      <alignment vertical="center" wrapText="1"/>
    </xf>
    <xf numFmtId="0" fontId="3" fillId="19" borderId="3" xfId="0" applyFont="1" applyFill="1" applyBorder="1">
      <alignment vertical="center"/>
    </xf>
    <xf numFmtId="0" fontId="3" fillId="19" borderId="3" xfId="0" applyFont="1" applyFill="1" applyBorder="1" applyAlignment="1">
      <alignment horizontal="center" vertical="center"/>
    </xf>
    <xf numFmtId="0" fontId="3" fillId="19" borderId="3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left" vertical="center"/>
    </xf>
    <xf numFmtId="14" fontId="3" fillId="0" borderId="2" xfId="0" applyNumberFormat="1" applyFont="1" applyBorder="1" applyAlignment="1">
      <alignment horizontal="left" vertical="center"/>
    </xf>
    <xf numFmtId="182" fontId="3" fillId="0" borderId="3" xfId="0" quotePrefix="1" applyNumberFormat="1" applyFont="1" applyBorder="1" applyAlignment="1">
      <alignment horizontal="left" vertical="center"/>
    </xf>
    <xf numFmtId="176" fontId="6" fillId="0" borderId="3" xfId="1" applyNumberFormat="1" applyFont="1" applyBorder="1" applyAlignment="1">
      <alignment horizontal="center" vertical="center"/>
    </xf>
    <xf numFmtId="176" fontId="6" fillId="0" borderId="3" xfId="1" applyNumberFormat="1" applyFont="1" applyBorder="1" applyAlignment="1">
      <alignment horizontal="left"/>
    </xf>
    <xf numFmtId="181" fontId="3" fillId="19" borderId="3" xfId="0" applyNumberFormat="1" applyFont="1" applyFill="1" applyBorder="1" applyAlignment="1">
      <alignment horizontal="left" vertical="center"/>
    </xf>
    <xf numFmtId="183" fontId="0" fillId="0" borderId="0" xfId="0" applyNumberFormat="1">
      <alignment vertical="center"/>
    </xf>
    <xf numFmtId="14" fontId="3" fillId="13" borderId="3" xfId="0" applyNumberFormat="1" applyFont="1" applyFill="1" applyBorder="1" applyAlignment="1">
      <alignment horizontal="left" vertical="center"/>
    </xf>
    <xf numFmtId="181" fontId="3" fillId="0" borderId="3" xfId="0" applyNumberFormat="1" applyFont="1" applyBorder="1" applyAlignment="1">
      <alignment vertical="center" wrapText="1"/>
    </xf>
    <xf numFmtId="0" fontId="32" fillId="0" borderId="3" xfId="0" applyFont="1" applyBorder="1" applyAlignment="1">
      <alignment horizontal="left" vertical="center"/>
    </xf>
    <xf numFmtId="14" fontId="25" fillId="0" borderId="3" xfId="0" applyNumberFormat="1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4" fontId="6" fillId="0" borderId="3" xfId="0" applyNumberFormat="1" applyFont="1" applyBorder="1">
      <alignment vertical="center"/>
    </xf>
    <xf numFmtId="14" fontId="3" fillId="19" borderId="2" xfId="0" applyNumberFormat="1" applyFont="1" applyFill="1" applyBorder="1" applyAlignment="1">
      <alignment horizontal="left" vertical="center"/>
    </xf>
    <xf numFmtId="182" fontId="3" fillId="19" borderId="3" xfId="0" quotePrefix="1" applyNumberFormat="1" applyFont="1" applyFill="1" applyBorder="1" applyAlignment="1">
      <alignment horizontal="left" vertical="center"/>
    </xf>
    <xf numFmtId="176" fontId="6" fillId="19" borderId="3" xfId="1" applyNumberFormat="1" applyFont="1" applyFill="1" applyBorder="1" applyAlignment="1">
      <alignment horizontal="center" vertical="center"/>
    </xf>
    <xf numFmtId="176" fontId="6" fillId="19" borderId="3" xfId="1" applyNumberFormat="1" applyFont="1" applyFill="1" applyBorder="1" applyAlignment="1">
      <alignment horizontal="left"/>
    </xf>
    <xf numFmtId="0" fontId="6" fillId="19" borderId="3" xfId="1" applyFont="1" applyFill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83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left" vertical="center"/>
    </xf>
    <xf numFmtId="0" fontId="3" fillId="14" borderId="3" xfId="0" quotePrefix="1" applyFont="1" applyFill="1" applyBorder="1" applyAlignment="1">
      <alignment vertical="center" wrapText="1"/>
    </xf>
    <xf numFmtId="0" fontId="37" fillId="20" borderId="3" xfId="0" applyFont="1" applyFill="1" applyBorder="1" applyAlignment="1">
      <alignment horizontal="left" vertical="center"/>
    </xf>
    <xf numFmtId="0" fontId="23" fillId="2" borderId="10" xfId="0" applyFont="1" applyFill="1" applyBorder="1" applyAlignment="1">
      <alignment horizontal="center" vertical="center" wrapText="1"/>
    </xf>
    <xf numFmtId="0" fontId="23" fillId="2" borderId="3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23" fillId="2" borderId="11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181" fontId="23" fillId="2" borderId="10" xfId="0" applyNumberFormat="1" applyFont="1" applyFill="1" applyBorder="1" applyAlignment="1">
      <alignment horizontal="center" vertical="center" wrapText="1"/>
    </xf>
    <xf numFmtId="181" fontId="23" fillId="2" borderId="3" xfId="0" applyNumberFormat="1" applyFont="1" applyFill="1" applyBorder="1" applyAlignment="1">
      <alignment horizontal="center" vertical="center" wrapText="1"/>
    </xf>
    <xf numFmtId="181" fontId="3" fillId="2" borderId="13" xfId="0" applyNumberFormat="1" applyFont="1" applyFill="1" applyBorder="1" applyAlignment="1">
      <alignment horizontal="center" vertical="center" wrapText="1"/>
    </xf>
    <xf numFmtId="184" fontId="23" fillId="2" borderId="10" xfId="0" applyNumberFormat="1" applyFont="1" applyFill="1" applyBorder="1" applyAlignment="1">
      <alignment horizontal="center" vertical="center" wrapText="1"/>
    </xf>
    <xf numFmtId="184" fontId="23" fillId="2" borderId="3" xfId="0" applyNumberFormat="1" applyFont="1" applyFill="1" applyBorder="1" applyAlignment="1">
      <alignment horizontal="center" vertical="center" wrapText="1"/>
    </xf>
    <xf numFmtId="184" fontId="3" fillId="2" borderId="13" xfId="0" applyNumberFormat="1" applyFont="1" applyFill="1" applyBorder="1" applyAlignment="1">
      <alignment horizontal="center" vertical="center" wrapText="1"/>
    </xf>
    <xf numFmtId="181" fontId="4" fillId="2" borderId="10" xfId="0" applyNumberFormat="1" applyFont="1" applyFill="1" applyBorder="1" applyAlignment="1">
      <alignment horizontal="center" vertical="center" wrapText="1"/>
    </xf>
    <xf numFmtId="184" fontId="4" fillId="2" borderId="10" xfId="0" applyNumberFormat="1" applyFont="1" applyFill="1" applyBorder="1" applyAlignment="1">
      <alignment horizontal="center" vertical="center" wrapText="1"/>
    </xf>
    <xf numFmtId="0" fontId="23" fillId="2" borderId="9" xfId="0" applyFont="1" applyFill="1" applyBorder="1" applyAlignment="1">
      <alignment horizontal="center" vertical="center" wrapText="1"/>
    </xf>
    <xf numFmtId="0" fontId="23" fillId="2" borderId="2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181" fontId="4" fillId="2" borderId="18" xfId="0" applyNumberFormat="1" applyFont="1" applyFill="1" applyBorder="1" applyAlignment="1">
      <alignment horizontal="center" vertical="center" wrapText="1"/>
    </xf>
    <xf numFmtId="0" fontId="0" fillId="0" borderId="21" xfId="0" applyBorder="1">
      <alignment vertical="center"/>
    </xf>
    <xf numFmtId="0" fontId="0" fillId="0" borderId="30" xfId="0" applyBorder="1">
      <alignment vertical="center"/>
    </xf>
    <xf numFmtId="181" fontId="4" fillId="2" borderId="21" xfId="0" applyNumberFormat="1" applyFont="1" applyFill="1" applyBorder="1" applyAlignment="1">
      <alignment horizontal="center" vertical="center" wrapText="1"/>
    </xf>
    <xf numFmtId="181" fontId="4" fillId="2" borderId="30" xfId="0" applyNumberFormat="1" applyFont="1" applyFill="1" applyBorder="1" applyAlignment="1">
      <alignment horizontal="center" vertical="center" wrapText="1"/>
    </xf>
    <xf numFmtId="184" fontId="4" fillId="2" borderId="18" xfId="0" applyNumberFormat="1" applyFont="1" applyFill="1" applyBorder="1" applyAlignment="1">
      <alignment horizontal="center" vertical="center" wrapText="1"/>
    </xf>
    <xf numFmtId="184" fontId="4" fillId="2" borderId="21" xfId="0" applyNumberFormat="1" applyFont="1" applyFill="1" applyBorder="1" applyAlignment="1">
      <alignment horizontal="center" vertical="center" wrapText="1"/>
    </xf>
    <xf numFmtId="184" fontId="4" fillId="2" borderId="30" xfId="0" applyNumberFormat="1" applyFont="1" applyFill="1" applyBorder="1" applyAlignment="1">
      <alignment horizontal="center" vertical="center" wrapText="1"/>
    </xf>
    <xf numFmtId="0" fontId="4" fillId="11" borderId="19" xfId="0" applyFont="1" applyFill="1" applyBorder="1" applyAlignment="1">
      <alignment horizontal="center" vertical="center" wrapText="1"/>
    </xf>
    <xf numFmtId="0" fontId="0" fillId="11" borderId="22" xfId="0" applyFill="1" applyBorder="1">
      <alignment vertical="center"/>
    </xf>
    <xf numFmtId="0" fontId="0" fillId="0" borderId="22" xfId="0" applyBorder="1">
      <alignment vertical="center"/>
    </xf>
    <xf numFmtId="0" fontId="0" fillId="0" borderId="7" xfId="0" applyBorder="1">
      <alignment vertical="center"/>
    </xf>
    <xf numFmtId="181" fontId="23" fillId="2" borderId="13" xfId="0" applyNumberFormat="1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11" borderId="18" xfId="0" applyFont="1" applyFill="1" applyBorder="1" applyAlignment="1">
      <alignment horizontal="center" vertical="center" wrapText="1"/>
    </xf>
    <xf numFmtId="0" fontId="0" fillId="11" borderId="21" xfId="0" applyFill="1" applyBorder="1">
      <alignment vertical="center"/>
    </xf>
    <xf numFmtId="14" fontId="4" fillId="2" borderId="34" xfId="0" applyNumberFormat="1" applyFont="1" applyFill="1" applyBorder="1" applyAlignment="1">
      <alignment horizontal="center" vertical="center" wrapText="1"/>
    </xf>
    <xf numFmtId="14" fontId="0" fillId="0" borderId="35" xfId="0" applyNumberFormat="1" applyBorder="1">
      <alignment vertical="center"/>
    </xf>
    <xf numFmtId="14" fontId="0" fillId="0" borderId="36" xfId="0" applyNumberFormat="1" applyBorder="1">
      <alignment vertical="center"/>
    </xf>
    <xf numFmtId="14" fontId="4" fillId="2" borderId="18" xfId="0" applyNumberFormat="1" applyFont="1" applyFill="1" applyBorder="1" applyAlignment="1">
      <alignment horizontal="center" vertical="center" wrapText="1"/>
    </xf>
    <xf numFmtId="14" fontId="4" fillId="2" borderId="21" xfId="0" applyNumberFormat="1" applyFont="1" applyFill="1" applyBorder="1" applyAlignment="1">
      <alignment horizontal="center" vertical="center" wrapText="1"/>
    </xf>
    <xf numFmtId="14" fontId="4" fillId="2" borderId="30" xfId="0" applyNumberFormat="1" applyFont="1" applyFill="1" applyBorder="1" applyAlignment="1">
      <alignment horizontal="center" vertical="center" wrapText="1"/>
    </xf>
    <xf numFmtId="0" fontId="4" fillId="2" borderId="21" xfId="0" applyFont="1" applyFill="1" applyBorder="1" applyAlignment="1">
      <alignment horizontal="center" vertical="center" wrapText="1"/>
    </xf>
    <xf numFmtId="0" fontId="4" fillId="2" borderId="30" xfId="0" applyFont="1" applyFill="1" applyBorder="1" applyAlignment="1">
      <alignment horizontal="center" vertical="center" wrapText="1"/>
    </xf>
    <xf numFmtId="0" fontId="4" fillId="2" borderId="31" xfId="0" applyFont="1" applyFill="1" applyBorder="1" applyAlignment="1">
      <alignment horizontal="center" vertical="center" wrapText="1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23" fillId="2" borderId="18" xfId="0" applyFont="1" applyFill="1" applyBorder="1" applyAlignment="1">
      <alignment horizontal="center" vertical="center" wrapText="1"/>
    </xf>
    <xf numFmtId="0" fontId="23" fillId="2" borderId="21" xfId="0" applyFont="1" applyFill="1" applyBorder="1" applyAlignment="1">
      <alignment horizontal="center" vertical="center" wrapText="1"/>
    </xf>
    <xf numFmtId="0" fontId="23" fillId="2" borderId="24" xfId="0" applyFont="1" applyFill="1" applyBorder="1" applyAlignment="1">
      <alignment horizontal="center" vertical="center" wrapText="1"/>
    </xf>
    <xf numFmtId="0" fontId="23" fillId="2" borderId="17" xfId="0" applyFont="1" applyFill="1" applyBorder="1" applyAlignment="1">
      <alignment horizontal="center" vertical="center" wrapText="1"/>
    </xf>
    <xf numFmtId="0" fontId="23" fillId="2" borderId="20" xfId="0" applyFont="1" applyFill="1" applyBorder="1" applyAlignment="1">
      <alignment horizontal="center" vertical="center" wrapText="1"/>
    </xf>
    <xf numFmtId="0" fontId="23" fillId="2" borderId="23" xfId="0" applyFont="1" applyFill="1" applyBorder="1" applyAlignment="1">
      <alignment horizontal="center" vertical="center" wrapText="1"/>
    </xf>
    <xf numFmtId="181" fontId="23" fillId="2" borderId="18" xfId="0" applyNumberFormat="1" applyFont="1" applyFill="1" applyBorder="1" applyAlignment="1">
      <alignment horizontal="center" vertical="center" wrapText="1"/>
    </xf>
    <xf numFmtId="181" fontId="23" fillId="2" borderId="21" xfId="0" applyNumberFormat="1" applyFont="1" applyFill="1" applyBorder="1" applyAlignment="1">
      <alignment horizontal="center" vertical="center" wrapText="1"/>
    </xf>
    <xf numFmtId="181" fontId="23" fillId="2" borderId="24" xfId="0" applyNumberFormat="1" applyFont="1" applyFill="1" applyBorder="1" applyAlignment="1">
      <alignment horizontal="center" vertical="center" wrapText="1"/>
    </xf>
    <xf numFmtId="184" fontId="23" fillId="2" borderId="18" xfId="0" applyNumberFormat="1" applyFont="1" applyFill="1" applyBorder="1" applyAlignment="1">
      <alignment horizontal="center" vertical="center" wrapText="1"/>
    </xf>
    <xf numFmtId="184" fontId="23" fillId="2" borderId="21" xfId="0" applyNumberFormat="1" applyFont="1" applyFill="1" applyBorder="1" applyAlignment="1">
      <alignment horizontal="center" vertical="center" wrapText="1"/>
    </xf>
    <xf numFmtId="184" fontId="23" fillId="2" borderId="24" xfId="0" applyNumberFormat="1" applyFont="1" applyFill="1" applyBorder="1" applyAlignment="1">
      <alignment horizontal="center" vertical="center" wrapText="1"/>
    </xf>
    <xf numFmtId="0" fontId="23" fillId="2" borderId="19" xfId="0" applyFont="1" applyFill="1" applyBorder="1" applyAlignment="1">
      <alignment horizontal="center" vertical="center" wrapText="1"/>
    </xf>
    <xf numFmtId="0" fontId="23" fillId="2" borderId="22" xfId="0" applyFont="1" applyFill="1" applyBorder="1" applyAlignment="1">
      <alignment horizontal="center" vertical="center" wrapText="1"/>
    </xf>
    <xf numFmtId="0" fontId="23" fillId="2" borderId="25" xfId="0" applyFont="1" applyFill="1" applyBorder="1" applyAlignment="1">
      <alignment horizontal="center" vertical="center" wrapText="1"/>
    </xf>
    <xf numFmtId="0" fontId="23" fillId="2" borderId="13" xfId="0" applyFont="1" applyFill="1" applyBorder="1" applyAlignment="1">
      <alignment horizontal="center" vertical="center" wrapText="1"/>
    </xf>
    <xf numFmtId="14" fontId="23" fillId="2" borderId="9" xfId="0" applyNumberFormat="1" applyFont="1" applyFill="1" applyBorder="1" applyAlignment="1">
      <alignment horizontal="center" vertical="center" wrapText="1"/>
    </xf>
    <xf numFmtId="14" fontId="23" fillId="2" borderId="2" xfId="0" applyNumberFormat="1" applyFont="1" applyFill="1" applyBorder="1" applyAlignment="1">
      <alignment horizontal="center" vertical="center" wrapText="1"/>
    </xf>
    <xf numFmtId="14" fontId="23" fillId="2" borderId="12" xfId="0" applyNumberFormat="1" applyFont="1" applyFill="1" applyBorder="1" applyAlignment="1">
      <alignment horizontal="center" vertical="center" wrapText="1"/>
    </xf>
    <xf numFmtId="184" fontId="23" fillId="2" borderId="13" xfId="0" applyNumberFormat="1" applyFont="1" applyFill="1" applyBorder="1" applyAlignment="1">
      <alignment horizontal="center" vertical="center" wrapText="1"/>
    </xf>
    <xf numFmtId="0" fontId="23" fillId="2" borderId="14" xfId="0" applyFont="1" applyFill="1" applyBorder="1" applyAlignment="1">
      <alignment horizontal="center" vertical="center" wrapText="1"/>
    </xf>
    <xf numFmtId="0" fontId="3" fillId="7" borderId="27" xfId="0" applyFont="1" applyFill="1" applyBorder="1" applyAlignment="1">
      <alignment horizontal="center" vertical="center" wrapText="1"/>
    </xf>
    <xf numFmtId="0" fontId="3" fillId="7" borderId="28" xfId="0" applyFont="1" applyFill="1" applyBorder="1" applyAlignment="1">
      <alignment horizontal="center" vertical="center" wrapText="1"/>
    </xf>
    <xf numFmtId="0" fontId="3" fillId="7" borderId="27" xfId="35" applyFont="1" applyFill="1" applyBorder="1" applyAlignment="1">
      <alignment horizontal="center" vertical="center" wrapText="1"/>
    </xf>
    <xf numFmtId="0" fontId="3" fillId="7" borderId="29" xfId="35" applyFont="1" applyFill="1" applyBorder="1" applyAlignment="1">
      <alignment horizontal="center" vertical="center" wrapText="1"/>
    </xf>
    <xf numFmtId="0" fontId="3" fillId="7" borderId="28" xfId="35" applyFont="1" applyFill="1" applyBorder="1" applyAlignment="1">
      <alignment horizontal="center" vertical="center" wrapText="1"/>
    </xf>
  </cellXfs>
  <cellStyles count="56">
    <cellStyle name="AeE­ [0]_INQUIRY ¿μ¾÷AßAø " xfId="3" xr:uid="{00000000-0005-0000-0000-000000000000}"/>
    <cellStyle name="AeE­_INQUIRY ¿μ¾÷AßAø " xfId="4" xr:uid="{00000000-0005-0000-0000-000001000000}"/>
    <cellStyle name="AÞ¸¶ [0]_INQUIRY ¿μ¾÷AßAø " xfId="5" xr:uid="{00000000-0005-0000-0000-000002000000}"/>
    <cellStyle name="AÞ¸¶_INQUIRY ¿μ¾÷AßAø " xfId="6" xr:uid="{00000000-0005-0000-0000-000003000000}"/>
    <cellStyle name="C￥AØ_¿μ¾÷CoE² " xfId="7" xr:uid="{00000000-0005-0000-0000-000004000000}"/>
    <cellStyle name="Comma [0]_ SG&amp;A Bridge " xfId="8" xr:uid="{00000000-0005-0000-0000-000006000000}"/>
    <cellStyle name="Comma_ SG&amp;A Bridge " xfId="9" xr:uid="{00000000-0005-0000-0000-000007000000}"/>
    <cellStyle name="Comma0" xfId="10" xr:uid="{00000000-0005-0000-0000-000008000000}"/>
    <cellStyle name="Currency [0]_ SG&amp;A Bridge " xfId="11" xr:uid="{00000000-0005-0000-0000-000009000000}"/>
    <cellStyle name="Currency_ SG&amp;A Bridge " xfId="12" xr:uid="{00000000-0005-0000-0000-00000A000000}"/>
    <cellStyle name="Currency0" xfId="13" xr:uid="{00000000-0005-0000-0000-00000B000000}"/>
    <cellStyle name="Date" xfId="14" xr:uid="{00000000-0005-0000-0000-00000C000000}"/>
    <cellStyle name="Fixed" xfId="15" xr:uid="{00000000-0005-0000-0000-00000D000000}"/>
    <cellStyle name="Header1" xfId="16" xr:uid="{00000000-0005-0000-0000-00000E000000}"/>
    <cellStyle name="Header2" xfId="17" xr:uid="{00000000-0005-0000-0000-00000F000000}"/>
    <cellStyle name="Heading 1" xfId="18" xr:uid="{00000000-0005-0000-0000-000010000000}"/>
    <cellStyle name="Heading 2" xfId="19" xr:uid="{00000000-0005-0000-0000-000011000000}"/>
    <cellStyle name="Normal_ SG&amp;A Bridge " xfId="20" xr:uid="{00000000-0005-0000-0000-000012000000}"/>
    <cellStyle name="S.O.H." xfId="21" xr:uid="{00000000-0005-0000-0000-000013000000}"/>
    <cellStyle name="Total" xfId="22" xr:uid="{00000000-0005-0000-0000-000014000000}"/>
    <cellStyle name="메모 2" xfId="50" xr:uid="{81FA8A15-F312-4BAD-8D3E-86F1C463EA93}"/>
    <cellStyle name="백분율 2" xfId="23" xr:uid="{00000000-0005-0000-0000-000015000000}"/>
    <cellStyle name="백분율 3" xfId="42" xr:uid="{00000000-0005-0000-0000-000016000000}"/>
    <cellStyle name="백분율 3 2" xfId="51" xr:uid="{7C3DFA4E-7CEA-4893-92B0-EE1AAC58FC3E}"/>
    <cellStyle name="뷭?_BOOKSHIP" xfId="24" xr:uid="{00000000-0005-0000-0000-000017000000}"/>
    <cellStyle name="常规_(greece)Proforma Invoice Electronics" xfId="25" xr:uid="{00000000-0005-0000-0000-000018000000}"/>
    <cellStyle name="쉼표 [0] 2" xfId="26" xr:uid="{00000000-0005-0000-0000-00001B000000}"/>
    <cellStyle name="쉼표 [0] 2 2" xfId="27" xr:uid="{00000000-0005-0000-0000-00001C000000}"/>
    <cellStyle name="쉼표 [0] 2 3" xfId="44" xr:uid="{00000000-0005-0000-0000-00001D000000}"/>
    <cellStyle name="쉼표 [0] 2 3 2" xfId="45" xr:uid="{00000000-0005-0000-0000-00001E000000}"/>
    <cellStyle name="쉼표 [0] 3" xfId="43" xr:uid="{00000000-0005-0000-0000-00001F000000}"/>
    <cellStyle name="스타일 1" xfId="28" xr:uid="{00000000-0005-0000-0000-000020000000}"/>
    <cellStyle name="스타일 1 2" xfId="52" xr:uid="{02545AB3-4263-436B-98D5-6A8D9CA45293}"/>
    <cellStyle name="一般_Air" xfId="29" xr:uid="{00000000-0005-0000-0000-000021000000}"/>
    <cellStyle name="千分位[0]_C4_SALES_SP" xfId="30" xr:uid="{00000000-0005-0000-0000-000022000000}"/>
    <cellStyle name="千分位_C4_SALES_SP" xfId="31" xr:uid="{00000000-0005-0000-0000-000023000000}"/>
    <cellStyle name="콤마 [0]_10" xfId="32" xr:uid="{00000000-0005-0000-0000-000024000000}"/>
    <cellStyle name="콤마_10" xfId="2" xr:uid="{00000000-0005-0000-0000-000025000000}"/>
    <cellStyle name="통화 [0] 2" xfId="33" xr:uid="{00000000-0005-0000-0000-000026000000}"/>
    <cellStyle name="통화 [0] 2 2" xfId="53" xr:uid="{5EA352A0-6C31-4830-B8F8-13CD653FE126}"/>
    <cellStyle name="통화 [0] 3" xfId="46" xr:uid="{00000000-0005-0000-0000-000027000000}"/>
    <cellStyle name="표준" xfId="0" builtinId="0"/>
    <cellStyle name="표준 10" xfId="54" xr:uid="{D7EB3293-D4BB-449C-9AFA-2B3F59A6659D}"/>
    <cellStyle name="표준 2" xfId="1" xr:uid="{00000000-0005-0000-0000-000029000000}"/>
    <cellStyle name="표준 2 2" xfId="34" xr:uid="{00000000-0005-0000-0000-00002A000000}"/>
    <cellStyle name="표준 2 2 2" xfId="35" xr:uid="{00000000-0005-0000-0000-00002B000000}"/>
    <cellStyle name="표준 2 2 3" xfId="40" xr:uid="{00000000-0005-0000-0000-00002C000000}"/>
    <cellStyle name="표준 2 3" xfId="47" xr:uid="{00000000-0005-0000-0000-00002D000000}"/>
    <cellStyle name="표준 2 3 2" xfId="48" xr:uid="{00000000-0005-0000-0000-00002E000000}"/>
    <cellStyle name="표준 2_비전메탈12월2 (3)" xfId="49" xr:uid="{00000000-0005-0000-0000-00002F000000}"/>
    <cellStyle name="표준 3" xfId="36" xr:uid="{00000000-0005-0000-0000-000030000000}"/>
    <cellStyle name="표준 4" xfId="37" xr:uid="{00000000-0005-0000-0000-000031000000}"/>
    <cellStyle name="표준 5" xfId="41" xr:uid="{00000000-0005-0000-0000-000032000000}"/>
    <cellStyle name="하이퍼링크 2" xfId="55" xr:uid="{E78BC489-4943-4044-A675-F020B1F1B58F}"/>
    <cellStyle name="貨幣 [0]_C4_SALES_SP" xfId="38" xr:uid="{00000000-0005-0000-0000-000033000000}"/>
    <cellStyle name="貨幣_C4_SALES_SP" xfId="39" xr:uid="{00000000-0005-0000-0000-000034000000}"/>
  </cellStyles>
  <dxfs count="25">
    <dxf>
      <fill>
        <patternFill patternType="solid">
          <fgColor indexed="64"/>
          <bgColor rgb="FF002060"/>
        </patternFill>
      </fill>
    </dxf>
    <dxf>
      <numFmt numFmtId="186" formatCode="&quot;₩&quot;#,##0"/>
    </dxf>
    <dxf>
      <fill>
        <patternFill patternType="solid">
          <fgColor indexed="64"/>
          <bgColor rgb="FF002060"/>
        </patternFill>
      </fill>
    </dxf>
    <dxf>
      <numFmt numFmtId="186" formatCode="&quot;₩&quot;#,##0"/>
    </dxf>
    <dxf>
      <fill>
        <patternFill patternType="solid">
          <fgColor indexed="64"/>
          <bgColor rgb="FF002060"/>
        </patternFill>
      </fill>
    </dxf>
    <dxf>
      <numFmt numFmtId="186" formatCode="&quot;₩&quot;#,##0"/>
    </dxf>
    <dxf>
      <fill>
        <patternFill patternType="solid">
          <fgColor indexed="64"/>
          <bgColor rgb="FF002060"/>
        </patternFill>
      </fill>
    </dxf>
    <dxf>
      <numFmt numFmtId="186" formatCode="&quot;₩&quot;#,##0"/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rgb="FF002060"/>
        </patternFill>
      </fill>
    </dxf>
    <dxf>
      <alignment horizontal="general" vertical="center" textRotation="0" wrapText="1" indent="0" justifyLastLine="0" shrinkToFit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CCF3FD"/>
      <color rgb="FF2EA1B8"/>
      <color rgb="FFCCFDEA"/>
      <color rgb="FFFD0000"/>
      <color rgb="FFFDE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171449</xdr:rowOff>
    </xdr:from>
    <xdr:to>
      <xdr:col>2</xdr:col>
      <xdr:colOff>457199</xdr:colOff>
      <xdr:row>2</xdr:row>
      <xdr:rowOff>47625</xdr:rowOff>
    </xdr:to>
    <xdr:sp macro="[0]!일괄재고목록_SPC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95275" y="171449"/>
          <a:ext cx="1142999" cy="37147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/>
            <a:t>재고목록 변환ㅗㅅ</a:t>
          </a:r>
        </a:p>
      </xdr:txBody>
    </xdr:sp>
    <xdr:clientData/>
  </xdr:twoCellAnchor>
  <xdr:twoCellAnchor editAs="oneCell">
    <xdr:from>
      <xdr:col>2</xdr:col>
      <xdr:colOff>1228725</xdr:colOff>
      <xdr:row>0</xdr:row>
      <xdr:rowOff>152400</xdr:rowOff>
    </xdr:from>
    <xdr:to>
      <xdr:col>5</xdr:col>
      <xdr:colOff>213471</xdr:colOff>
      <xdr:row>2</xdr:row>
      <xdr:rowOff>108243</xdr:rowOff>
    </xdr:to>
    <xdr:pic macro="[0]!보관료취합_SPC"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9375" y="152400"/>
          <a:ext cx="1280271" cy="451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171449</xdr:rowOff>
    </xdr:from>
    <xdr:to>
      <xdr:col>2</xdr:col>
      <xdr:colOff>457199</xdr:colOff>
      <xdr:row>2</xdr:row>
      <xdr:rowOff>47625</xdr:rowOff>
    </xdr:to>
    <xdr:sp macro="[0]!일괄재고목록_SPC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00100" y="171449"/>
          <a:ext cx="1181099" cy="29527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/>
            <a:t>재고목록 변환</a:t>
          </a:r>
        </a:p>
      </xdr:txBody>
    </xdr:sp>
    <xdr:clientData/>
  </xdr:twoCellAnchor>
  <xdr:twoCellAnchor>
    <xdr:from>
      <xdr:col>3</xdr:col>
      <xdr:colOff>19051</xdr:colOff>
      <xdr:row>0</xdr:row>
      <xdr:rowOff>180975</xdr:rowOff>
    </xdr:from>
    <xdr:to>
      <xdr:col>5</xdr:col>
      <xdr:colOff>171450</xdr:colOff>
      <xdr:row>2</xdr:row>
      <xdr:rowOff>28575</xdr:rowOff>
    </xdr:to>
    <xdr:sp macro="[0]!보관료취합_SPC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305051" y="180975"/>
          <a:ext cx="1676399" cy="266700"/>
        </a:xfrm>
        <a:prstGeom prst="round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cap="none" spc="0">
              <a:ln>
                <a:noFill/>
              </a:ln>
              <a:solidFill>
                <a:schemeClr val="bg1"/>
              </a:solidFill>
              <a:effectLst/>
            </a:rPr>
            <a:t>보관료취합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171449</xdr:rowOff>
    </xdr:from>
    <xdr:to>
      <xdr:col>2</xdr:col>
      <xdr:colOff>457199</xdr:colOff>
      <xdr:row>2</xdr:row>
      <xdr:rowOff>47625</xdr:rowOff>
    </xdr:to>
    <xdr:sp macro="[0]!일괄재고목록_SPC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F754E31-78B4-4979-B4D6-2059CEF184E1}"/>
            </a:ext>
          </a:extLst>
        </xdr:cNvPr>
        <xdr:cNvSpPr/>
      </xdr:nvSpPr>
      <xdr:spPr>
        <a:xfrm>
          <a:off x="704850" y="171449"/>
          <a:ext cx="1142999" cy="37147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/>
            <a:t>재고목록 변환</a:t>
          </a:r>
        </a:p>
      </xdr:txBody>
    </xdr:sp>
    <xdr:clientData/>
  </xdr:twoCellAnchor>
  <xdr:twoCellAnchor>
    <xdr:from>
      <xdr:col>3</xdr:col>
      <xdr:colOff>19051</xdr:colOff>
      <xdr:row>0</xdr:row>
      <xdr:rowOff>180975</xdr:rowOff>
    </xdr:from>
    <xdr:to>
      <xdr:col>5</xdr:col>
      <xdr:colOff>171450</xdr:colOff>
      <xdr:row>2</xdr:row>
      <xdr:rowOff>28575</xdr:rowOff>
    </xdr:to>
    <xdr:sp macro="[0]!보관료취합_SPC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3CBD7364-763C-4CEB-A910-47CE8DA5A1AB}"/>
            </a:ext>
          </a:extLst>
        </xdr:cNvPr>
        <xdr:cNvSpPr/>
      </xdr:nvSpPr>
      <xdr:spPr>
        <a:xfrm>
          <a:off x="2695576" y="180975"/>
          <a:ext cx="1171574" cy="342900"/>
        </a:xfrm>
        <a:prstGeom prst="round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cap="none" spc="0">
              <a:ln>
                <a:noFill/>
              </a:ln>
              <a:solidFill>
                <a:schemeClr val="bg1"/>
              </a:solidFill>
              <a:effectLst/>
            </a:rPr>
            <a:t>보관료취합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1</xdr:row>
      <xdr:rowOff>0</xdr:rowOff>
    </xdr:from>
    <xdr:to>
      <xdr:col>2</xdr:col>
      <xdr:colOff>533399</xdr:colOff>
      <xdr:row>2</xdr:row>
      <xdr:rowOff>123826</xdr:rowOff>
    </xdr:to>
    <xdr:sp macro="[0]!일괄재고목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81000" y="247650"/>
          <a:ext cx="1142999" cy="37147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/>
            <a:t>재고목록 변환</a:t>
          </a:r>
        </a:p>
      </xdr:txBody>
    </xdr:sp>
    <xdr:clientData/>
  </xdr:twoCellAnchor>
  <xdr:twoCellAnchor>
    <xdr:from>
      <xdr:col>3</xdr:col>
      <xdr:colOff>57150</xdr:colOff>
      <xdr:row>0</xdr:row>
      <xdr:rowOff>238125</xdr:rowOff>
    </xdr:from>
    <xdr:to>
      <xdr:col>4</xdr:col>
      <xdr:colOff>495300</xdr:colOff>
      <xdr:row>2</xdr:row>
      <xdr:rowOff>28575</xdr:rowOff>
    </xdr:to>
    <xdr:sp macro="[0]!보관료취합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486025" y="238125"/>
          <a:ext cx="1104900" cy="2857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보관료취합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1</xdr:row>
      <xdr:rowOff>0</xdr:rowOff>
    </xdr:from>
    <xdr:to>
      <xdr:col>2</xdr:col>
      <xdr:colOff>533399</xdr:colOff>
      <xdr:row>2</xdr:row>
      <xdr:rowOff>123826</xdr:rowOff>
    </xdr:to>
    <xdr:sp macro="[0]!일괄재고목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D2D36A17-E715-4216-98BC-D80C9E140EB4}"/>
            </a:ext>
          </a:extLst>
        </xdr:cNvPr>
        <xdr:cNvSpPr/>
      </xdr:nvSpPr>
      <xdr:spPr>
        <a:xfrm>
          <a:off x="419100" y="247650"/>
          <a:ext cx="1142999" cy="37147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/>
            <a:t>재고목록 변환</a:t>
          </a:r>
        </a:p>
      </xdr:txBody>
    </xdr:sp>
    <xdr:clientData/>
  </xdr:twoCellAnchor>
  <xdr:twoCellAnchor>
    <xdr:from>
      <xdr:col>3</xdr:col>
      <xdr:colOff>57150</xdr:colOff>
      <xdr:row>0</xdr:row>
      <xdr:rowOff>238125</xdr:rowOff>
    </xdr:from>
    <xdr:to>
      <xdr:col>4</xdr:col>
      <xdr:colOff>495300</xdr:colOff>
      <xdr:row>2</xdr:row>
      <xdr:rowOff>28575</xdr:rowOff>
    </xdr:to>
    <xdr:sp macro="[0]!보관료취합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5426653D-CFDF-41A6-8C32-D58BE0E7674B}"/>
            </a:ext>
          </a:extLst>
        </xdr:cNvPr>
        <xdr:cNvSpPr/>
      </xdr:nvSpPr>
      <xdr:spPr>
        <a:xfrm>
          <a:off x="2552700" y="238125"/>
          <a:ext cx="1790700" cy="2857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보관료취합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1</xdr:row>
      <xdr:rowOff>0</xdr:rowOff>
    </xdr:from>
    <xdr:to>
      <xdr:col>2</xdr:col>
      <xdr:colOff>533399</xdr:colOff>
      <xdr:row>2</xdr:row>
      <xdr:rowOff>123826</xdr:rowOff>
    </xdr:to>
    <xdr:sp macro="[0]!일괄재고목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81000" y="247650"/>
          <a:ext cx="1142999" cy="37147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/>
            <a:t>ㅂ재고목록 변환</a:t>
          </a:r>
        </a:p>
      </xdr:txBody>
    </xdr:sp>
    <xdr:clientData/>
  </xdr:twoCellAnchor>
  <xdr:twoCellAnchor>
    <xdr:from>
      <xdr:col>3</xdr:col>
      <xdr:colOff>57150</xdr:colOff>
      <xdr:row>0</xdr:row>
      <xdr:rowOff>238125</xdr:rowOff>
    </xdr:from>
    <xdr:to>
      <xdr:col>4</xdr:col>
      <xdr:colOff>495300</xdr:colOff>
      <xdr:row>2</xdr:row>
      <xdr:rowOff>28575</xdr:rowOff>
    </xdr:to>
    <xdr:sp macro="[0]!보관료취합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486025" y="238125"/>
          <a:ext cx="1076325" cy="2857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보관료취합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1</xdr:row>
      <xdr:rowOff>0</xdr:rowOff>
    </xdr:from>
    <xdr:to>
      <xdr:col>2</xdr:col>
      <xdr:colOff>533399</xdr:colOff>
      <xdr:row>2</xdr:row>
      <xdr:rowOff>123826</xdr:rowOff>
    </xdr:to>
    <xdr:sp macro="[0]!일괄재고목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896F00B8-1295-4EF7-B5B6-41D81FD3FA5E}"/>
            </a:ext>
          </a:extLst>
        </xdr:cNvPr>
        <xdr:cNvSpPr/>
      </xdr:nvSpPr>
      <xdr:spPr>
        <a:xfrm>
          <a:off x="381000" y="247650"/>
          <a:ext cx="1142999" cy="37147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/>
            <a:t>ㅂ재고목록 변환</a:t>
          </a:r>
        </a:p>
      </xdr:txBody>
    </xdr:sp>
    <xdr:clientData/>
  </xdr:twoCellAnchor>
  <xdr:twoCellAnchor>
    <xdr:from>
      <xdr:col>3</xdr:col>
      <xdr:colOff>57150</xdr:colOff>
      <xdr:row>0</xdr:row>
      <xdr:rowOff>238125</xdr:rowOff>
    </xdr:from>
    <xdr:to>
      <xdr:col>4</xdr:col>
      <xdr:colOff>495300</xdr:colOff>
      <xdr:row>2</xdr:row>
      <xdr:rowOff>28575</xdr:rowOff>
    </xdr:to>
    <xdr:sp macro="[0]!보관료취합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790859F-AD04-4FEC-A574-50FBC8626601}"/>
            </a:ext>
          </a:extLst>
        </xdr:cNvPr>
        <xdr:cNvSpPr/>
      </xdr:nvSpPr>
      <xdr:spPr>
        <a:xfrm>
          <a:off x="2324100" y="238125"/>
          <a:ext cx="1771650" cy="2857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보관료취합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0</xdr:row>
      <xdr:rowOff>133350</xdr:rowOff>
    </xdr:from>
    <xdr:to>
      <xdr:col>2</xdr:col>
      <xdr:colOff>600074</xdr:colOff>
      <xdr:row>2</xdr:row>
      <xdr:rowOff>9526</xdr:rowOff>
    </xdr:to>
    <xdr:sp macro="[0]!일괄재고목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47675" y="133350"/>
          <a:ext cx="1142999" cy="37147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/>
            <a:t>재고목록 변환</a:t>
          </a:r>
        </a:p>
      </xdr:txBody>
    </xdr:sp>
    <xdr:clientData/>
  </xdr:twoCellAnchor>
  <xdr:twoCellAnchor>
    <xdr:from>
      <xdr:col>3</xdr:col>
      <xdr:colOff>19050</xdr:colOff>
      <xdr:row>0</xdr:row>
      <xdr:rowOff>161925</xdr:rowOff>
    </xdr:from>
    <xdr:to>
      <xdr:col>3</xdr:col>
      <xdr:colOff>1123950</xdr:colOff>
      <xdr:row>1</xdr:row>
      <xdr:rowOff>200025</xdr:rowOff>
    </xdr:to>
    <xdr:sp macro="[0]!보관료취합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447925" y="161925"/>
          <a:ext cx="1104900" cy="2857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보관료취합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1</xdr:row>
      <xdr:rowOff>0</xdr:rowOff>
    </xdr:from>
    <xdr:to>
      <xdr:col>2</xdr:col>
      <xdr:colOff>533399</xdr:colOff>
      <xdr:row>2</xdr:row>
      <xdr:rowOff>123826</xdr:rowOff>
    </xdr:to>
    <xdr:sp macro="[0]!일괄재고목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381000" y="247650"/>
          <a:ext cx="1142999" cy="37147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/>
            <a:t>재고목록 변환</a:t>
          </a:r>
        </a:p>
      </xdr:txBody>
    </xdr:sp>
    <xdr:clientData/>
  </xdr:twoCellAnchor>
  <xdr:twoCellAnchor>
    <xdr:from>
      <xdr:col>3</xdr:col>
      <xdr:colOff>57150</xdr:colOff>
      <xdr:row>0</xdr:row>
      <xdr:rowOff>238125</xdr:rowOff>
    </xdr:from>
    <xdr:to>
      <xdr:col>4</xdr:col>
      <xdr:colOff>495300</xdr:colOff>
      <xdr:row>2</xdr:row>
      <xdr:rowOff>28575</xdr:rowOff>
    </xdr:to>
    <xdr:sp macro="[0]!보관료취합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486025" y="238125"/>
          <a:ext cx="1104900" cy="2857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보관료취합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1</xdr:row>
      <xdr:rowOff>0</xdr:rowOff>
    </xdr:from>
    <xdr:to>
      <xdr:col>2</xdr:col>
      <xdr:colOff>533399</xdr:colOff>
      <xdr:row>2</xdr:row>
      <xdr:rowOff>123826</xdr:rowOff>
    </xdr:to>
    <xdr:sp macro="[0]!일괄재고목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381000" y="247650"/>
          <a:ext cx="1142999" cy="37147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/>
            <a:t>재고목록 변환</a:t>
          </a:r>
        </a:p>
      </xdr:txBody>
    </xdr:sp>
    <xdr:clientData/>
  </xdr:twoCellAnchor>
  <xdr:twoCellAnchor>
    <xdr:from>
      <xdr:col>3</xdr:col>
      <xdr:colOff>57150</xdr:colOff>
      <xdr:row>0</xdr:row>
      <xdr:rowOff>238125</xdr:rowOff>
    </xdr:from>
    <xdr:to>
      <xdr:col>4</xdr:col>
      <xdr:colOff>495300</xdr:colOff>
      <xdr:row>2</xdr:row>
      <xdr:rowOff>28575</xdr:rowOff>
    </xdr:to>
    <xdr:sp macro="[0]!보관료취합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486025" y="238125"/>
          <a:ext cx="1076325" cy="2857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보관료취합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1</xdr:row>
      <xdr:rowOff>0</xdr:rowOff>
    </xdr:from>
    <xdr:to>
      <xdr:col>2</xdr:col>
      <xdr:colOff>533399</xdr:colOff>
      <xdr:row>2</xdr:row>
      <xdr:rowOff>123826</xdr:rowOff>
    </xdr:to>
    <xdr:sp macro="[0]!일괄재고목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381000" y="247650"/>
          <a:ext cx="895349" cy="37147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/>
            <a:t>재고목록 변환</a:t>
          </a:r>
        </a:p>
      </xdr:txBody>
    </xdr:sp>
    <xdr:clientData/>
  </xdr:twoCellAnchor>
  <xdr:twoCellAnchor>
    <xdr:from>
      <xdr:col>3</xdr:col>
      <xdr:colOff>57150</xdr:colOff>
      <xdr:row>0</xdr:row>
      <xdr:rowOff>238125</xdr:rowOff>
    </xdr:from>
    <xdr:to>
      <xdr:col>4</xdr:col>
      <xdr:colOff>495300</xdr:colOff>
      <xdr:row>2</xdr:row>
      <xdr:rowOff>28575</xdr:rowOff>
    </xdr:to>
    <xdr:sp macro="[0]!보관료취합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66900" y="238125"/>
          <a:ext cx="1809750" cy="2857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보관료취합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1</xdr:row>
      <xdr:rowOff>0</xdr:rowOff>
    </xdr:from>
    <xdr:to>
      <xdr:col>2</xdr:col>
      <xdr:colOff>533399</xdr:colOff>
      <xdr:row>2</xdr:row>
      <xdr:rowOff>123826</xdr:rowOff>
    </xdr:to>
    <xdr:sp macro="[0]!일괄재고목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381000" y="247650"/>
          <a:ext cx="895349" cy="37147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/>
            <a:t>재고목록 변환</a:t>
          </a:r>
        </a:p>
      </xdr:txBody>
    </xdr:sp>
    <xdr:clientData/>
  </xdr:twoCellAnchor>
  <xdr:twoCellAnchor>
    <xdr:from>
      <xdr:col>3</xdr:col>
      <xdr:colOff>57150</xdr:colOff>
      <xdr:row>0</xdr:row>
      <xdr:rowOff>238125</xdr:rowOff>
    </xdr:from>
    <xdr:to>
      <xdr:col>4</xdr:col>
      <xdr:colOff>495300</xdr:colOff>
      <xdr:row>2</xdr:row>
      <xdr:rowOff>28575</xdr:rowOff>
    </xdr:to>
    <xdr:sp macro="[0]!보관료취합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866900" y="238125"/>
          <a:ext cx="1428750" cy="2857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보관료취합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1</xdr:row>
      <xdr:rowOff>0</xdr:rowOff>
    </xdr:from>
    <xdr:to>
      <xdr:col>2</xdr:col>
      <xdr:colOff>533399</xdr:colOff>
      <xdr:row>2</xdr:row>
      <xdr:rowOff>123826</xdr:rowOff>
    </xdr:to>
    <xdr:sp macro="[0]!일괄재고목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381000" y="247650"/>
          <a:ext cx="895349" cy="37147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/>
            <a:t>재고목록 변환</a:t>
          </a:r>
        </a:p>
      </xdr:txBody>
    </xdr:sp>
    <xdr:clientData/>
  </xdr:twoCellAnchor>
  <xdr:twoCellAnchor>
    <xdr:from>
      <xdr:col>3</xdr:col>
      <xdr:colOff>57150</xdr:colOff>
      <xdr:row>0</xdr:row>
      <xdr:rowOff>238125</xdr:rowOff>
    </xdr:from>
    <xdr:to>
      <xdr:col>4</xdr:col>
      <xdr:colOff>495300</xdr:colOff>
      <xdr:row>2</xdr:row>
      <xdr:rowOff>28575</xdr:rowOff>
    </xdr:to>
    <xdr:sp macro="[0]!보관료취합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866900" y="238125"/>
          <a:ext cx="1428750" cy="2857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보관료취합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1</xdr:row>
      <xdr:rowOff>0</xdr:rowOff>
    </xdr:from>
    <xdr:to>
      <xdr:col>2</xdr:col>
      <xdr:colOff>533399</xdr:colOff>
      <xdr:row>2</xdr:row>
      <xdr:rowOff>123826</xdr:rowOff>
    </xdr:to>
    <xdr:sp macro="[0]!일괄재고목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BD2D3972-B9DE-4EDF-88D5-6A8920C5159F}"/>
            </a:ext>
          </a:extLst>
        </xdr:cNvPr>
        <xdr:cNvSpPr/>
      </xdr:nvSpPr>
      <xdr:spPr>
        <a:xfrm>
          <a:off x="914400" y="209550"/>
          <a:ext cx="990599" cy="33337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/>
            <a:t>재고목록 변환</a:t>
          </a:r>
        </a:p>
      </xdr:txBody>
    </xdr:sp>
    <xdr:clientData/>
  </xdr:twoCellAnchor>
  <xdr:twoCellAnchor>
    <xdr:from>
      <xdr:col>3</xdr:col>
      <xdr:colOff>57150</xdr:colOff>
      <xdr:row>0</xdr:row>
      <xdr:rowOff>238125</xdr:rowOff>
    </xdr:from>
    <xdr:to>
      <xdr:col>4</xdr:col>
      <xdr:colOff>495300</xdr:colOff>
      <xdr:row>2</xdr:row>
      <xdr:rowOff>28575</xdr:rowOff>
    </xdr:to>
    <xdr:sp macro="[0]!보관료취합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CD7ECEEE-7163-4648-A723-CBDF97C552BA}"/>
            </a:ext>
          </a:extLst>
        </xdr:cNvPr>
        <xdr:cNvSpPr/>
      </xdr:nvSpPr>
      <xdr:spPr>
        <a:xfrm>
          <a:off x="2114550" y="209550"/>
          <a:ext cx="1123950" cy="2381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보관료취합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0</xdr:row>
          <xdr:rowOff>0</xdr:rowOff>
        </xdr:from>
        <xdr:to>
          <xdr:col>14</xdr:col>
          <xdr:colOff>476250</xdr:colOff>
          <xdr:row>0</xdr:row>
          <xdr:rowOff>0</xdr:rowOff>
        </xdr:to>
        <xdr:sp macro="" textlink="">
          <xdr:nvSpPr>
            <xdr:cNvPr id="325633" name="Button 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id="{00000000-0008-0000-10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재고정리파일생성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0</xdr:row>
          <xdr:rowOff>0</xdr:rowOff>
        </xdr:from>
        <xdr:to>
          <xdr:col>15</xdr:col>
          <xdr:colOff>266700</xdr:colOff>
          <xdr:row>0</xdr:row>
          <xdr:rowOff>0</xdr:rowOff>
        </xdr:to>
        <xdr:sp macro="" textlink="">
          <xdr:nvSpPr>
            <xdr:cNvPr id="325634" name="Button 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id="{00000000-0008-0000-10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재고목록요약파일생성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428;&#54812;&#47144;\MY%20DOCUMENTS\WINDOWS\TEMP\TCC%20TW\TCC%20CLIENTs\RT_MART\Dollars\Pyrex\Centre_PA9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les"/>
    </sheet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356662D-22C3-46B9-AB25-CC863BCEE5B3}" name="표1" displayName="표1" ref="B4:O7" totalsRowCount="1" headerRowDxfId="19" totalsRowDxfId="18">
  <autoFilter ref="B4:O6" xr:uid="{0356662D-22C3-46B9-AB25-CC863BCEE5B3}"/>
  <tableColumns count="14">
    <tableColumn id="1" xr3:uid="{A263D511-0604-4A4F-AC18-DE6EAC6CF4AD}" name="반입일" totalsRowLabel="요약" totalsRowDxfId="17"/>
    <tableColumn id="2" xr3:uid="{EE1D7BDE-AB8B-48BC-A5FB-6A020EF03FE0}" name="BL" totalsRowDxfId="16"/>
    <tableColumn id="3" xr3:uid="{4EDB2256-882D-4E26-9C14-8EDA2AED7432}" name="내국관리번호" totalsRowDxfId="15"/>
    <tableColumn id="4" xr3:uid="{BA8234EB-B499-4C53-990C-39B7E52827B5}" name="품목" totalsRowDxfId="14"/>
    <tableColumn id="6" xr3:uid="{411FAB15-0526-4D39-AA47-B14CD39943FA}" name="총재고수량(EA)" totalsRowDxfId="13"/>
    <tableColumn id="7" xr3:uid="{95F2F5A7-C243-4BD0-83F9-6915BEA7200F}" name="총재고수량(PLT)" totalsRowDxfId="12"/>
    <tableColumn id="8" xr3:uid="{54618471-DF52-43D8-A32A-204E456E7AA4}" name="당월출고수량" totalsRowDxfId="11"/>
    <tableColumn id="9" xr3:uid="{DBA58D70-76D3-4D4C-B08B-3558D649C757}" name="적재수량(PLT당)" totalsRowDxfId="10"/>
    <tableColumn id="10" xr3:uid="{71B2AE45-B00C-4485-B996-2A7EF53B7D85}" name="보관료 발생일" totalsRowDxfId="9"/>
    <tableColumn id="11" xr3:uid="{A4575D27-71FD-45B0-98B3-3116B54B6BBB}" name="프리타임" totalsRowDxfId="8"/>
    <tableColumn id="12" xr3:uid="{FD8B79D1-C686-4100-BF4C-09A4683F97FA}" name="보관요율(팔렛트당)" dataDxfId="7" totalsRowDxfId="6"/>
    <tableColumn id="13" xr3:uid="{97C469F9-7C8E-44AE-B897-D82107D2AA4A}" name="출고보관료" totalsRowFunction="sum" dataDxfId="5" totalsRowDxfId="4"/>
    <tableColumn id="14" xr3:uid="{4256BB13-AE41-4DAE-8DBF-BC03C83486EC}" name="재고보관료" totalsRowFunction="sum" dataDxfId="3" totalsRowDxfId="2"/>
    <tableColumn id="15" xr3:uid="{D75F1B5D-D23C-4EDA-A699-59606BAFA3C0}" name="총보관료" totalsRowFunction="sum" dataDxfId="1" totalsRow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vmlDrawing" Target="../drawings/vmlDrawing15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pageSetUpPr fitToPage="1"/>
  </sheetPr>
  <dimension ref="A1:EO61"/>
  <sheetViews>
    <sheetView zoomScaleNormal="100" workbookViewId="0">
      <pane xSplit="32" ySplit="12" topLeftCell="DB15" activePane="bottomRight" state="frozen"/>
      <selection activeCell="Q1" sqref="Q1:Q1048576"/>
      <selection pane="topRight" activeCell="Q1" sqref="Q1:Q1048576"/>
      <selection pane="bottomLeft" activeCell="Q1" sqref="Q1:Q1048576"/>
      <selection pane="bottomRight" activeCell="H63" sqref="H63"/>
    </sheetView>
  </sheetViews>
  <sheetFormatPr defaultColWidth="10" defaultRowHeight="11.25" outlineLevelCol="1"/>
  <cols>
    <col min="1" max="1" width="8.75" style="107" bestFit="1" customWidth="1"/>
    <col min="2" max="2" width="9.5" style="1" customWidth="1"/>
    <col min="3" max="3" width="16.75" style="1" customWidth="1"/>
    <col min="4" max="4" width="6.875" style="1" customWidth="1"/>
    <col min="5" max="5" width="6.5" style="1" customWidth="1"/>
    <col min="6" max="6" width="17.25" style="1" bestFit="1" customWidth="1"/>
    <col min="7" max="7" width="4.125" style="1" customWidth="1" outlineLevel="1"/>
    <col min="8" max="8" width="8.75" style="107" customWidth="1" outlineLevel="1"/>
    <col min="9" max="9" width="7.375" style="1" customWidth="1" outlineLevel="1"/>
    <col min="10" max="10" width="4.75" style="1" customWidth="1" outlineLevel="1"/>
    <col min="11" max="11" width="6.75" style="4" customWidth="1" outlineLevel="1"/>
    <col min="12" max="12" width="6.75" style="38" customWidth="1" outlineLevel="1"/>
    <col min="13" max="14" width="6.75" style="4" customWidth="1" outlineLevel="1"/>
    <col min="15" max="15" width="6.75" style="38" customWidth="1" outlineLevel="1"/>
    <col min="16" max="16" width="6.75" style="4" customWidth="1" outlineLevel="1"/>
    <col min="17" max="17" width="6.75" style="4" customWidth="1"/>
    <col min="18" max="18" width="7.125" style="38" customWidth="1"/>
    <col min="19" max="19" width="6.5" style="4" customWidth="1"/>
    <col min="20" max="20" width="6.375" style="38" customWidth="1"/>
    <col min="21" max="23" width="6.75" style="4" customWidth="1" outlineLevel="1"/>
    <col min="24" max="24" width="16.25" style="1" customWidth="1" outlineLevel="1"/>
    <col min="25" max="25" width="4.625" style="4" customWidth="1" outlineLevel="1"/>
    <col min="26" max="26" width="9.25" style="1" customWidth="1" outlineLevel="1"/>
    <col min="27" max="27" width="4.125" style="1" customWidth="1" outlineLevel="1"/>
    <col min="28" max="28" width="4.5" style="1" customWidth="1" outlineLevel="1"/>
    <col min="29" max="29" width="9.125" style="1" customWidth="1" outlineLevel="1"/>
    <col min="30" max="31" width="7.25" style="1" customWidth="1" outlineLevel="1"/>
    <col min="32" max="32" width="14.125" style="57" hidden="1" customWidth="1"/>
    <col min="33" max="59" width="20.625" style="1" hidden="1" customWidth="1"/>
    <col min="60" max="62" width="13.125" style="1" hidden="1" customWidth="1"/>
    <col min="63" max="70" width="20.625" style="1" hidden="1" customWidth="1"/>
    <col min="71" max="71" width="12.375" style="1" hidden="1" customWidth="1"/>
    <col min="72" max="73" width="16.75" style="1" hidden="1" customWidth="1"/>
    <col min="74" max="74" width="20.625" style="1" hidden="1" customWidth="1"/>
    <col min="75" max="75" width="13.125" style="1" hidden="1" customWidth="1"/>
    <col min="76" max="105" width="20.625" style="1" hidden="1" customWidth="1"/>
    <col min="106" max="145" width="20.625" style="1" customWidth="1"/>
    <col min="146" max="16384" width="10" style="1"/>
  </cols>
  <sheetData>
    <row r="1" spans="1:145" s="23" customFormat="1" ht="20.100000000000001" customHeight="1">
      <c r="A1" s="53"/>
      <c r="H1" s="53"/>
      <c r="K1" s="25"/>
      <c r="L1" s="36"/>
      <c r="M1" s="25"/>
      <c r="N1" s="25"/>
      <c r="O1" s="36"/>
      <c r="P1" s="25"/>
      <c r="Q1" s="25"/>
      <c r="R1" s="36"/>
      <c r="S1" s="25"/>
      <c r="T1" s="36" t="s">
        <v>176</v>
      </c>
      <c r="U1" s="25"/>
      <c r="V1" s="25"/>
      <c r="W1" s="25"/>
      <c r="Y1" s="25"/>
      <c r="AF1" s="54"/>
      <c r="BT1" s="23" t="s">
        <v>647</v>
      </c>
      <c r="BU1" s="23" t="s">
        <v>648</v>
      </c>
    </row>
    <row r="2" spans="1:145" s="23" customFormat="1" ht="20.100000000000001" customHeight="1">
      <c r="A2" s="53"/>
      <c r="F2" s="63"/>
      <c r="H2" s="53"/>
      <c r="K2" s="25"/>
      <c r="L2" s="36"/>
      <c r="M2" s="25"/>
      <c r="N2" s="25"/>
      <c r="O2" s="36"/>
      <c r="P2" s="25"/>
      <c r="Q2" s="25"/>
      <c r="R2" s="36"/>
      <c r="S2" s="25"/>
      <c r="T2" s="36"/>
      <c r="U2" s="25"/>
      <c r="V2" s="25"/>
      <c r="W2" s="25"/>
      <c r="Y2" s="25"/>
      <c r="AC2" s="23" t="s">
        <v>87</v>
      </c>
      <c r="AD2" s="52">
        <v>46194</v>
      </c>
      <c r="AF2" s="54" t="s">
        <v>136</v>
      </c>
      <c r="AG2" s="106">
        <f t="shared" ref="AG2:BL2" si="0">IF(AG9="분할출고",0,_xlfn.SWITCH(IFERROR(INDEX($E$13:$E$319,MATCH(SUM(AG$13:AG$319),AG$13:AG$319,0),1),""),"아주",30,"kpp",40,0,0)*AG11*AG9)</f>
        <v>240</v>
      </c>
      <c r="AH2" s="106">
        <f t="shared" si="0"/>
        <v>800</v>
      </c>
      <c r="AI2" s="106">
        <f t="shared" si="0"/>
        <v>360</v>
      </c>
      <c r="AJ2" s="106">
        <f t="shared" si="0"/>
        <v>90</v>
      </c>
      <c r="AK2" s="106">
        <f t="shared" si="0"/>
        <v>240</v>
      </c>
      <c r="AL2" s="106">
        <f t="shared" si="0"/>
        <v>630</v>
      </c>
      <c r="AM2" s="106">
        <f t="shared" si="0"/>
        <v>480</v>
      </c>
      <c r="AN2" s="106">
        <f t="shared" si="0"/>
        <v>1920</v>
      </c>
      <c r="AO2" s="106">
        <f t="shared" si="0"/>
        <v>1800</v>
      </c>
      <c r="AP2" s="106">
        <f t="shared" si="0"/>
        <v>600</v>
      </c>
      <c r="AQ2" s="106">
        <f t="shared" si="0"/>
        <v>2400</v>
      </c>
      <c r="AR2" s="106">
        <f t="shared" si="0"/>
        <v>2400</v>
      </c>
      <c r="AS2" s="106">
        <f t="shared" si="0"/>
        <v>2880</v>
      </c>
      <c r="AT2" s="106">
        <f t="shared" si="0"/>
        <v>1080</v>
      </c>
      <c r="AU2" s="106">
        <f t="shared" si="0"/>
        <v>900</v>
      </c>
      <c r="AV2" s="106">
        <f t="shared" si="0"/>
        <v>2700</v>
      </c>
      <c r="AW2" s="106">
        <f t="shared" si="0"/>
        <v>1080</v>
      </c>
      <c r="AX2" s="106">
        <f t="shared" si="0"/>
        <v>3360</v>
      </c>
      <c r="AY2" s="106">
        <f t="shared" si="0"/>
        <v>4320</v>
      </c>
      <c r="AZ2" s="106">
        <f t="shared" si="0"/>
        <v>1200</v>
      </c>
      <c r="BA2" s="106">
        <f t="shared" si="0"/>
        <v>4800</v>
      </c>
      <c r="BB2" s="106">
        <f t="shared" si="0"/>
        <v>270</v>
      </c>
      <c r="BC2" s="106">
        <f t="shared" si="0"/>
        <v>3000</v>
      </c>
      <c r="BD2" s="106">
        <f t="shared" si="0"/>
        <v>3300</v>
      </c>
      <c r="BE2" s="106">
        <f t="shared" si="0"/>
        <v>1320</v>
      </c>
      <c r="BF2" s="106">
        <f t="shared" si="0"/>
        <v>5760</v>
      </c>
      <c r="BG2" s="106">
        <f t="shared" si="0"/>
        <v>6240</v>
      </c>
      <c r="BH2" s="106">
        <f t="shared" si="0"/>
        <v>6720</v>
      </c>
      <c r="BI2" s="106">
        <f t="shared" si="0"/>
        <v>6720</v>
      </c>
      <c r="BJ2" s="106">
        <f t="shared" si="0"/>
        <v>480</v>
      </c>
      <c r="BK2" s="106">
        <f t="shared" si="0"/>
        <v>0</v>
      </c>
      <c r="BL2" s="106">
        <f t="shared" si="0"/>
        <v>480</v>
      </c>
      <c r="BM2" s="106">
        <f t="shared" ref="BM2:CC2" si="1">IF(BM9="분할출고",0,_xlfn.SWITCH(IFERROR(INDEX($E$13:$E$319,MATCH(SUM(BM$13:BM$319),BM$13:BM$319,0),1),""),"아주",30,"kpp",40,0,0)*BM11*BM9)</f>
        <v>1280</v>
      </c>
      <c r="BN2" s="106">
        <f t="shared" si="1"/>
        <v>0</v>
      </c>
      <c r="BO2" s="106">
        <f t="shared" si="1"/>
        <v>4560</v>
      </c>
      <c r="BP2" s="106">
        <f t="shared" si="1"/>
        <v>760</v>
      </c>
      <c r="BQ2" s="106">
        <f t="shared" si="1"/>
        <v>8640</v>
      </c>
      <c r="BR2" s="106">
        <f t="shared" si="1"/>
        <v>5600</v>
      </c>
      <c r="BS2" s="106">
        <f t="shared" si="1"/>
        <v>800</v>
      </c>
      <c r="BT2" s="106">
        <f t="shared" si="1"/>
        <v>800</v>
      </c>
      <c r="BU2" s="106">
        <f t="shared" si="1"/>
        <v>0</v>
      </c>
      <c r="BV2" s="106">
        <f t="shared" si="1"/>
        <v>9600</v>
      </c>
      <c r="BW2" s="106">
        <f t="shared" si="1"/>
        <v>10080</v>
      </c>
      <c r="BX2" s="106">
        <f t="shared" si="1"/>
        <v>11040</v>
      </c>
      <c r="BY2" s="106">
        <f t="shared" si="1"/>
        <v>13800</v>
      </c>
      <c r="BZ2" s="106">
        <f t="shared" si="1"/>
        <v>920</v>
      </c>
      <c r="CA2" s="106">
        <f t="shared" si="1"/>
        <v>7200</v>
      </c>
      <c r="CB2" s="106">
        <f t="shared" si="1"/>
        <v>2880</v>
      </c>
      <c r="CC2" s="106">
        <f t="shared" si="1"/>
        <v>7500</v>
      </c>
      <c r="CD2" s="106">
        <f t="shared" ref="CD2:DD2" si="2">IF(CD9="분할출고",0,_xlfn.SWITCH(IFERROR(INDEX($E$13:$E$319,MATCH(SUM(CD$13:CD$319),CD$13:CD$319,0),1),""),"아주",30,"kpp",40,0,0)*CD11*CD9)</f>
        <v>3000</v>
      </c>
      <c r="CE2" s="106">
        <f t="shared" si="2"/>
        <v>1560</v>
      </c>
      <c r="CF2" s="106">
        <f t="shared" si="2"/>
        <v>9360</v>
      </c>
      <c r="CG2" s="106">
        <f t="shared" si="2"/>
        <v>12480</v>
      </c>
      <c r="CH2" s="106">
        <f t="shared" si="2"/>
        <v>29120</v>
      </c>
      <c r="CI2" s="106">
        <f t="shared" si="2"/>
        <v>1040</v>
      </c>
      <c r="CJ2" s="106">
        <f t="shared" si="2"/>
        <v>8100</v>
      </c>
      <c r="CK2" s="106">
        <f t="shared" si="2"/>
        <v>12960</v>
      </c>
      <c r="CL2" s="106">
        <f t="shared" si="2"/>
        <v>13440</v>
      </c>
      <c r="CM2" s="106">
        <f t="shared" si="2"/>
        <v>10800</v>
      </c>
      <c r="CN2" s="106">
        <f t="shared" si="2"/>
        <v>11160</v>
      </c>
      <c r="CO2" s="106">
        <f t="shared" si="2"/>
        <v>14880</v>
      </c>
      <c r="CP2" s="106">
        <f t="shared" si="2"/>
        <v>11520</v>
      </c>
      <c r="CQ2" s="106">
        <f t="shared" si="2"/>
        <v>0</v>
      </c>
      <c r="CR2" s="106">
        <f t="shared" si="2"/>
        <v>13200</v>
      </c>
      <c r="CS2" s="106">
        <f t="shared" si="2"/>
        <v>4950</v>
      </c>
      <c r="CT2" s="106">
        <f t="shared" si="2"/>
        <v>990</v>
      </c>
      <c r="CU2" s="106">
        <f t="shared" si="2"/>
        <v>10890</v>
      </c>
      <c r="CV2" s="106">
        <f t="shared" si="2"/>
        <v>15840</v>
      </c>
      <c r="CW2" s="106">
        <f t="shared" si="2"/>
        <v>16320</v>
      </c>
      <c r="CX2" s="106">
        <f t="shared" si="2"/>
        <v>13600</v>
      </c>
      <c r="CY2" s="106">
        <f t="shared" si="2"/>
        <v>6120</v>
      </c>
      <c r="CZ2" s="106">
        <f t="shared" si="2"/>
        <v>5250</v>
      </c>
      <c r="DA2" s="106">
        <f t="shared" si="2"/>
        <v>16800</v>
      </c>
      <c r="DB2" s="106">
        <f t="shared" si="2"/>
        <v>17760</v>
      </c>
      <c r="DC2" s="106">
        <f t="shared" si="2"/>
        <v>17760</v>
      </c>
      <c r="DD2" s="106">
        <f t="shared" si="2"/>
        <v>13680</v>
      </c>
      <c r="DE2" s="106">
        <f t="shared" ref="DE2:EO2" si="3">IF(DE9="분할출고",0,_xlfn.SWITCH(IFERROR(INDEX($E$13:$E$319,MATCH(SUM(DE$13:DE$319),DE$13:DE$319,0),1),""),"아주",30,"kpp",40,0,0)*DE11*DE9)</f>
        <v>18720</v>
      </c>
      <c r="DF2" s="106">
        <f t="shared" si="3"/>
        <v>14400</v>
      </c>
      <c r="DG2" s="106" t="e">
        <f t="shared" si="3"/>
        <v>#N/A</v>
      </c>
      <c r="DH2" s="106" t="e">
        <f t="shared" si="3"/>
        <v>#N/A</v>
      </c>
      <c r="DI2" s="106" t="e">
        <f t="shared" si="3"/>
        <v>#N/A</v>
      </c>
      <c r="DJ2" s="106" t="e">
        <f t="shared" si="3"/>
        <v>#N/A</v>
      </c>
      <c r="DK2" s="106" t="e">
        <f t="shared" si="3"/>
        <v>#N/A</v>
      </c>
      <c r="DL2" s="106" t="e">
        <f t="shared" si="3"/>
        <v>#N/A</v>
      </c>
      <c r="DM2" s="106" t="e">
        <f t="shared" si="3"/>
        <v>#N/A</v>
      </c>
      <c r="DN2" s="106" t="e">
        <f t="shared" si="3"/>
        <v>#N/A</v>
      </c>
      <c r="DO2" s="106" t="e">
        <f t="shared" si="3"/>
        <v>#N/A</v>
      </c>
      <c r="DP2" s="106" t="e">
        <f t="shared" si="3"/>
        <v>#N/A</v>
      </c>
      <c r="DQ2" s="106" t="e">
        <f t="shared" si="3"/>
        <v>#N/A</v>
      </c>
      <c r="DR2" s="106" t="e">
        <f t="shared" si="3"/>
        <v>#N/A</v>
      </c>
      <c r="DS2" s="106" t="e">
        <f t="shared" si="3"/>
        <v>#N/A</v>
      </c>
      <c r="DT2" s="106" t="e">
        <f t="shared" si="3"/>
        <v>#N/A</v>
      </c>
      <c r="DU2" s="106" t="e">
        <f t="shared" si="3"/>
        <v>#N/A</v>
      </c>
      <c r="DV2" s="106" t="e">
        <f t="shared" si="3"/>
        <v>#N/A</v>
      </c>
      <c r="DW2" s="106" t="e">
        <f t="shared" si="3"/>
        <v>#N/A</v>
      </c>
      <c r="DX2" s="106" t="e">
        <f t="shared" si="3"/>
        <v>#N/A</v>
      </c>
      <c r="DY2" s="106" t="e">
        <f t="shared" si="3"/>
        <v>#N/A</v>
      </c>
      <c r="DZ2" s="106" t="e">
        <f t="shared" si="3"/>
        <v>#N/A</v>
      </c>
      <c r="EA2" s="106" t="e">
        <f t="shared" si="3"/>
        <v>#N/A</v>
      </c>
      <c r="EB2" s="106" t="e">
        <f t="shared" si="3"/>
        <v>#N/A</v>
      </c>
      <c r="EC2" s="106" t="e">
        <f t="shared" si="3"/>
        <v>#N/A</v>
      </c>
      <c r="ED2" s="106" t="e">
        <f t="shared" si="3"/>
        <v>#N/A</v>
      </c>
      <c r="EE2" s="106" t="e">
        <f t="shared" si="3"/>
        <v>#N/A</v>
      </c>
      <c r="EF2" s="106" t="e">
        <f t="shared" si="3"/>
        <v>#N/A</v>
      </c>
      <c r="EG2" s="106" t="e">
        <f t="shared" si="3"/>
        <v>#N/A</v>
      </c>
      <c r="EH2" s="106" t="e">
        <f t="shared" si="3"/>
        <v>#N/A</v>
      </c>
      <c r="EI2" s="106" t="e">
        <f t="shared" si="3"/>
        <v>#N/A</v>
      </c>
      <c r="EJ2" s="106" t="e">
        <f t="shared" si="3"/>
        <v>#N/A</v>
      </c>
      <c r="EK2" s="106" t="e">
        <f t="shared" si="3"/>
        <v>#N/A</v>
      </c>
      <c r="EL2" s="106" t="e">
        <f t="shared" si="3"/>
        <v>#N/A</v>
      </c>
      <c r="EM2" s="106" t="e">
        <f t="shared" si="3"/>
        <v>#N/A</v>
      </c>
      <c r="EN2" s="106" t="e">
        <f t="shared" si="3"/>
        <v>#N/A</v>
      </c>
      <c r="EO2" s="106" t="e">
        <f t="shared" si="3"/>
        <v>#N/A</v>
      </c>
    </row>
    <row r="3" spans="1:145" s="23" customFormat="1" ht="20.100000000000001" customHeight="1" thickBot="1">
      <c r="A3" s="53"/>
      <c r="H3" s="53"/>
      <c r="K3" s="25"/>
      <c r="L3" s="36"/>
      <c r="M3" s="25"/>
      <c r="N3" s="25"/>
      <c r="O3" s="36"/>
      <c r="P3" s="25"/>
      <c r="Q3" s="25"/>
      <c r="R3" s="36"/>
      <c r="S3" s="25"/>
      <c r="T3" s="36"/>
      <c r="U3" s="25"/>
      <c r="V3" s="25"/>
      <c r="W3" s="25"/>
      <c r="Y3" s="25"/>
      <c r="AC3" s="23" t="s">
        <v>86</v>
      </c>
      <c r="AD3" s="52">
        <v>46223</v>
      </c>
      <c r="AE3" s="52"/>
      <c r="AF3" s="54" t="s">
        <v>135</v>
      </c>
      <c r="AG3" s="106" t="str">
        <f t="shared" ref="AG3:BL3" si="4">IFERROR(INDEX($E$13:$E$319,MATCH(SUM(AG$13:AG$319),AG$13:AG$319,0),1),"")</f>
        <v>아주</v>
      </c>
      <c r="AH3" s="106" t="str">
        <f t="shared" si="4"/>
        <v>KPP</v>
      </c>
      <c r="AI3" s="106" t="str">
        <f t="shared" si="4"/>
        <v>아주</v>
      </c>
      <c r="AJ3" s="106" t="str">
        <f t="shared" si="4"/>
        <v>아주</v>
      </c>
      <c r="AK3" s="106" t="str">
        <f t="shared" si="4"/>
        <v>KPP</v>
      </c>
      <c r="AL3" s="106" t="str">
        <f t="shared" si="4"/>
        <v>아주</v>
      </c>
      <c r="AM3" s="106" t="str">
        <f t="shared" si="4"/>
        <v>아주</v>
      </c>
      <c r="AN3" s="106" t="str">
        <f t="shared" si="4"/>
        <v>아주</v>
      </c>
      <c r="AO3" s="106" t="str">
        <f t="shared" si="4"/>
        <v>아주</v>
      </c>
      <c r="AP3" s="106" t="str">
        <f t="shared" si="4"/>
        <v>아주</v>
      </c>
      <c r="AQ3" s="106" t="str">
        <f t="shared" si="4"/>
        <v>아주</v>
      </c>
      <c r="AR3" s="106" t="str">
        <f t="shared" si="4"/>
        <v>KPP</v>
      </c>
      <c r="AS3" s="106" t="str">
        <f t="shared" si="4"/>
        <v>아주</v>
      </c>
      <c r="AT3" s="106" t="str">
        <f t="shared" si="4"/>
        <v>아주</v>
      </c>
      <c r="AU3" s="106" t="str">
        <f t="shared" si="4"/>
        <v>아주</v>
      </c>
      <c r="AV3" s="106" t="str">
        <f t="shared" si="4"/>
        <v>아주</v>
      </c>
      <c r="AW3" s="106" t="str">
        <f t="shared" si="4"/>
        <v>아주</v>
      </c>
      <c r="AX3" s="106" t="str">
        <f t="shared" si="4"/>
        <v>아주</v>
      </c>
      <c r="AY3" s="106" t="str">
        <f t="shared" si="4"/>
        <v>아주</v>
      </c>
      <c r="AZ3" s="106" t="str">
        <f t="shared" si="4"/>
        <v>아주</v>
      </c>
      <c r="BA3" s="106" t="str">
        <f t="shared" si="4"/>
        <v>아주</v>
      </c>
      <c r="BB3" s="106" t="str">
        <f t="shared" si="4"/>
        <v>아주</v>
      </c>
      <c r="BC3" s="106" t="str">
        <f t="shared" si="4"/>
        <v>아주</v>
      </c>
      <c r="BD3" s="106" t="str">
        <f t="shared" si="4"/>
        <v>아주</v>
      </c>
      <c r="BE3" s="106" t="str">
        <f t="shared" si="4"/>
        <v>아주</v>
      </c>
      <c r="BF3" s="106" t="str">
        <f t="shared" si="4"/>
        <v>아주</v>
      </c>
      <c r="BG3" s="106" t="str">
        <f t="shared" si="4"/>
        <v>아주</v>
      </c>
      <c r="BH3" s="106" t="str">
        <f t="shared" si="4"/>
        <v>아주</v>
      </c>
      <c r="BI3" s="106" t="str">
        <f t="shared" si="4"/>
        <v>아주</v>
      </c>
      <c r="BJ3" s="106" t="str">
        <f t="shared" si="4"/>
        <v>아주</v>
      </c>
      <c r="BK3" s="106" t="str">
        <f t="shared" si="4"/>
        <v>아주</v>
      </c>
      <c r="BL3" s="106" t="str">
        <f t="shared" si="4"/>
        <v>아주</v>
      </c>
      <c r="BM3" s="106" t="str">
        <f t="shared" ref="BM3:CC3" si="5">IFERROR(INDEX($E$13:$E$319,MATCH(SUM(BM$13:BM$319),BM$13:BM$319,0),1),"")</f>
        <v>KPP</v>
      </c>
      <c r="BN3" s="106" t="str">
        <f t="shared" si="5"/>
        <v>KPP</v>
      </c>
      <c r="BO3" s="106" t="str">
        <f t="shared" si="5"/>
        <v>KPP</v>
      </c>
      <c r="BP3" s="106" t="str">
        <f t="shared" si="5"/>
        <v>KPP</v>
      </c>
      <c r="BQ3" s="106" t="str">
        <f t="shared" si="5"/>
        <v>아주</v>
      </c>
      <c r="BR3" s="106" t="str">
        <f t="shared" si="5"/>
        <v>KPP</v>
      </c>
      <c r="BS3" s="106" t="str">
        <f t="shared" si="5"/>
        <v>KPP</v>
      </c>
      <c r="BT3" s="106" t="str">
        <f t="shared" si="5"/>
        <v>KPP</v>
      </c>
      <c r="BU3" s="106" t="str">
        <f t="shared" si="5"/>
        <v>KPP</v>
      </c>
      <c r="BV3" s="106" t="str">
        <f t="shared" si="5"/>
        <v>아주</v>
      </c>
      <c r="BW3" s="106" t="str">
        <f t="shared" si="5"/>
        <v>아주</v>
      </c>
      <c r="BX3" s="106" t="str">
        <f t="shared" si="5"/>
        <v>아주</v>
      </c>
      <c r="BY3" s="106" t="str">
        <f t="shared" si="5"/>
        <v>KPP</v>
      </c>
      <c r="BZ3" s="106" t="str">
        <f t="shared" si="5"/>
        <v>KPP</v>
      </c>
      <c r="CA3" s="106" t="str">
        <f t="shared" si="5"/>
        <v>아주</v>
      </c>
      <c r="CB3" s="106" t="str">
        <f t="shared" si="5"/>
        <v>아주</v>
      </c>
      <c r="CC3" s="106" t="str">
        <f t="shared" si="5"/>
        <v>아주</v>
      </c>
      <c r="CD3" s="106" t="str">
        <f t="shared" ref="CD3:DD3" si="6">IFERROR(INDEX($E$13:$E$319,MATCH(SUM(CD$13:CD$319),CD$13:CD$319,0),1),"")</f>
        <v>아주</v>
      </c>
      <c r="CE3" s="106" t="str">
        <f t="shared" si="6"/>
        <v>아주</v>
      </c>
      <c r="CF3" s="106" t="str">
        <f t="shared" si="6"/>
        <v>아주</v>
      </c>
      <c r="CG3" s="106" t="str">
        <f t="shared" si="6"/>
        <v>아주</v>
      </c>
      <c r="CH3" s="106" t="str">
        <f t="shared" si="6"/>
        <v>KPP</v>
      </c>
      <c r="CI3" s="106" t="str">
        <f t="shared" si="6"/>
        <v>KPP</v>
      </c>
      <c r="CJ3" s="106" t="str">
        <f t="shared" si="6"/>
        <v>아주</v>
      </c>
      <c r="CK3" s="106" t="str">
        <f t="shared" si="6"/>
        <v>아주</v>
      </c>
      <c r="CL3" s="106" t="str">
        <f t="shared" si="6"/>
        <v>아주</v>
      </c>
      <c r="CM3" s="106" t="str">
        <f t="shared" si="6"/>
        <v>아주</v>
      </c>
      <c r="CN3" s="106" t="str">
        <f t="shared" si="6"/>
        <v>아주</v>
      </c>
      <c r="CO3" s="106" t="str">
        <f t="shared" si="6"/>
        <v>아주</v>
      </c>
      <c r="CP3" s="106" t="str">
        <f t="shared" si="6"/>
        <v>아주</v>
      </c>
      <c r="CQ3" s="106" t="str">
        <f t="shared" si="6"/>
        <v>KPP</v>
      </c>
      <c r="CR3" s="106" t="str">
        <f t="shared" si="6"/>
        <v>KPP</v>
      </c>
      <c r="CS3" s="106" t="str">
        <f t="shared" si="6"/>
        <v>아주</v>
      </c>
      <c r="CT3" s="106" t="str">
        <f t="shared" si="6"/>
        <v>아주</v>
      </c>
      <c r="CU3" s="106" t="str">
        <f t="shared" si="6"/>
        <v>아주</v>
      </c>
      <c r="CV3" s="106" t="str">
        <f t="shared" si="6"/>
        <v>아주</v>
      </c>
      <c r="CW3" s="106" t="str">
        <f t="shared" si="6"/>
        <v>아주</v>
      </c>
      <c r="CX3" s="106" t="str">
        <f t="shared" si="6"/>
        <v>KPP</v>
      </c>
      <c r="CY3" s="106" t="str">
        <f t="shared" si="6"/>
        <v>아주</v>
      </c>
      <c r="CZ3" s="106" t="str">
        <f t="shared" si="6"/>
        <v>아주</v>
      </c>
      <c r="DA3" s="106" t="str">
        <f t="shared" si="6"/>
        <v>아주</v>
      </c>
      <c r="DB3" s="106" t="str">
        <f t="shared" si="6"/>
        <v>아주</v>
      </c>
      <c r="DC3" s="106" t="str">
        <f t="shared" si="6"/>
        <v>아주</v>
      </c>
      <c r="DD3" s="106" t="str">
        <f t="shared" si="6"/>
        <v>아주</v>
      </c>
      <c r="DE3" s="106" t="str">
        <f t="shared" ref="DE3:EO3" si="7">IFERROR(INDEX($E$13:$E$319,MATCH(SUM(DE$13:DE$319),DE$13:DE$319,0),1),"")</f>
        <v>아주</v>
      </c>
      <c r="DF3" s="106" t="str">
        <f t="shared" si="7"/>
        <v>아주</v>
      </c>
      <c r="DG3" s="106" t="str">
        <f t="shared" si="7"/>
        <v/>
      </c>
      <c r="DH3" s="106" t="str">
        <f t="shared" si="7"/>
        <v/>
      </c>
      <c r="DI3" s="106" t="str">
        <f t="shared" si="7"/>
        <v/>
      </c>
      <c r="DJ3" s="106" t="str">
        <f t="shared" si="7"/>
        <v/>
      </c>
      <c r="DK3" s="106" t="str">
        <f t="shared" si="7"/>
        <v/>
      </c>
      <c r="DL3" s="106" t="str">
        <f t="shared" si="7"/>
        <v/>
      </c>
      <c r="DM3" s="106" t="str">
        <f t="shared" si="7"/>
        <v/>
      </c>
      <c r="DN3" s="106" t="str">
        <f t="shared" si="7"/>
        <v/>
      </c>
      <c r="DO3" s="106" t="str">
        <f t="shared" si="7"/>
        <v/>
      </c>
      <c r="DP3" s="106" t="str">
        <f t="shared" si="7"/>
        <v/>
      </c>
      <c r="DQ3" s="106" t="str">
        <f t="shared" si="7"/>
        <v/>
      </c>
      <c r="DR3" s="106" t="str">
        <f t="shared" si="7"/>
        <v/>
      </c>
      <c r="DS3" s="106" t="str">
        <f t="shared" si="7"/>
        <v/>
      </c>
      <c r="DT3" s="106" t="str">
        <f t="shared" si="7"/>
        <v/>
      </c>
      <c r="DU3" s="106" t="str">
        <f t="shared" si="7"/>
        <v/>
      </c>
      <c r="DV3" s="106" t="str">
        <f t="shared" si="7"/>
        <v/>
      </c>
      <c r="DW3" s="106" t="str">
        <f t="shared" si="7"/>
        <v/>
      </c>
      <c r="DX3" s="106" t="str">
        <f t="shared" si="7"/>
        <v/>
      </c>
      <c r="DY3" s="106" t="str">
        <f t="shared" si="7"/>
        <v/>
      </c>
      <c r="DZ3" s="106" t="str">
        <f t="shared" si="7"/>
        <v/>
      </c>
      <c r="EA3" s="106" t="str">
        <f t="shared" si="7"/>
        <v/>
      </c>
      <c r="EB3" s="106" t="str">
        <f t="shared" si="7"/>
        <v/>
      </c>
      <c r="EC3" s="106" t="str">
        <f t="shared" si="7"/>
        <v/>
      </c>
      <c r="ED3" s="106" t="str">
        <f t="shared" si="7"/>
        <v/>
      </c>
      <c r="EE3" s="106" t="str">
        <f t="shared" si="7"/>
        <v/>
      </c>
      <c r="EF3" s="106" t="str">
        <f t="shared" si="7"/>
        <v/>
      </c>
      <c r="EG3" s="106" t="str">
        <f t="shared" si="7"/>
        <v/>
      </c>
      <c r="EH3" s="106" t="str">
        <f t="shared" si="7"/>
        <v/>
      </c>
      <c r="EI3" s="106" t="str">
        <f t="shared" si="7"/>
        <v/>
      </c>
      <c r="EJ3" s="106" t="str">
        <f t="shared" si="7"/>
        <v/>
      </c>
      <c r="EK3" s="106" t="str">
        <f t="shared" si="7"/>
        <v/>
      </c>
      <c r="EL3" s="106" t="str">
        <f t="shared" si="7"/>
        <v/>
      </c>
      <c r="EM3" s="106" t="str">
        <f t="shared" si="7"/>
        <v/>
      </c>
      <c r="EN3" s="106" t="str">
        <f t="shared" si="7"/>
        <v/>
      </c>
      <c r="EO3" s="106" t="str">
        <f t="shared" si="7"/>
        <v/>
      </c>
    </row>
    <row r="4" spans="1:145" ht="22.5" customHeight="1">
      <c r="A4" s="206" t="s">
        <v>137</v>
      </c>
      <c r="B4" s="214" t="s">
        <v>44</v>
      </c>
      <c r="C4" s="203" t="s">
        <v>45</v>
      </c>
      <c r="D4" s="203" t="s">
        <v>46</v>
      </c>
      <c r="E4" s="203" t="s">
        <v>127</v>
      </c>
      <c r="F4" s="203" t="s">
        <v>20</v>
      </c>
      <c r="G4" s="203" t="s">
        <v>49</v>
      </c>
      <c r="H4" s="209" t="s">
        <v>125</v>
      </c>
      <c r="I4" s="203" t="s">
        <v>134</v>
      </c>
      <c r="J4" s="203" t="s">
        <v>148</v>
      </c>
      <c r="K4" s="190" t="s">
        <v>50</v>
      </c>
      <c r="L4" s="195" t="s">
        <v>51</v>
      </c>
      <c r="M4" s="190" t="s">
        <v>147</v>
      </c>
      <c r="N4" s="190" t="s">
        <v>23</v>
      </c>
      <c r="O4" s="195" t="s">
        <v>9</v>
      </c>
      <c r="P4" s="190" t="s">
        <v>54</v>
      </c>
      <c r="Q4" s="190" t="s">
        <v>55</v>
      </c>
      <c r="R4" s="195" t="s">
        <v>26</v>
      </c>
      <c r="S4" s="190" t="s">
        <v>57</v>
      </c>
      <c r="T4" s="195" t="s">
        <v>58</v>
      </c>
      <c r="U4" s="190" t="s">
        <v>10</v>
      </c>
      <c r="V4" s="190" t="s">
        <v>60</v>
      </c>
      <c r="W4" s="179" t="s">
        <v>61</v>
      </c>
      <c r="X4" s="203" t="s">
        <v>62</v>
      </c>
      <c r="Y4" s="190" t="s">
        <v>63</v>
      </c>
      <c r="Z4" s="203" t="s">
        <v>11</v>
      </c>
      <c r="AA4" s="203" t="s">
        <v>65</v>
      </c>
      <c r="AB4" s="203" t="s">
        <v>66</v>
      </c>
      <c r="AC4" s="204" t="s">
        <v>67</v>
      </c>
      <c r="AD4" s="204" t="s">
        <v>68</v>
      </c>
      <c r="AE4" s="198" t="s">
        <v>69</v>
      </c>
      <c r="AF4" s="69" t="s">
        <v>92</v>
      </c>
      <c r="AG4" s="76">
        <v>46195</v>
      </c>
      <c r="AH4" s="76">
        <v>46195</v>
      </c>
      <c r="AI4" s="76">
        <v>46196</v>
      </c>
      <c r="AJ4" s="76">
        <v>46196</v>
      </c>
      <c r="AK4" s="76">
        <v>46196</v>
      </c>
      <c r="AL4" s="76">
        <v>46196</v>
      </c>
      <c r="AM4" s="76">
        <v>46197</v>
      </c>
      <c r="AN4" s="76">
        <v>46197</v>
      </c>
      <c r="AO4" s="76">
        <v>46198</v>
      </c>
      <c r="AP4" s="76">
        <v>46198</v>
      </c>
      <c r="AQ4" s="76">
        <v>46198</v>
      </c>
      <c r="AR4" s="76">
        <v>46199</v>
      </c>
      <c r="AS4" s="76">
        <v>46199</v>
      </c>
      <c r="AT4" s="76">
        <v>46199</v>
      </c>
      <c r="AU4" s="76">
        <v>46199</v>
      </c>
      <c r="AV4" s="76">
        <v>46202</v>
      </c>
      <c r="AW4" s="76">
        <v>46202</v>
      </c>
      <c r="AX4" s="76">
        <v>46200</v>
      </c>
      <c r="AY4" s="76">
        <v>46202</v>
      </c>
      <c r="AZ4" s="76">
        <v>46203</v>
      </c>
      <c r="BA4" s="76">
        <v>46203</v>
      </c>
      <c r="BB4" s="76">
        <v>46202</v>
      </c>
      <c r="BC4" s="76">
        <v>46203</v>
      </c>
      <c r="BD4" s="76">
        <v>46204</v>
      </c>
      <c r="BE4" s="76">
        <v>46204</v>
      </c>
      <c r="BF4" s="76">
        <v>46205</v>
      </c>
      <c r="BG4" s="76">
        <v>46206</v>
      </c>
      <c r="BH4" s="76">
        <v>46207</v>
      </c>
      <c r="BI4" s="76">
        <v>46209</v>
      </c>
      <c r="BJ4" s="76">
        <v>46209</v>
      </c>
      <c r="BK4" s="76">
        <v>46209</v>
      </c>
      <c r="BL4" s="76">
        <v>46209</v>
      </c>
      <c r="BM4" s="76">
        <v>46209</v>
      </c>
      <c r="BN4" s="76">
        <v>46209</v>
      </c>
      <c r="BO4" s="76">
        <v>46212</v>
      </c>
      <c r="BP4" s="76">
        <v>46212</v>
      </c>
      <c r="BQ4" s="76">
        <v>46211</v>
      </c>
      <c r="BR4" s="76">
        <v>46213</v>
      </c>
      <c r="BS4" s="76">
        <v>46213</v>
      </c>
      <c r="BT4" s="76">
        <v>46213</v>
      </c>
      <c r="BU4" s="76">
        <v>46213</v>
      </c>
      <c r="BV4" s="76">
        <v>46213</v>
      </c>
      <c r="BW4" s="76">
        <v>46214</v>
      </c>
      <c r="BX4" s="76">
        <v>46216</v>
      </c>
      <c r="BY4" s="76">
        <v>46216</v>
      </c>
      <c r="BZ4" s="76">
        <v>46216</v>
      </c>
      <c r="CA4" s="76">
        <v>46217</v>
      </c>
      <c r="CB4" s="76">
        <v>46217</v>
      </c>
      <c r="CC4" s="76">
        <v>46218</v>
      </c>
      <c r="CD4" s="76">
        <v>46218</v>
      </c>
      <c r="CE4" s="76">
        <v>46219</v>
      </c>
      <c r="CF4" s="76">
        <v>46219</v>
      </c>
      <c r="CG4" s="76">
        <v>46219</v>
      </c>
      <c r="CH4" s="76">
        <v>46219</v>
      </c>
      <c r="CI4" s="76">
        <v>46219</v>
      </c>
      <c r="CJ4" s="76">
        <v>46220</v>
      </c>
      <c r="CK4" s="76">
        <v>46220</v>
      </c>
      <c r="CL4" s="76">
        <v>46221</v>
      </c>
      <c r="CM4" s="76">
        <v>46223</v>
      </c>
      <c r="CN4" s="76">
        <v>46224</v>
      </c>
      <c r="CO4" s="76">
        <v>46224</v>
      </c>
      <c r="CP4" s="76">
        <v>46225</v>
      </c>
      <c r="CQ4" s="76">
        <v>46225</v>
      </c>
      <c r="CR4" s="76">
        <v>46226</v>
      </c>
      <c r="CS4" s="76">
        <v>46226</v>
      </c>
      <c r="CT4" s="76">
        <v>46226</v>
      </c>
      <c r="CU4" s="76">
        <v>46226</v>
      </c>
      <c r="CV4" s="76">
        <v>46226</v>
      </c>
      <c r="CW4" s="76">
        <v>46227</v>
      </c>
      <c r="CX4" s="76">
        <v>46227</v>
      </c>
      <c r="CY4" s="76">
        <v>46227</v>
      </c>
      <c r="CZ4" s="76">
        <v>46228</v>
      </c>
      <c r="DA4" s="76">
        <v>46228</v>
      </c>
      <c r="DB4" s="76">
        <v>46230</v>
      </c>
      <c r="DC4" s="76">
        <v>46230</v>
      </c>
      <c r="DD4" s="76">
        <v>46231</v>
      </c>
      <c r="DE4" s="76">
        <v>46232</v>
      </c>
      <c r="DF4" s="76">
        <v>46233</v>
      </c>
      <c r="DG4" s="76"/>
      <c r="DH4" s="76"/>
      <c r="DI4" s="76"/>
      <c r="DJ4" s="76"/>
      <c r="DK4" s="76"/>
      <c r="DL4" s="76"/>
      <c r="DM4" s="76"/>
      <c r="DN4" s="76"/>
      <c r="DO4" s="76"/>
      <c r="DP4" s="76"/>
      <c r="DQ4" s="76"/>
      <c r="DR4" s="76"/>
      <c r="DS4" s="76"/>
      <c r="DT4" s="76"/>
      <c r="DU4" s="76"/>
      <c r="DV4" s="76"/>
      <c r="DW4" s="76"/>
      <c r="DX4" s="76"/>
      <c r="DY4" s="76"/>
      <c r="DZ4" s="76"/>
      <c r="EA4" s="76"/>
      <c r="EB4" s="76"/>
      <c r="EC4" s="76"/>
      <c r="ED4" s="76"/>
      <c r="EE4" s="76"/>
      <c r="EF4" s="76"/>
      <c r="EG4" s="76"/>
      <c r="EH4" s="76"/>
      <c r="EI4" s="76"/>
      <c r="EJ4" s="76"/>
      <c r="EK4" s="76"/>
      <c r="EL4" s="76"/>
      <c r="EM4" s="76"/>
      <c r="EN4" s="76"/>
      <c r="EO4" s="76"/>
    </row>
    <row r="5" spans="1:145" ht="20.100000000000001" customHeight="1">
      <c r="A5" s="207"/>
      <c r="B5" s="215"/>
      <c r="C5" s="191"/>
      <c r="D5" s="191"/>
      <c r="E5" s="191"/>
      <c r="F5" s="191"/>
      <c r="G5" s="191"/>
      <c r="H5" s="210"/>
      <c r="I5" s="212"/>
      <c r="J5" s="212"/>
      <c r="K5" s="193"/>
      <c r="L5" s="196"/>
      <c r="M5" s="193"/>
      <c r="N5" s="191"/>
      <c r="O5" s="191"/>
      <c r="P5" s="191"/>
      <c r="Q5" s="191"/>
      <c r="R5" s="191"/>
      <c r="S5" s="191"/>
      <c r="T5" s="191"/>
      <c r="U5" s="191"/>
      <c r="V5" s="191"/>
      <c r="W5" s="180"/>
      <c r="X5" s="191"/>
      <c r="Y5" s="191"/>
      <c r="Z5" s="191"/>
      <c r="AA5" s="191"/>
      <c r="AB5" s="191"/>
      <c r="AC5" s="205"/>
      <c r="AD5" s="205"/>
      <c r="AE5" s="199"/>
      <c r="AF5" s="69" t="s">
        <v>1</v>
      </c>
      <c r="AG5" s="77" t="s">
        <v>254</v>
      </c>
      <c r="AH5" s="77" t="s">
        <v>325</v>
      </c>
      <c r="AI5" s="77" t="s">
        <v>254</v>
      </c>
      <c r="AJ5" s="77" t="s">
        <v>491</v>
      </c>
      <c r="AK5" s="77" t="s">
        <v>372</v>
      </c>
      <c r="AL5" s="77" t="s">
        <v>348</v>
      </c>
      <c r="AM5" s="77" t="s">
        <v>254</v>
      </c>
      <c r="AN5" s="77" t="s">
        <v>254</v>
      </c>
      <c r="AO5" s="77" t="s">
        <v>254</v>
      </c>
      <c r="AP5" s="77" t="s">
        <v>254</v>
      </c>
      <c r="AQ5" s="77" t="s">
        <v>348</v>
      </c>
      <c r="AR5" s="77" t="s">
        <v>325</v>
      </c>
      <c r="AS5" s="77" t="s">
        <v>348</v>
      </c>
      <c r="AT5" s="77" t="s">
        <v>254</v>
      </c>
      <c r="AU5" s="77" t="s">
        <v>254</v>
      </c>
      <c r="AV5" s="77" t="s">
        <v>254</v>
      </c>
      <c r="AW5" s="77" t="s">
        <v>254</v>
      </c>
      <c r="AX5" s="77" t="s">
        <v>348</v>
      </c>
      <c r="AY5" s="77" t="s">
        <v>348</v>
      </c>
      <c r="AZ5" s="77" t="s">
        <v>254</v>
      </c>
      <c r="BA5" s="77" t="s">
        <v>348</v>
      </c>
      <c r="BB5" s="77" t="s">
        <v>555</v>
      </c>
      <c r="BC5" s="77" t="s">
        <v>254</v>
      </c>
      <c r="BD5" s="77" t="s">
        <v>254</v>
      </c>
      <c r="BE5" s="77" t="s">
        <v>254</v>
      </c>
      <c r="BF5" s="77" t="s">
        <v>348</v>
      </c>
      <c r="BG5" s="77" t="s">
        <v>348</v>
      </c>
      <c r="BH5" s="77" t="s">
        <v>348</v>
      </c>
      <c r="BI5" s="77" t="s">
        <v>348</v>
      </c>
      <c r="BJ5" s="77" t="s">
        <v>348</v>
      </c>
      <c r="BK5" s="77" t="s">
        <v>348</v>
      </c>
      <c r="BL5" s="77" t="s">
        <v>348</v>
      </c>
      <c r="BM5" s="77" t="s">
        <v>348</v>
      </c>
      <c r="BN5" s="77" t="s">
        <v>254</v>
      </c>
      <c r="BO5" s="77" t="s">
        <v>325</v>
      </c>
      <c r="BP5" s="77" t="s">
        <v>325</v>
      </c>
      <c r="BQ5" s="77" t="s">
        <v>348</v>
      </c>
      <c r="BR5" s="77" t="s">
        <v>325</v>
      </c>
      <c r="BS5" s="77" t="s">
        <v>325</v>
      </c>
      <c r="BT5" s="77" t="s">
        <v>325</v>
      </c>
      <c r="BU5" s="77" t="s">
        <v>325</v>
      </c>
      <c r="BV5" s="77" t="s">
        <v>348</v>
      </c>
      <c r="BW5" s="77" t="s">
        <v>348</v>
      </c>
      <c r="BX5" s="77" t="s">
        <v>348</v>
      </c>
      <c r="BY5" s="77" t="s">
        <v>372</v>
      </c>
      <c r="BZ5" s="77" t="s">
        <v>372</v>
      </c>
      <c r="CA5" s="77" t="s">
        <v>254</v>
      </c>
      <c r="CB5" s="77" t="s">
        <v>254</v>
      </c>
      <c r="CC5" s="77" t="s">
        <v>254</v>
      </c>
      <c r="CD5" s="77" t="s">
        <v>254</v>
      </c>
      <c r="CE5" s="77" t="s">
        <v>254</v>
      </c>
      <c r="CF5" s="77" t="s">
        <v>254</v>
      </c>
      <c r="CG5" s="77" t="s">
        <v>348</v>
      </c>
      <c r="CH5" s="77" t="s">
        <v>744</v>
      </c>
      <c r="CI5" s="77" t="s">
        <v>744</v>
      </c>
      <c r="CJ5" s="77" t="s">
        <v>254</v>
      </c>
      <c r="CK5" s="77" t="s">
        <v>348</v>
      </c>
      <c r="CL5" s="77" t="s">
        <v>348</v>
      </c>
      <c r="CM5" s="77" t="s">
        <v>254</v>
      </c>
      <c r="CN5" s="77" t="s">
        <v>254</v>
      </c>
      <c r="CO5" s="77" t="s">
        <v>348</v>
      </c>
      <c r="CP5" s="77" t="s">
        <v>254</v>
      </c>
      <c r="CQ5" s="77" t="s">
        <v>254</v>
      </c>
      <c r="CR5" s="77" t="s">
        <v>325</v>
      </c>
      <c r="CS5" s="77" t="s">
        <v>254</v>
      </c>
      <c r="CT5" s="77" t="s">
        <v>254</v>
      </c>
      <c r="CU5" s="77" t="s">
        <v>254</v>
      </c>
      <c r="CV5" s="77" t="s">
        <v>348</v>
      </c>
      <c r="CW5" s="77" t="s">
        <v>348</v>
      </c>
      <c r="CX5" s="77" t="s">
        <v>325</v>
      </c>
      <c r="CY5" s="77" t="s">
        <v>254</v>
      </c>
      <c r="CZ5" s="77" t="s">
        <v>254</v>
      </c>
      <c r="DA5" s="77" t="s">
        <v>348</v>
      </c>
      <c r="DB5" s="77" t="s">
        <v>254</v>
      </c>
      <c r="DC5" s="77" t="s">
        <v>348</v>
      </c>
      <c r="DD5" s="77" t="s">
        <v>254</v>
      </c>
      <c r="DE5" s="77" t="s">
        <v>348</v>
      </c>
      <c r="DF5" s="77" t="s">
        <v>254</v>
      </c>
      <c r="DG5" s="77"/>
      <c r="DH5" s="77"/>
      <c r="DI5" s="77"/>
      <c r="DJ5" s="77"/>
      <c r="DK5" s="77"/>
      <c r="DL5" s="77"/>
      <c r="DM5" s="77"/>
      <c r="DN5" s="77"/>
      <c r="DO5" s="77"/>
      <c r="DP5" s="77"/>
      <c r="DQ5" s="77"/>
      <c r="DR5" s="77"/>
      <c r="DS5" s="77"/>
      <c r="DT5" s="77"/>
      <c r="DU5" s="77"/>
      <c r="DV5" s="77"/>
      <c r="DW5" s="77"/>
      <c r="DX5" s="77"/>
      <c r="DY5" s="77"/>
      <c r="DZ5" s="77"/>
      <c r="EA5" s="77"/>
      <c r="EB5" s="77"/>
      <c r="EC5" s="77"/>
      <c r="ED5" s="77"/>
      <c r="EE5" s="77"/>
      <c r="EF5" s="77"/>
      <c r="EG5" s="77"/>
      <c r="EH5" s="77"/>
      <c r="EI5" s="77"/>
      <c r="EJ5" s="77"/>
      <c r="EK5" s="77"/>
      <c r="EL5" s="77"/>
      <c r="EM5" s="77"/>
      <c r="EN5" s="77"/>
      <c r="EO5" s="77"/>
    </row>
    <row r="6" spans="1:145" ht="20.100000000000001" customHeight="1">
      <c r="A6" s="207"/>
      <c r="B6" s="215"/>
      <c r="C6" s="191"/>
      <c r="D6" s="191"/>
      <c r="E6" s="191"/>
      <c r="F6" s="191"/>
      <c r="G6" s="191"/>
      <c r="H6" s="210"/>
      <c r="I6" s="212"/>
      <c r="J6" s="212"/>
      <c r="K6" s="193"/>
      <c r="L6" s="196"/>
      <c r="M6" s="193"/>
      <c r="N6" s="191"/>
      <c r="O6" s="191"/>
      <c r="P6" s="191"/>
      <c r="Q6" s="191"/>
      <c r="R6" s="191"/>
      <c r="S6" s="191"/>
      <c r="T6" s="191"/>
      <c r="U6" s="191"/>
      <c r="V6" s="191"/>
      <c r="W6" s="180"/>
      <c r="X6" s="191"/>
      <c r="Y6" s="191"/>
      <c r="Z6" s="191"/>
      <c r="AA6" s="191"/>
      <c r="AB6" s="191"/>
      <c r="AC6" s="191"/>
      <c r="AD6" s="191"/>
      <c r="AE6" s="200"/>
      <c r="AF6" s="55" t="s">
        <v>115</v>
      </c>
      <c r="AG6" s="17" t="str">
        <f t="shared" ref="AG6:BL6" si="8">IFERROR(INDEX($C$13:$C$319,MATCH(SUM(AG$13:AG$319),AG$13:AG$319,0),1),"")</f>
        <v>G3S6626030104</v>
      </c>
      <c r="AH6" s="17" t="str">
        <f t="shared" si="8"/>
        <v>CKCOBKK0044293</v>
      </c>
      <c r="AI6" s="17" t="str">
        <f t="shared" si="8"/>
        <v>G3S6626030104</v>
      </c>
      <c r="AJ6" s="17" t="str">
        <f t="shared" si="8"/>
        <v>OOLU2310003500</v>
      </c>
      <c r="AK6" s="17" t="str">
        <f t="shared" si="8"/>
        <v>WTAOINC26033002</v>
      </c>
      <c r="AL6" s="17" t="str">
        <f t="shared" si="8"/>
        <v>KMTCLCH5649563</v>
      </c>
      <c r="AM6" s="17" t="str">
        <f t="shared" si="8"/>
        <v>G3S6626030104</v>
      </c>
      <c r="AN6" s="17" t="str">
        <f t="shared" si="8"/>
        <v>KMTCLCH5649563</v>
      </c>
      <c r="AO6" s="17" t="str">
        <f t="shared" si="8"/>
        <v>KMTCLCH5649563</v>
      </c>
      <c r="AP6" s="17" t="str">
        <f t="shared" si="8"/>
        <v>G3S6626030104</v>
      </c>
      <c r="AQ6" s="17" t="str">
        <f t="shared" si="8"/>
        <v>KMTCLCH5649563</v>
      </c>
      <c r="AR6" s="17" t="str">
        <f t="shared" si="8"/>
        <v>MAEU267673776</v>
      </c>
      <c r="AS6" s="17" t="str">
        <f t="shared" si="8"/>
        <v>KMTCLCH5649563</v>
      </c>
      <c r="AT6" s="17" t="str">
        <f t="shared" si="8"/>
        <v>KMTCLCH5649563</v>
      </c>
      <c r="AU6" s="17" t="str">
        <f t="shared" si="8"/>
        <v>G3S6626030104</v>
      </c>
      <c r="AV6" s="17" t="str">
        <f t="shared" si="8"/>
        <v>KMTCLCH5649563</v>
      </c>
      <c r="AW6" s="17" t="str">
        <f t="shared" si="8"/>
        <v>G3S6626030104</v>
      </c>
      <c r="AX6" s="17" t="str">
        <f t="shared" si="8"/>
        <v>KMTCLCH5649563</v>
      </c>
      <c r="AY6" s="17" t="str">
        <f t="shared" si="8"/>
        <v>KMTCLCH5649563</v>
      </c>
      <c r="AZ6" s="17" t="str">
        <f t="shared" si="8"/>
        <v>G3S6626030104</v>
      </c>
      <c r="BA6" s="17" t="str">
        <f t="shared" si="8"/>
        <v>KMTCLCH5649563</v>
      </c>
      <c r="BB6" s="17" t="str">
        <f t="shared" si="8"/>
        <v>G3S6626030104</v>
      </c>
      <c r="BC6" s="17" t="str">
        <f t="shared" si="8"/>
        <v>KMTCLCH5649563</v>
      </c>
      <c r="BD6" s="17" t="str">
        <f t="shared" si="8"/>
        <v>KMTCLCH5649563</v>
      </c>
      <c r="BE6" s="17" t="str">
        <f t="shared" si="8"/>
        <v>G3S6626030104</v>
      </c>
      <c r="BF6" s="17" t="str">
        <f t="shared" si="8"/>
        <v>KMTCLCH5649563</v>
      </c>
      <c r="BG6" s="17" t="str">
        <f t="shared" si="8"/>
        <v>KMTCLCH5649563</v>
      </c>
      <c r="BH6" s="17" t="str">
        <f t="shared" si="8"/>
        <v>KMTCLCH5649563</v>
      </c>
      <c r="BI6" s="17" t="str">
        <f t="shared" si="8"/>
        <v>KMTCLCH5649563</v>
      </c>
      <c r="BJ6" s="17" t="str">
        <f t="shared" si="8"/>
        <v>KMTCLCH5649563</v>
      </c>
      <c r="BK6" s="17" t="str">
        <f t="shared" si="8"/>
        <v>CKCOLCH0053278</v>
      </c>
      <c r="BL6" s="17" t="str">
        <f t="shared" si="8"/>
        <v>CKCOLCH0053278</v>
      </c>
      <c r="BM6" s="17" t="str">
        <f t="shared" ref="BM6:CC6" si="9">IFERROR(INDEX($C$13:$C$319,MATCH(SUM(BM$13:BM$319),BM$13:BM$319,0),1),"")</f>
        <v>MAEU257789982</v>
      </c>
      <c r="BN6" s="17" t="str">
        <f t="shared" si="9"/>
        <v>CPC0259124</v>
      </c>
      <c r="BO6" s="17" t="str">
        <f t="shared" si="9"/>
        <v>CKCOBKK0044293</v>
      </c>
      <c r="BP6" s="17" t="str">
        <f t="shared" si="9"/>
        <v>CKCOBKK0044293</v>
      </c>
      <c r="BQ6" s="17" t="str">
        <f t="shared" si="9"/>
        <v>CKCOLCH0053278</v>
      </c>
      <c r="BR6" s="17" t="str">
        <f t="shared" si="9"/>
        <v>MAEU267673776</v>
      </c>
      <c r="BS6" s="17" t="str">
        <f t="shared" si="9"/>
        <v>MAEU267673776</v>
      </c>
      <c r="BT6" s="17" t="str">
        <f t="shared" si="9"/>
        <v>MAEU267673776</v>
      </c>
      <c r="BU6" s="17" t="str">
        <f t="shared" si="9"/>
        <v>MAEU267673776</v>
      </c>
      <c r="BV6" s="17" t="str">
        <f t="shared" si="9"/>
        <v>CKCOLCH0053278</v>
      </c>
      <c r="BW6" s="17" t="str">
        <f t="shared" si="9"/>
        <v>CKCOLCH0053278</v>
      </c>
      <c r="BX6" s="17" t="str">
        <f t="shared" si="9"/>
        <v>CKCOLCH0053278</v>
      </c>
      <c r="BY6" s="17" t="str">
        <f t="shared" si="9"/>
        <v>SJTJ26050065</v>
      </c>
      <c r="BZ6" s="17" t="str">
        <f t="shared" si="9"/>
        <v>SJTJ26050065</v>
      </c>
      <c r="CA6" s="17" t="str">
        <f t="shared" si="9"/>
        <v>CKCOLCH0053278</v>
      </c>
      <c r="CB6" s="17" t="str">
        <f t="shared" si="9"/>
        <v>G3S6626030104</v>
      </c>
      <c r="CC6" s="17" t="str">
        <f t="shared" si="9"/>
        <v>CKCOLCH0053278</v>
      </c>
      <c r="CD6" s="17" t="str">
        <f t="shared" ref="CD6:DD6" si="10">IFERROR(INDEX($C$13:$C$319,MATCH(SUM(CD$13:CD$319),CD$13:CD$319,0),1),"")</f>
        <v>G3S6626030104</v>
      </c>
      <c r="CE6" s="17" t="str">
        <f t="shared" si="10"/>
        <v>G3S6626030104</v>
      </c>
      <c r="CF6" s="17" t="str">
        <f t="shared" si="10"/>
        <v>CKCOLCH0053278</v>
      </c>
      <c r="CG6" s="17" t="str">
        <f t="shared" si="10"/>
        <v>CKCOLCH0053278</v>
      </c>
      <c r="CH6" s="17" t="str">
        <f t="shared" si="10"/>
        <v>CKCOTAO7010009</v>
      </c>
      <c r="CI6" s="17" t="str">
        <f t="shared" si="10"/>
        <v>CKCOTAO7010009</v>
      </c>
      <c r="CJ6" s="17" t="str">
        <f t="shared" si="10"/>
        <v>CKCOLCH0053278</v>
      </c>
      <c r="CK6" s="17" t="str">
        <f t="shared" si="10"/>
        <v>CKCOLCH0053278</v>
      </c>
      <c r="CL6" s="17" t="str">
        <f t="shared" si="10"/>
        <v>CKCOLCH0053278</v>
      </c>
      <c r="CM6" s="17" t="str">
        <f t="shared" si="10"/>
        <v>CKCOLCH0053278</v>
      </c>
      <c r="CN6" s="17" t="str">
        <f t="shared" si="10"/>
        <v>CKCOLCH0053278</v>
      </c>
      <c r="CO6" s="17" t="str">
        <f t="shared" si="10"/>
        <v>CKCOLCH0053278</v>
      </c>
      <c r="CP6" s="17" t="str">
        <f t="shared" si="10"/>
        <v>CKCOLCH0053278</v>
      </c>
      <c r="CQ6" s="17" t="str">
        <f t="shared" si="10"/>
        <v>CPC0259124</v>
      </c>
      <c r="CR6" s="17" t="str">
        <f t="shared" si="10"/>
        <v>CKCOBKK0044593</v>
      </c>
      <c r="CS6" s="17" t="str">
        <f t="shared" si="10"/>
        <v>CKCOLCH0053278</v>
      </c>
      <c r="CT6" s="17" t="str">
        <f t="shared" si="10"/>
        <v>CKCOLCH0053278</v>
      </c>
      <c r="CU6" s="17" t="str">
        <f t="shared" si="10"/>
        <v>KMTCLCH5655733</v>
      </c>
      <c r="CV6" s="17" t="str">
        <f t="shared" si="10"/>
        <v>KMTCLCH5655733</v>
      </c>
      <c r="CW6" s="17" t="str">
        <f t="shared" si="10"/>
        <v>KMTCLCH5655733</v>
      </c>
      <c r="CX6" s="17" t="str">
        <f t="shared" si="10"/>
        <v>CPC0270678</v>
      </c>
      <c r="CY6" s="17" t="str">
        <f t="shared" si="10"/>
        <v>KMTCLCH5655733</v>
      </c>
      <c r="CZ6" s="17" t="str">
        <f t="shared" si="10"/>
        <v>KMTCLCH5655733</v>
      </c>
      <c r="DA6" s="17" t="str">
        <f t="shared" si="10"/>
        <v>KMTCLCH5655733</v>
      </c>
      <c r="DB6" s="17" t="str">
        <f t="shared" si="10"/>
        <v>KMTCLCH5655733</v>
      </c>
      <c r="DC6" s="17" t="str">
        <f t="shared" si="10"/>
        <v>KMTCLCH5655733</v>
      </c>
      <c r="DD6" s="17" t="str">
        <f t="shared" si="10"/>
        <v>KMTCLCH5655733</v>
      </c>
      <c r="DE6" s="17" t="str">
        <f t="shared" ref="DE6:EO6" si="11">IFERROR(INDEX($C$13:$C$319,MATCH(SUM(DE$13:DE$319),DE$13:DE$319,0),1),"")</f>
        <v>KMTCLCH5655733</v>
      </c>
      <c r="DF6" s="17" t="str">
        <f t="shared" si="11"/>
        <v>KMTCLCH5655733</v>
      </c>
      <c r="DG6" s="17" t="str">
        <f t="shared" si="11"/>
        <v/>
      </c>
      <c r="DH6" s="17" t="str">
        <f t="shared" si="11"/>
        <v/>
      </c>
      <c r="DI6" s="17" t="str">
        <f t="shared" si="11"/>
        <v/>
      </c>
      <c r="DJ6" s="17" t="str">
        <f t="shared" si="11"/>
        <v/>
      </c>
      <c r="DK6" s="17" t="str">
        <f t="shared" si="11"/>
        <v/>
      </c>
      <c r="DL6" s="17" t="str">
        <f t="shared" si="11"/>
        <v/>
      </c>
      <c r="DM6" s="17" t="str">
        <f t="shared" si="11"/>
        <v/>
      </c>
      <c r="DN6" s="17" t="str">
        <f t="shared" si="11"/>
        <v/>
      </c>
      <c r="DO6" s="17" t="str">
        <f t="shared" si="11"/>
        <v/>
      </c>
      <c r="DP6" s="17" t="str">
        <f t="shared" si="11"/>
        <v/>
      </c>
      <c r="DQ6" s="17" t="str">
        <f t="shared" si="11"/>
        <v/>
      </c>
      <c r="DR6" s="17" t="str">
        <f t="shared" si="11"/>
        <v/>
      </c>
      <c r="DS6" s="17" t="str">
        <f t="shared" si="11"/>
        <v/>
      </c>
      <c r="DT6" s="17" t="str">
        <f t="shared" si="11"/>
        <v/>
      </c>
      <c r="DU6" s="17" t="str">
        <f t="shared" si="11"/>
        <v/>
      </c>
      <c r="DV6" s="17" t="str">
        <f t="shared" si="11"/>
        <v/>
      </c>
      <c r="DW6" s="17" t="str">
        <f t="shared" si="11"/>
        <v/>
      </c>
      <c r="DX6" s="17" t="str">
        <f t="shared" si="11"/>
        <v/>
      </c>
      <c r="DY6" s="17" t="str">
        <f t="shared" si="11"/>
        <v/>
      </c>
      <c r="DZ6" s="17" t="str">
        <f t="shared" si="11"/>
        <v/>
      </c>
      <c r="EA6" s="17" t="str">
        <f t="shared" si="11"/>
        <v/>
      </c>
      <c r="EB6" s="17" t="str">
        <f t="shared" si="11"/>
        <v/>
      </c>
      <c r="EC6" s="17" t="str">
        <f t="shared" si="11"/>
        <v/>
      </c>
      <c r="ED6" s="17" t="str">
        <f t="shared" si="11"/>
        <v/>
      </c>
      <c r="EE6" s="17" t="str">
        <f t="shared" si="11"/>
        <v/>
      </c>
      <c r="EF6" s="17" t="str">
        <f t="shared" si="11"/>
        <v/>
      </c>
      <c r="EG6" s="17" t="str">
        <f t="shared" si="11"/>
        <v/>
      </c>
      <c r="EH6" s="17" t="str">
        <f t="shared" si="11"/>
        <v/>
      </c>
      <c r="EI6" s="17" t="str">
        <f t="shared" si="11"/>
        <v/>
      </c>
      <c r="EJ6" s="17" t="str">
        <f t="shared" si="11"/>
        <v/>
      </c>
      <c r="EK6" s="17" t="str">
        <f t="shared" si="11"/>
        <v/>
      </c>
      <c r="EL6" s="17" t="str">
        <f t="shared" si="11"/>
        <v/>
      </c>
      <c r="EM6" s="17" t="str">
        <f t="shared" si="11"/>
        <v/>
      </c>
      <c r="EN6" s="17" t="str">
        <f t="shared" si="11"/>
        <v/>
      </c>
      <c r="EO6" s="17" t="str">
        <f t="shared" si="11"/>
        <v/>
      </c>
    </row>
    <row r="7" spans="1:145" ht="15" customHeight="1">
      <c r="A7" s="207"/>
      <c r="B7" s="215"/>
      <c r="C7" s="191"/>
      <c r="D7" s="191"/>
      <c r="E7" s="191"/>
      <c r="F7" s="191"/>
      <c r="G7" s="191"/>
      <c r="H7" s="210"/>
      <c r="I7" s="212"/>
      <c r="J7" s="212"/>
      <c r="K7" s="193"/>
      <c r="L7" s="196"/>
      <c r="M7" s="193"/>
      <c r="N7" s="191"/>
      <c r="O7" s="191"/>
      <c r="P7" s="191"/>
      <c r="Q7" s="191"/>
      <c r="R7" s="191"/>
      <c r="S7" s="191"/>
      <c r="T7" s="191"/>
      <c r="U7" s="191"/>
      <c r="V7" s="191"/>
      <c r="W7" s="180"/>
      <c r="X7" s="191"/>
      <c r="Y7" s="191"/>
      <c r="Z7" s="191"/>
      <c r="AA7" s="191"/>
      <c r="AB7" s="191"/>
      <c r="AC7" s="191"/>
      <c r="AD7" s="191"/>
      <c r="AE7" s="200"/>
      <c r="AF7" s="55" t="s">
        <v>3</v>
      </c>
      <c r="AG7" s="18" t="str">
        <f t="shared" ref="AG7:BL7" si="12">IFERROR(INDEX($F$13:$F$319,MATCH(SUM(AG$13:AG$319),AG$13:AG$319,0),1),"")</f>
        <v>톤백설탕</v>
      </c>
      <c r="AH7" s="18" t="str">
        <f t="shared" si="12"/>
        <v>홀 커널 스위트콘</v>
      </c>
      <c r="AI7" s="18" t="str">
        <f t="shared" si="12"/>
        <v>톤백설탕</v>
      </c>
      <c r="AJ7" s="18" t="str">
        <f t="shared" si="12"/>
        <v>참치캔</v>
      </c>
      <c r="AK7" s="18" t="str">
        <f t="shared" si="12"/>
        <v>동결건조 블루베리 분말</v>
      </c>
      <c r="AL7" s="18" t="str">
        <f t="shared" si="12"/>
        <v>15KG설탕</v>
      </c>
      <c r="AM7" s="18" t="str">
        <f t="shared" si="12"/>
        <v>톤백설탕</v>
      </c>
      <c r="AN7" s="18" t="str">
        <f t="shared" si="12"/>
        <v>15KG설탕</v>
      </c>
      <c r="AO7" s="18" t="str">
        <f t="shared" si="12"/>
        <v>15KG설탕</v>
      </c>
      <c r="AP7" s="18" t="str">
        <f t="shared" si="12"/>
        <v>톤백설탕</v>
      </c>
      <c r="AQ7" s="18" t="str">
        <f t="shared" si="12"/>
        <v>15KG설탕</v>
      </c>
      <c r="AR7" s="18" t="str">
        <f t="shared" si="12"/>
        <v>후르츠칵테일</v>
      </c>
      <c r="AS7" s="18" t="str">
        <f t="shared" si="12"/>
        <v>15KG설탕</v>
      </c>
      <c r="AT7" s="18" t="str">
        <f t="shared" si="12"/>
        <v>15KG설탕</v>
      </c>
      <c r="AU7" s="18" t="str">
        <f t="shared" si="12"/>
        <v>톤백설탕</v>
      </c>
      <c r="AV7" s="18" t="str">
        <f t="shared" si="12"/>
        <v>15KG설탕</v>
      </c>
      <c r="AW7" s="18" t="str">
        <f t="shared" si="12"/>
        <v>톤백설탕</v>
      </c>
      <c r="AX7" s="18" t="str">
        <f t="shared" si="12"/>
        <v>15KG설탕</v>
      </c>
      <c r="AY7" s="18" t="str">
        <f t="shared" si="12"/>
        <v>15KG설탕</v>
      </c>
      <c r="AZ7" s="18" t="str">
        <f t="shared" si="12"/>
        <v>톤백설탕</v>
      </c>
      <c r="BA7" s="18" t="str">
        <f t="shared" si="12"/>
        <v>15KG설탕</v>
      </c>
      <c r="BB7" s="18" t="str">
        <f t="shared" si="12"/>
        <v>톤백설탕</v>
      </c>
      <c r="BC7" s="18" t="str">
        <f t="shared" si="12"/>
        <v>15KG설탕</v>
      </c>
      <c r="BD7" s="18" t="str">
        <f t="shared" si="12"/>
        <v>15KG설탕</v>
      </c>
      <c r="BE7" s="18" t="str">
        <f t="shared" si="12"/>
        <v>톤백설탕</v>
      </c>
      <c r="BF7" s="18" t="str">
        <f t="shared" si="12"/>
        <v>15KG설탕</v>
      </c>
      <c r="BG7" s="18" t="str">
        <f t="shared" si="12"/>
        <v>15KG설탕</v>
      </c>
      <c r="BH7" s="18" t="str">
        <f t="shared" si="12"/>
        <v>15KG설탕</v>
      </c>
      <c r="BI7" s="18" t="str">
        <f t="shared" si="12"/>
        <v>15KG설탕</v>
      </c>
      <c r="BJ7" s="18" t="str">
        <f t="shared" si="12"/>
        <v>15KG설탕</v>
      </c>
      <c r="BK7" s="18" t="str">
        <f t="shared" si="12"/>
        <v>15KG설탕</v>
      </c>
      <c r="BL7" s="18" t="str">
        <f t="shared" si="12"/>
        <v>15KG설탕</v>
      </c>
      <c r="BM7" s="18" t="str">
        <f t="shared" ref="BM7:CC7" si="13">IFERROR(INDEX($F$13:$F$319,MATCH(SUM(BM$13:BM$319),BM$13:BM$319,0),1),"")</f>
        <v>바이탈 밀 글루텐</v>
      </c>
      <c r="BN7" s="18" t="str">
        <f t="shared" si="13"/>
        <v>후르츠 칵테일 3KG</v>
      </c>
      <c r="BO7" s="18" t="str">
        <f t="shared" si="13"/>
        <v>홀 커널 스위트콘</v>
      </c>
      <c r="BP7" s="18" t="str">
        <f t="shared" si="13"/>
        <v>홀 커널 스위트콘</v>
      </c>
      <c r="BQ7" s="18" t="str">
        <f t="shared" si="13"/>
        <v>15KG설탕</v>
      </c>
      <c r="BR7" s="18" t="str">
        <f t="shared" si="13"/>
        <v>후르츠칵테일</v>
      </c>
      <c r="BS7" s="18" t="str">
        <f t="shared" si="13"/>
        <v>후르츠칵테일</v>
      </c>
      <c r="BT7" s="18" t="str">
        <f t="shared" si="13"/>
        <v>후르츠칵테일</v>
      </c>
      <c r="BU7" s="18" t="str">
        <f t="shared" si="13"/>
        <v>후르츠칵테일</v>
      </c>
      <c r="BV7" s="18" t="str">
        <f t="shared" si="13"/>
        <v>15KG설탕</v>
      </c>
      <c r="BW7" s="18" t="str">
        <f t="shared" si="13"/>
        <v>15KG설탕</v>
      </c>
      <c r="BX7" s="18" t="str">
        <f t="shared" si="13"/>
        <v>15KG설탕</v>
      </c>
      <c r="BY7" s="18" t="str">
        <f t="shared" si="13"/>
        <v>블루베리 믹스필링</v>
      </c>
      <c r="BZ7" s="18" t="str">
        <f t="shared" si="13"/>
        <v>블루베리 믹스필링</v>
      </c>
      <c r="CA7" s="18" t="str">
        <f t="shared" si="13"/>
        <v>15KG설탕</v>
      </c>
      <c r="CB7" s="18" t="str">
        <f t="shared" si="13"/>
        <v>톤백설탕</v>
      </c>
      <c r="CC7" s="18" t="str">
        <f t="shared" si="13"/>
        <v>15KG설탕</v>
      </c>
      <c r="CD7" s="18" t="str">
        <f t="shared" ref="CD7:DD7" si="14">IFERROR(INDEX($F$13:$F$319,MATCH(SUM(CD$13:CD$319),CD$13:CD$319,0),1),"")</f>
        <v>톤백설탕</v>
      </c>
      <c r="CE7" s="18" t="str">
        <f t="shared" si="14"/>
        <v>톤백설탕</v>
      </c>
      <c r="CF7" s="18" t="str">
        <f t="shared" si="14"/>
        <v>15KG설탕</v>
      </c>
      <c r="CG7" s="18" t="str">
        <f t="shared" si="14"/>
        <v>15KG설탕</v>
      </c>
      <c r="CH7" s="18" t="str">
        <f t="shared" si="14"/>
        <v>딸기 다이스</v>
      </c>
      <c r="CI7" s="18" t="str">
        <f t="shared" si="14"/>
        <v>딸기 다이스</v>
      </c>
      <c r="CJ7" s="18" t="str">
        <f t="shared" si="14"/>
        <v>15KG설탕</v>
      </c>
      <c r="CK7" s="18" t="str">
        <f t="shared" si="14"/>
        <v>15KG설탕</v>
      </c>
      <c r="CL7" s="18" t="str">
        <f t="shared" si="14"/>
        <v>15KG설탕</v>
      </c>
      <c r="CM7" s="18" t="str">
        <f t="shared" si="14"/>
        <v>15KG설탕</v>
      </c>
      <c r="CN7" s="18" t="str">
        <f t="shared" si="14"/>
        <v>15KG설탕</v>
      </c>
      <c r="CO7" s="18" t="str">
        <f t="shared" si="14"/>
        <v>15KG설탕</v>
      </c>
      <c r="CP7" s="18" t="str">
        <f t="shared" si="14"/>
        <v>15KG설탕</v>
      </c>
      <c r="CQ7" s="18" t="str">
        <f t="shared" si="14"/>
        <v>후르츠 칵테일 3KG</v>
      </c>
      <c r="CR7" s="18" t="str">
        <f t="shared" si="14"/>
        <v>홀 커널 스위트콘</v>
      </c>
      <c r="CS7" s="18" t="str">
        <f t="shared" si="14"/>
        <v>15KG설탕</v>
      </c>
      <c r="CT7" s="18" t="str">
        <f t="shared" si="14"/>
        <v>15KG설탕</v>
      </c>
      <c r="CU7" s="18" t="str">
        <f t="shared" si="14"/>
        <v>15KG설탕</v>
      </c>
      <c r="CV7" s="18" t="str">
        <f t="shared" si="14"/>
        <v>15KG설탕</v>
      </c>
      <c r="CW7" s="18" t="str">
        <f t="shared" si="14"/>
        <v>15KG설탕</v>
      </c>
      <c r="CX7" s="18" t="str">
        <f t="shared" si="14"/>
        <v>후르츠칵테일</v>
      </c>
      <c r="CY7" s="18" t="str">
        <f t="shared" si="14"/>
        <v>15KG설탕</v>
      </c>
      <c r="CZ7" s="18" t="str">
        <f t="shared" si="14"/>
        <v>15KG설탕</v>
      </c>
      <c r="DA7" s="18" t="str">
        <f t="shared" si="14"/>
        <v>15KG설탕</v>
      </c>
      <c r="DB7" s="18" t="str">
        <f t="shared" si="14"/>
        <v>15KG설탕</v>
      </c>
      <c r="DC7" s="18" t="str">
        <f t="shared" si="14"/>
        <v>15KG설탕</v>
      </c>
      <c r="DD7" s="18" t="str">
        <f t="shared" si="14"/>
        <v>15KG설탕</v>
      </c>
      <c r="DE7" s="18" t="str">
        <f t="shared" ref="DE7:EO7" si="15">IFERROR(INDEX($F$13:$F$319,MATCH(SUM(DE$13:DE$319),DE$13:DE$319,0),1),"")</f>
        <v>15KG설탕</v>
      </c>
      <c r="DF7" s="18" t="str">
        <f t="shared" si="15"/>
        <v>15KG설탕</v>
      </c>
      <c r="DG7" s="18" t="str">
        <f t="shared" si="15"/>
        <v/>
      </c>
      <c r="DH7" s="18" t="str">
        <f t="shared" si="15"/>
        <v/>
      </c>
      <c r="DI7" s="18" t="str">
        <f t="shared" si="15"/>
        <v/>
      </c>
      <c r="DJ7" s="18" t="str">
        <f t="shared" si="15"/>
        <v/>
      </c>
      <c r="DK7" s="18" t="str">
        <f t="shared" si="15"/>
        <v/>
      </c>
      <c r="DL7" s="18" t="str">
        <f t="shared" si="15"/>
        <v/>
      </c>
      <c r="DM7" s="18" t="str">
        <f t="shared" si="15"/>
        <v/>
      </c>
      <c r="DN7" s="18" t="str">
        <f t="shared" si="15"/>
        <v/>
      </c>
      <c r="DO7" s="18" t="str">
        <f t="shared" si="15"/>
        <v/>
      </c>
      <c r="DP7" s="18" t="str">
        <f t="shared" si="15"/>
        <v/>
      </c>
      <c r="DQ7" s="18" t="str">
        <f t="shared" si="15"/>
        <v/>
      </c>
      <c r="DR7" s="18" t="str">
        <f t="shared" si="15"/>
        <v/>
      </c>
      <c r="DS7" s="18" t="str">
        <f t="shared" si="15"/>
        <v/>
      </c>
      <c r="DT7" s="18" t="str">
        <f t="shared" si="15"/>
        <v/>
      </c>
      <c r="DU7" s="18" t="str">
        <f t="shared" si="15"/>
        <v/>
      </c>
      <c r="DV7" s="18" t="str">
        <f t="shared" si="15"/>
        <v/>
      </c>
      <c r="DW7" s="18" t="str">
        <f t="shared" si="15"/>
        <v/>
      </c>
      <c r="DX7" s="18" t="str">
        <f t="shared" si="15"/>
        <v/>
      </c>
      <c r="DY7" s="18" t="str">
        <f t="shared" si="15"/>
        <v/>
      </c>
      <c r="DZ7" s="18" t="str">
        <f t="shared" si="15"/>
        <v/>
      </c>
      <c r="EA7" s="18" t="str">
        <f t="shared" si="15"/>
        <v/>
      </c>
      <c r="EB7" s="18" t="str">
        <f t="shared" si="15"/>
        <v/>
      </c>
      <c r="EC7" s="18" t="str">
        <f t="shared" si="15"/>
        <v/>
      </c>
      <c r="ED7" s="18" t="str">
        <f t="shared" si="15"/>
        <v/>
      </c>
      <c r="EE7" s="18" t="str">
        <f t="shared" si="15"/>
        <v/>
      </c>
      <c r="EF7" s="18" t="str">
        <f t="shared" si="15"/>
        <v/>
      </c>
      <c r="EG7" s="18" t="str">
        <f t="shared" si="15"/>
        <v/>
      </c>
      <c r="EH7" s="18" t="str">
        <f t="shared" si="15"/>
        <v/>
      </c>
      <c r="EI7" s="18" t="str">
        <f t="shared" si="15"/>
        <v/>
      </c>
      <c r="EJ7" s="18" t="str">
        <f t="shared" si="15"/>
        <v/>
      </c>
      <c r="EK7" s="18" t="str">
        <f t="shared" si="15"/>
        <v/>
      </c>
      <c r="EL7" s="18" t="str">
        <f t="shared" si="15"/>
        <v/>
      </c>
      <c r="EM7" s="18" t="str">
        <f t="shared" si="15"/>
        <v/>
      </c>
      <c r="EN7" s="18" t="str">
        <f t="shared" si="15"/>
        <v/>
      </c>
      <c r="EO7" s="18" t="str">
        <f t="shared" si="15"/>
        <v/>
      </c>
    </row>
    <row r="8" spans="1:145" ht="15" customHeight="1">
      <c r="A8" s="207"/>
      <c r="B8" s="215"/>
      <c r="C8" s="191"/>
      <c r="D8" s="191"/>
      <c r="E8" s="191"/>
      <c r="F8" s="191"/>
      <c r="G8" s="191"/>
      <c r="H8" s="210"/>
      <c r="I8" s="212"/>
      <c r="J8" s="212"/>
      <c r="K8" s="193"/>
      <c r="L8" s="196"/>
      <c r="M8" s="193"/>
      <c r="N8" s="191"/>
      <c r="O8" s="191"/>
      <c r="P8" s="191"/>
      <c r="Q8" s="191"/>
      <c r="R8" s="191"/>
      <c r="S8" s="191"/>
      <c r="T8" s="191"/>
      <c r="U8" s="191"/>
      <c r="V8" s="191"/>
      <c r="W8" s="180"/>
      <c r="X8" s="191"/>
      <c r="Y8" s="191"/>
      <c r="Z8" s="191"/>
      <c r="AA8" s="191"/>
      <c r="AB8" s="191"/>
      <c r="AC8" s="191"/>
      <c r="AD8" s="191"/>
      <c r="AE8" s="200"/>
      <c r="AF8" s="55" t="s">
        <v>4</v>
      </c>
      <c r="AG8" s="47">
        <f t="shared" ref="AG8:BL8" si="16">IFERROR(SUM(AG$13:AG$319),"")</f>
        <v>4</v>
      </c>
      <c r="AH8" s="47">
        <f t="shared" si="16"/>
        <v>720</v>
      </c>
      <c r="AI8" s="47">
        <f t="shared" si="16"/>
        <v>4</v>
      </c>
      <c r="AJ8" s="47">
        <f t="shared" si="16"/>
        <v>80</v>
      </c>
      <c r="AK8" s="47">
        <f t="shared" si="16"/>
        <v>60</v>
      </c>
      <c r="AL8" s="47">
        <f t="shared" si="16"/>
        <v>504</v>
      </c>
      <c r="AM8" s="47">
        <f t="shared" si="16"/>
        <v>4</v>
      </c>
      <c r="AN8" s="47">
        <f t="shared" si="16"/>
        <v>1152</v>
      </c>
      <c r="AO8" s="47">
        <f t="shared" si="16"/>
        <v>864</v>
      </c>
      <c r="AP8" s="47">
        <f t="shared" si="16"/>
        <v>4</v>
      </c>
      <c r="AQ8" s="47">
        <f t="shared" si="16"/>
        <v>1152</v>
      </c>
      <c r="AR8" s="47">
        <f t="shared" si="16"/>
        <v>560</v>
      </c>
      <c r="AS8" s="47">
        <f t="shared" si="16"/>
        <v>1152</v>
      </c>
      <c r="AT8" s="47">
        <f t="shared" si="16"/>
        <v>432</v>
      </c>
      <c r="AU8" s="47">
        <f t="shared" si="16"/>
        <v>5</v>
      </c>
      <c r="AV8" s="47">
        <f t="shared" si="16"/>
        <v>720</v>
      </c>
      <c r="AW8" s="47">
        <f t="shared" si="16"/>
        <v>4</v>
      </c>
      <c r="AX8" s="47">
        <f t="shared" si="16"/>
        <v>1152</v>
      </c>
      <c r="AY8" s="47">
        <f t="shared" si="16"/>
        <v>1152</v>
      </c>
      <c r="AZ8" s="47">
        <f t="shared" si="16"/>
        <v>4</v>
      </c>
      <c r="BA8" s="47">
        <f t="shared" si="16"/>
        <v>1152</v>
      </c>
      <c r="BB8" s="47">
        <f t="shared" si="16"/>
        <v>1</v>
      </c>
      <c r="BC8" s="47">
        <f t="shared" si="16"/>
        <v>720</v>
      </c>
      <c r="BD8" s="47">
        <f t="shared" si="16"/>
        <v>720</v>
      </c>
      <c r="BE8" s="47">
        <f t="shared" si="16"/>
        <v>4</v>
      </c>
      <c r="BF8" s="47">
        <f t="shared" si="16"/>
        <v>1152</v>
      </c>
      <c r="BG8" s="47">
        <f t="shared" si="16"/>
        <v>1152</v>
      </c>
      <c r="BH8" s="47">
        <f t="shared" si="16"/>
        <v>1152</v>
      </c>
      <c r="BI8" s="47">
        <f t="shared" si="16"/>
        <v>1008</v>
      </c>
      <c r="BJ8" s="47">
        <f t="shared" si="16"/>
        <v>44</v>
      </c>
      <c r="BK8" s="47">
        <f t="shared" si="16"/>
        <v>28</v>
      </c>
      <c r="BL8" s="47">
        <f t="shared" si="16"/>
        <v>72</v>
      </c>
      <c r="BM8" s="47">
        <f t="shared" ref="BM8:CC8" si="17">IFERROR(SUM(BM$13:BM$319),"")</f>
        <v>80</v>
      </c>
      <c r="BN8" s="47">
        <f t="shared" si="17"/>
        <v>2</v>
      </c>
      <c r="BO8" s="47">
        <f t="shared" si="17"/>
        <v>432</v>
      </c>
      <c r="BP8" s="47">
        <f t="shared" si="17"/>
        <v>22</v>
      </c>
      <c r="BQ8" s="47">
        <f t="shared" si="17"/>
        <v>1152</v>
      </c>
      <c r="BR8" s="47">
        <f t="shared" si="17"/>
        <v>392</v>
      </c>
      <c r="BS8" s="47">
        <f t="shared" si="17"/>
        <v>36</v>
      </c>
      <c r="BT8" s="47">
        <f t="shared" si="17"/>
        <v>11</v>
      </c>
      <c r="BU8" s="47">
        <f t="shared" si="17"/>
        <v>1</v>
      </c>
      <c r="BV8" s="47">
        <f t="shared" si="17"/>
        <v>1152</v>
      </c>
      <c r="BW8" s="47">
        <f t="shared" si="17"/>
        <v>1152</v>
      </c>
      <c r="BX8" s="47">
        <f t="shared" si="17"/>
        <v>1152</v>
      </c>
      <c r="BY8" s="47">
        <f t="shared" si="17"/>
        <v>840</v>
      </c>
      <c r="BZ8" s="47">
        <f t="shared" si="17"/>
        <v>44</v>
      </c>
      <c r="CA8" s="47">
        <f t="shared" si="17"/>
        <v>720</v>
      </c>
      <c r="CB8" s="47">
        <f t="shared" si="17"/>
        <v>4</v>
      </c>
      <c r="CC8" s="47">
        <f t="shared" si="17"/>
        <v>720</v>
      </c>
      <c r="CD8" s="47">
        <f t="shared" ref="CD8:DD8" si="18">IFERROR(SUM(CD$13:CD$319),"")</f>
        <v>4</v>
      </c>
      <c r="CE8" s="47">
        <f t="shared" si="18"/>
        <v>2</v>
      </c>
      <c r="CF8" s="47">
        <f t="shared" si="18"/>
        <v>864</v>
      </c>
      <c r="CG8" s="47">
        <f t="shared" si="18"/>
        <v>1152</v>
      </c>
      <c r="CH8" s="47">
        <f t="shared" si="18"/>
        <v>336</v>
      </c>
      <c r="CI8" s="47">
        <f t="shared" si="18"/>
        <v>14</v>
      </c>
      <c r="CJ8" s="47">
        <f t="shared" si="18"/>
        <v>720</v>
      </c>
      <c r="CK8" s="47">
        <f t="shared" si="18"/>
        <v>1152</v>
      </c>
      <c r="CL8" s="47">
        <f t="shared" si="18"/>
        <v>1152</v>
      </c>
      <c r="CM8" s="47">
        <f t="shared" si="18"/>
        <v>864</v>
      </c>
      <c r="CN8" s="47">
        <f t="shared" si="18"/>
        <v>864</v>
      </c>
      <c r="CO8" s="47">
        <f t="shared" si="18"/>
        <v>1152</v>
      </c>
      <c r="CP8" s="47">
        <f t="shared" si="18"/>
        <v>864</v>
      </c>
      <c r="CQ8" s="47">
        <f t="shared" si="18"/>
        <v>2</v>
      </c>
      <c r="CR8" s="47">
        <f t="shared" si="18"/>
        <v>720</v>
      </c>
      <c r="CS8" s="47">
        <f t="shared" si="18"/>
        <v>360</v>
      </c>
      <c r="CT8" s="47">
        <f t="shared" si="18"/>
        <v>14</v>
      </c>
      <c r="CU8" s="47">
        <f t="shared" si="18"/>
        <v>792</v>
      </c>
      <c r="CV8" s="47">
        <f t="shared" si="18"/>
        <v>1152</v>
      </c>
      <c r="CW8" s="47">
        <f t="shared" si="18"/>
        <v>1152</v>
      </c>
      <c r="CX8" s="47">
        <f t="shared" si="18"/>
        <v>560</v>
      </c>
      <c r="CY8" s="47">
        <f t="shared" si="18"/>
        <v>432</v>
      </c>
      <c r="CZ8" s="47">
        <f t="shared" si="18"/>
        <v>360</v>
      </c>
      <c r="DA8" s="47">
        <f t="shared" si="18"/>
        <v>1152</v>
      </c>
      <c r="DB8" s="47">
        <f t="shared" si="18"/>
        <v>1152</v>
      </c>
      <c r="DC8" s="47">
        <f t="shared" si="18"/>
        <v>1152</v>
      </c>
      <c r="DD8" s="47">
        <f t="shared" si="18"/>
        <v>864</v>
      </c>
      <c r="DE8" s="47">
        <f t="shared" ref="DE8:EO8" si="19">IFERROR(SUM(DE$13:DE$319),"")</f>
        <v>1152</v>
      </c>
      <c r="DF8" s="47">
        <f t="shared" si="19"/>
        <v>864</v>
      </c>
      <c r="DG8" s="47">
        <f t="shared" si="19"/>
        <v>0</v>
      </c>
      <c r="DH8" s="47">
        <f t="shared" si="19"/>
        <v>0</v>
      </c>
      <c r="DI8" s="47">
        <f t="shared" si="19"/>
        <v>0</v>
      </c>
      <c r="DJ8" s="47">
        <f t="shared" si="19"/>
        <v>0</v>
      </c>
      <c r="DK8" s="47">
        <f t="shared" si="19"/>
        <v>0</v>
      </c>
      <c r="DL8" s="47">
        <f t="shared" si="19"/>
        <v>0</v>
      </c>
      <c r="DM8" s="47">
        <f t="shared" si="19"/>
        <v>0</v>
      </c>
      <c r="DN8" s="47">
        <f t="shared" si="19"/>
        <v>0</v>
      </c>
      <c r="DO8" s="47">
        <f t="shared" si="19"/>
        <v>0</v>
      </c>
      <c r="DP8" s="47">
        <f t="shared" si="19"/>
        <v>0</v>
      </c>
      <c r="DQ8" s="47">
        <f t="shared" si="19"/>
        <v>0</v>
      </c>
      <c r="DR8" s="47">
        <f t="shared" si="19"/>
        <v>0</v>
      </c>
      <c r="DS8" s="47">
        <f t="shared" si="19"/>
        <v>0</v>
      </c>
      <c r="DT8" s="47">
        <f t="shared" si="19"/>
        <v>0</v>
      </c>
      <c r="DU8" s="47">
        <f t="shared" si="19"/>
        <v>0</v>
      </c>
      <c r="DV8" s="47">
        <f t="shared" si="19"/>
        <v>0</v>
      </c>
      <c r="DW8" s="47">
        <f t="shared" si="19"/>
        <v>0</v>
      </c>
      <c r="DX8" s="47">
        <f t="shared" si="19"/>
        <v>0</v>
      </c>
      <c r="DY8" s="47">
        <f t="shared" si="19"/>
        <v>0</v>
      </c>
      <c r="DZ8" s="47">
        <f t="shared" si="19"/>
        <v>0</v>
      </c>
      <c r="EA8" s="47">
        <f t="shared" si="19"/>
        <v>0</v>
      </c>
      <c r="EB8" s="47">
        <f t="shared" si="19"/>
        <v>0</v>
      </c>
      <c r="EC8" s="47">
        <f t="shared" si="19"/>
        <v>0</v>
      </c>
      <c r="ED8" s="47">
        <f t="shared" si="19"/>
        <v>0</v>
      </c>
      <c r="EE8" s="47">
        <f t="shared" si="19"/>
        <v>0</v>
      </c>
      <c r="EF8" s="47">
        <f t="shared" si="19"/>
        <v>0</v>
      </c>
      <c r="EG8" s="47">
        <f t="shared" si="19"/>
        <v>0</v>
      </c>
      <c r="EH8" s="47">
        <f t="shared" si="19"/>
        <v>0</v>
      </c>
      <c r="EI8" s="47">
        <f t="shared" si="19"/>
        <v>0</v>
      </c>
      <c r="EJ8" s="47">
        <f t="shared" si="19"/>
        <v>0</v>
      </c>
      <c r="EK8" s="47">
        <f t="shared" si="19"/>
        <v>0</v>
      </c>
      <c r="EL8" s="47">
        <f t="shared" si="19"/>
        <v>0</v>
      </c>
      <c r="EM8" s="47">
        <f t="shared" si="19"/>
        <v>0</v>
      </c>
      <c r="EN8" s="47">
        <f t="shared" si="19"/>
        <v>0</v>
      </c>
      <c r="EO8" s="47">
        <f t="shared" si="19"/>
        <v>0</v>
      </c>
    </row>
    <row r="9" spans="1:145" ht="15" customHeight="1">
      <c r="A9" s="207"/>
      <c r="B9" s="215"/>
      <c r="C9" s="191"/>
      <c r="D9" s="191"/>
      <c r="E9" s="191"/>
      <c r="F9" s="191"/>
      <c r="G9" s="191"/>
      <c r="H9" s="210"/>
      <c r="I9" s="212"/>
      <c r="J9" s="212"/>
      <c r="K9" s="193"/>
      <c r="L9" s="196"/>
      <c r="M9" s="193"/>
      <c r="N9" s="191"/>
      <c r="O9" s="191"/>
      <c r="P9" s="191"/>
      <c r="Q9" s="191"/>
      <c r="R9" s="191"/>
      <c r="S9" s="191"/>
      <c r="T9" s="191"/>
      <c r="U9" s="191"/>
      <c r="V9" s="191"/>
      <c r="W9" s="180"/>
      <c r="X9" s="191"/>
      <c r="Y9" s="191"/>
      <c r="Z9" s="191"/>
      <c r="AA9" s="191"/>
      <c r="AB9" s="191"/>
      <c r="AC9" s="191"/>
      <c r="AD9" s="191"/>
      <c r="AE9" s="200"/>
      <c r="AF9" s="56" t="s">
        <v>12</v>
      </c>
      <c r="AG9" s="49">
        <f t="shared" ref="AG9:BL9" si="20">IFERROR(IF(AG8&lt;INDEX($Y$13:$Y$339,MATCH(SUM(AG$13:AG$339),AG$13:AG$339,0),1),"분할출고",
ROUNDUP((SUM(AG13:AG339)/IFERROR(INDEX($Y$13:$Y$339,MATCH(SUM(AG$13:AG$339),AG$13:AG$339,0),1),"")),0)),"")</f>
        <v>4</v>
      </c>
      <c r="AH9" s="49">
        <f t="shared" si="20"/>
        <v>10</v>
      </c>
      <c r="AI9" s="49">
        <f t="shared" si="20"/>
        <v>4</v>
      </c>
      <c r="AJ9" s="49">
        <f t="shared" si="20"/>
        <v>1</v>
      </c>
      <c r="AK9" s="49">
        <f t="shared" si="20"/>
        <v>2</v>
      </c>
      <c r="AL9" s="49">
        <f t="shared" si="20"/>
        <v>7</v>
      </c>
      <c r="AM9" s="49">
        <f t="shared" si="20"/>
        <v>4</v>
      </c>
      <c r="AN9" s="49">
        <f t="shared" si="20"/>
        <v>16</v>
      </c>
      <c r="AO9" s="49">
        <f t="shared" si="20"/>
        <v>12</v>
      </c>
      <c r="AP9" s="49">
        <f t="shared" si="20"/>
        <v>4</v>
      </c>
      <c r="AQ9" s="49">
        <f t="shared" si="20"/>
        <v>16</v>
      </c>
      <c r="AR9" s="49">
        <f t="shared" si="20"/>
        <v>10</v>
      </c>
      <c r="AS9" s="49">
        <f t="shared" si="20"/>
        <v>16</v>
      </c>
      <c r="AT9" s="49">
        <f t="shared" si="20"/>
        <v>6</v>
      </c>
      <c r="AU9" s="49">
        <f t="shared" si="20"/>
        <v>5</v>
      </c>
      <c r="AV9" s="49">
        <f t="shared" si="20"/>
        <v>10</v>
      </c>
      <c r="AW9" s="49">
        <f t="shared" si="20"/>
        <v>4</v>
      </c>
      <c r="AX9" s="49">
        <f t="shared" si="20"/>
        <v>16</v>
      </c>
      <c r="AY9" s="49">
        <f t="shared" si="20"/>
        <v>16</v>
      </c>
      <c r="AZ9" s="49">
        <f t="shared" si="20"/>
        <v>4</v>
      </c>
      <c r="BA9" s="49">
        <f t="shared" si="20"/>
        <v>16</v>
      </c>
      <c r="BB9" s="49">
        <f t="shared" si="20"/>
        <v>1</v>
      </c>
      <c r="BC9" s="49">
        <f t="shared" si="20"/>
        <v>10</v>
      </c>
      <c r="BD9" s="49">
        <f t="shared" si="20"/>
        <v>10</v>
      </c>
      <c r="BE9" s="49">
        <f t="shared" si="20"/>
        <v>4</v>
      </c>
      <c r="BF9" s="49">
        <f t="shared" si="20"/>
        <v>16</v>
      </c>
      <c r="BG9" s="49">
        <f t="shared" si="20"/>
        <v>16</v>
      </c>
      <c r="BH9" s="49">
        <f t="shared" si="20"/>
        <v>16</v>
      </c>
      <c r="BI9" s="49">
        <f t="shared" si="20"/>
        <v>14</v>
      </c>
      <c r="BJ9" s="49">
        <v>1</v>
      </c>
      <c r="BK9" s="49">
        <v>0</v>
      </c>
      <c r="BL9" s="49">
        <f t="shared" si="20"/>
        <v>1</v>
      </c>
      <c r="BM9" s="49">
        <f t="shared" ref="BM9:CC9" si="21">IFERROR(IF(BM8&lt;INDEX($Y$13:$Y$339,MATCH(SUM(BM$13:BM$339),BM$13:BM$339,0),1),"분할출고",
ROUNDUP((SUM(BM13:BM339)/IFERROR(INDEX($Y$13:$Y$339,MATCH(SUM(BM$13:BM$339),BM$13:BM$339,0),1),"")),0)),"")</f>
        <v>2</v>
      </c>
      <c r="BN9" s="49" t="str">
        <f t="shared" si="21"/>
        <v>분할출고</v>
      </c>
      <c r="BO9" s="49">
        <f t="shared" si="21"/>
        <v>6</v>
      </c>
      <c r="BP9" s="49">
        <v>1</v>
      </c>
      <c r="BQ9" s="49">
        <f t="shared" si="21"/>
        <v>16</v>
      </c>
      <c r="BR9" s="49">
        <f t="shared" si="21"/>
        <v>7</v>
      </c>
      <c r="BS9" s="49">
        <v>1</v>
      </c>
      <c r="BT9" s="49">
        <v>1</v>
      </c>
      <c r="BU9" s="49">
        <v>0</v>
      </c>
      <c r="BV9" s="49">
        <f t="shared" si="21"/>
        <v>16</v>
      </c>
      <c r="BW9" s="49">
        <f t="shared" si="21"/>
        <v>16</v>
      </c>
      <c r="BX9" s="49">
        <f t="shared" si="21"/>
        <v>16</v>
      </c>
      <c r="BY9" s="49">
        <f t="shared" si="21"/>
        <v>15</v>
      </c>
      <c r="BZ9" s="49">
        <v>1</v>
      </c>
      <c r="CA9" s="49">
        <f t="shared" si="21"/>
        <v>10</v>
      </c>
      <c r="CB9" s="49">
        <f t="shared" si="21"/>
        <v>4</v>
      </c>
      <c r="CC9" s="49">
        <f t="shared" si="21"/>
        <v>10</v>
      </c>
      <c r="CD9" s="49">
        <f t="shared" ref="CD9:DD9" si="22">IFERROR(IF(CD8&lt;INDEX($Y$13:$Y$339,MATCH(SUM(CD$13:CD$339),CD$13:CD$339,0),1),"분할출고",
ROUNDUP((SUM(CD13:CD339)/IFERROR(INDEX($Y$13:$Y$339,MATCH(SUM(CD$13:CD$339),CD$13:CD$339,0),1),"")),0)),"")</f>
        <v>4</v>
      </c>
      <c r="CE9" s="49">
        <f t="shared" si="22"/>
        <v>2</v>
      </c>
      <c r="CF9" s="49">
        <f t="shared" si="22"/>
        <v>12</v>
      </c>
      <c r="CG9" s="49">
        <f t="shared" si="22"/>
        <v>16</v>
      </c>
      <c r="CH9" s="49">
        <f t="shared" si="22"/>
        <v>28</v>
      </c>
      <c r="CI9" s="49">
        <v>1</v>
      </c>
      <c r="CJ9" s="49">
        <f t="shared" si="22"/>
        <v>10</v>
      </c>
      <c r="CK9" s="49">
        <f t="shared" si="22"/>
        <v>16</v>
      </c>
      <c r="CL9" s="49">
        <f t="shared" si="22"/>
        <v>16</v>
      </c>
      <c r="CM9" s="49">
        <f t="shared" si="22"/>
        <v>12</v>
      </c>
      <c r="CN9" s="49">
        <f t="shared" si="22"/>
        <v>12</v>
      </c>
      <c r="CO9" s="49">
        <f t="shared" si="22"/>
        <v>16</v>
      </c>
      <c r="CP9" s="49">
        <f t="shared" si="22"/>
        <v>12</v>
      </c>
      <c r="CQ9" s="49" t="str">
        <f t="shared" si="22"/>
        <v>분할출고</v>
      </c>
      <c r="CR9" s="49">
        <f t="shared" si="22"/>
        <v>10</v>
      </c>
      <c r="CS9" s="49">
        <f t="shared" si="22"/>
        <v>5</v>
      </c>
      <c r="CT9" s="49">
        <v>1</v>
      </c>
      <c r="CU9" s="49">
        <f t="shared" si="22"/>
        <v>11</v>
      </c>
      <c r="CV9" s="49">
        <f t="shared" si="22"/>
        <v>16</v>
      </c>
      <c r="CW9" s="49">
        <f t="shared" si="22"/>
        <v>16</v>
      </c>
      <c r="CX9" s="49">
        <f t="shared" si="22"/>
        <v>10</v>
      </c>
      <c r="CY9" s="49">
        <f t="shared" si="22"/>
        <v>6</v>
      </c>
      <c r="CZ9" s="49">
        <f t="shared" si="22"/>
        <v>5</v>
      </c>
      <c r="DA9" s="49">
        <f t="shared" si="22"/>
        <v>16</v>
      </c>
      <c r="DB9" s="49">
        <f t="shared" si="22"/>
        <v>16</v>
      </c>
      <c r="DC9" s="49">
        <f t="shared" si="22"/>
        <v>16</v>
      </c>
      <c r="DD9" s="49">
        <f t="shared" si="22"/>
        <v>12</v>
      </c>
      <c r="DE9" s="49">
        <f t="shared" ref="DE9:EJ9" si="23">IFERROR(IF(DE8&lt;INDEX($Y$13:$Y$339,MATCH(SUM(DE$13:DE$339),DE$13:DE$339,0),1),"분할출고",
ROUNDUP((SUM(DE13:DE339)/IFERROR(INDEX($Y$13:$Y$339,MATCH(SUM(DE$13:DE$339),DE$13:DE$339,0),1),"")),0)),"")</f>
        <v>16</v>
      </c>
      <c r="DF9" s="49">
        <f t="shared" si="23"/>
        <v>12</v>
      </c>
      <c r="DG9" s="49" t="str">
        <f t="shared" si="23"/>
        <v/>
      </c>
      <c r="DH9" s="49" t="str">
        <f t="shared" si="23"/>
        <v/>
      </c>
      <c r="DI9" s="49" t="str">
        <f t="shared" si="23"/>
        <v/>
      </c>
      <c r="DJ9" s="49" t="str">
        <f t="shared" si="23"/>
        <v/>
      </c>
      <c r="DK9" s="49" t="str">
        <f t="shared" si="23"/>
        <v/>
      </c>
      <c r="DL9" s="49" t="str">
        <f t="shared" si="23"/>
        <v/>
      </c>
      <c r="DM9" s="49" t="str">
        <f t="shared" si="23"/>
        <v/>
      </c>
      <c r="DN9" s="49" t="str">
        <f t="shared" si="23"/>
        <v/>
      </c>
      <c r="DO9" s="49" t="str">
        <f t="shared" si="23"/>
        <v/>
      </c>
      <c r="DP9" s="49" t="str">
        <f t="shared" si="23"/>
        <v/>
      </c>
      <c r="DQ9" s="49" t="str">
        <f t="shared" si="23"/>
        <v/>
      </c>
      <c r="DR9" s="49" t="str">
        <f t="shared" si="23"/>
        <v/>
      </c>
      <c r="DS9" s="49" t="str">
        <f t="shared" si="23"/>
        <v/>
      </c>
      <c r="DT9" s="49" t="str">
        <f t="shared" si="23"/>
        <v/>
      </c>
      <c r="DU9" s="49" t="str">
        <f t="shared" si="23"/>
        <v/>
      </c>
      <c r="DV9" s="49" t="str">
        <f t="shared" si="23"/>
        <v/>
      </c>
      <c r="DW9" s="49" t="str">
        <f t="shared" si="23"/>
        <v/>
      </c>
      <c r="DX9" s="49" t="str">
        <f t="shared" si="23"/>
        <v/>
      </c>
      <c r="DY9" s="49" t="str">
        <f t="shared" si="23"/>
        <v/>
      </c>
      <c r="DZ9" s="49" t="str">
        <f t="shared" si="23"/>
        <v/>
      </c>
      <c r="EA9" s="49" t="str">
        <f t="shared" si="23"/>
        <v/>
      </c>
      <c r="EB9" s="49" t="str">
        <f t="shared" si="23"/>
        <v/>
      </c>
      <c r="EC9" s="49" t="str">
        <f t="shared" si="23"/>
        <v/>
      </c>
      <c r="ED9" s="49" t="str">
        <f t="shared" si="23"/>
        <v/>
      </c>
      <c r="EE9" s="49" t="str">
        <f t="shared" si="23"/>
        <v/>
      </c>
      <c r="EF9" s="49" t="str">
        <f t="shared" si="23"/>
        <v/>
      </c>
      <c r="EG9" s="49" t="str">
        <f t="shared" si="23"/>
        <v/>
      </c>
      <c r="EH9" s="49" t="str">
        <f t="shared" si="23"/>
        <v/>
      </c>
      <c r="EI9" s="49" t="str">
        <f t="shared" si="23"/>
        <v/>
      </c>
      <c r="EJ9" s="49" t="str">
        <f t="shared" si="23"/>
        <v/>
      </c>
      <c r="EK9" s="49" t="str">
        <f t="shared" ref="EK9:EO9" si="24">IFERROR(IF(EK8&lt;INDEX($Y$13:$Y$339,MATCH(SUM(EK$13:EK$339),EK$13:EK$339,0),1),"분할출고",
ROUNDUP((SUM(EK13:EK339)/IFERROR(INDEX($Y$13:$Y$339,MATCH(SUM(EK$13:EK$339),EK$13:EK$339,0),1),"")),0)),"")</f>
        <v/>
      </c>
      <c r="EL9" s="49" t="str">
        <f t="shared" si="24"/>
        <v/>
      </c>
      <c r="EM9" s="49" t="str">
        <f t="shared" si="24"/>
        <v/>
      </c>
      <c r="EN9" s="49" t="str">
        <f t="shared" si="24"/>
        <v/>
      </c>
      <c r="EO9" s="49" t="str">
        <f t="shared" si="24"/>
        <v/>
      </c>
    </row>
    <row r="10" spans="1:145" ht="15" customHeight="1">
      <c r="A10" s="207"/>
      <c r="B10" s="215"/>
      <c r="C10" s="191"/>
      <c r="D10" s="191"/>
      <c r="E10" s="191"/>
      <c r="F10" s="191"/>
      <c r="G10" s="191"/>
      <c r="H10" s="210"/>
      <c r="I10" s="212"/>
      <c r="J10" s="212"/>
      <c r="K10" s="193"/>
      <c r="L10" s="196"/>
      <c r="M10" s="193"/>
      <c r="N10" s="191"/>
      <c r="O10" s="191"/>
      <c r="P10" s="191"/>
      <c r="Q10" s="191"/>
      <c r="R10" s="191"/>
      <c r="S10" s="191"/>
      <c r="T10" s="191"/>
      <c r="U10" s="191"/>
      <c r="V10" s="191"/>
      <c r="W10" s="180"/>
      <c r="X10" s="191"/>
      <c r="Y10" s="191"/>
      <c r="Z10" s="191"/>
      <c r="AA10" s="191"/>
      <c r="AB10" s="191"/>
      <c r="AC10" s="191"/>
      <c r="AD10" s="191"/>
      <c r="AE10" s="200"/>
      <c r="AF10" s="55" t="s">
        <v>11</v>
      </c>
      <c r="AG10" s="17">
        <f t="shared" ref="AG10:BL10" si="25">IFERROR(INDEX($Z$13:$Z$319,MATCH(SUM(AG$13:AG$319),AG$13:AG$319,0),1),"")</f>
        <v>46136</v>
      </c>
      <c r="AH10" s="17">
        <f t="shared" si="25"/>
        <v>46120</v>
      </c>
      <c r="AI10" s="17">
        <f t="shared" si="25"/>
        <v>46136</v>
      </c>
      <c r="AJ10" s="17">
        <f t="shared" si="25"/>
        <v>45905</v>
      </c>
      <c r="AK10" s="17">
        <f t="shared" si="25"/>
        <v>46091</v>
      </c>
      <c r="AL10" s="17">
        <f t="shared" si="25"/>
        <v>46195</v>
      </c>
      <c r="AM10" s="17">
        <f t="shared" si="25"/>
        <v>46136</v>
      </c>
      <c r="AN10" s="17">
        <f t="shared" si="25"/>
        <v>46195</v>
      </c>
      <c r="AO10" s="17">
        <f t="shared" si="25"/>
        <v>46195</v>
      </c>
      <c r="AP10" s="17">
        <f t="shared" si="25"/>
        <v>46136</v>
      </c>
      <c r="AQ10" s="17">
        <f t="shared" si="25"/>
        <v>46195</v>
      </c>
      <c r="AR10" s="17">
        <f t="shared" si="25"/>
        <v>46160</v>
      </c>
      <c r="AS10" s="17">
        <f t="shared" si="25"/>
        <v>46195</v>
      </c>
      <c r="AT10" s="17">
        <f t="shared" si="25"/>
        <v>46195</v>
      </c>
      <c r="AU10" s="17">
        <f t="shared" si="25"/>
        <v>46136</v>
      </c>
      <c r="AV10" s="17">
        <f t="shared" si="25"/>
        <v>46195</v>
      </c>
      <c r="AW10" s="17">
        <f t="shared" si="25"/>
        <v>46136</v>
      </c>
      <c r="AX10" s="17">
        <f t="shared" si="25"/>
        <v>46195</v>
      </c>
      <c r="AY10" s="17">
        <f t="shared" si="25"/>
        <v>46195</v>
      </c>
      <c r="AZ10" s="17">
        <f t="shared" si="25"/>
        <v>46136</v>
      </c>
      <c r="BA10" s="17">
        <f t="shared" si="25"/>
        <v>46195</v>
      </c>
      <c r="BB10" s="17">
        <f t="shared" si="25"/>
        <v>46136</v>
      </c>
      <c r="BC10" s="17">
        <f t="shared" si="25"/>
        <v>46195</v>
      </c>
      <c r="BD10" s="17">
        <f t="shared" si="25"/>
        <v>46195</v>
      </c>
      <c r="BE10" s="17">
        <f t="shared" si="25"/>
        <v>46136</v>
      </c>
      <c r="BF10" s="17">
        <f t="shared" si="25"/>
        <v>46195</v>
      </c>
      <c r="BG10" s="17">
        <f t="shared" si="25"/>
        <v>46195</v>
      </c>
      <c r="BH10" s="17">
        <f t="shared" si="25"/>
        <v>46195</v>
      </c>
      <c r="BI10" s="17">
        <f t="shared" si="25"/>
        <v>46195</v>
      </c>
      <c r="BJ10" s="17">
        <f t="shared" si="25"/>
        <v>46195</v>
      </c>
      <c r="BK10" s="17">
        <f t="shared" si="25"/>
        <v>46195</v>
      </c>
      <c r="BL10" s="17">
        <f t="shared" si="25"/>
        <v>46195</v>
      </c>
      <c r="BM10" s="17">
        <f t="shared" ref="BM10:CC10" si="26">IFERROR(INDEX($Z$13:$Z$319,MATCH(SUM(BM$13:BM$319),BM$13:BM$319,0),1),"")</f>
        <v>45995</v>
      </c>
      <c r="BN10" s="17">
        <f t="shared" si="26"/>
        <v>45980</v>
      </c>
      <c r="BO10" s="17">
        <f t="shared" si="26"/>
        <v>46120</v>
      </c>
      <c r="BP10" s="17">
        <f t="shared" si="26"/>
        <v>46120</v>
      </c>
      <c r="BQ10" s="17">
        <f t="shared" si="26"/>
        <v>46195</v>
      </c>
      <c r="BR10" s="17">
        <f t="shared" si="26"/>
        <v>46160</v>
      </c>
      <c r="BS10" s="17">
        <f t="shared" si="26"/>
        <v>46160</v>
      </c>
      <c r="BT10" s="17">
        <f t="shared" si="26"/>
        <v>46160</v>
      </c>
      <c r="BU10" s="17">
        <f t="shared" si="26"/>
        <v>46160</v>
      </c>
      <c r="BV10" s="17">
        <f t="shared" si="26"/>
        <v>46195</v>
      </c>
      <c r="BW10" s="17">
        <f t="shared" si="26"/>
        <v>46195</v>
      </c>
      <c r="BX10" s="17">
        <f t="shared" si="26"/>
        <v>46195</v>
      </c>
      <c r="BY10" s="17">
        <f t="shared" si="26"/>
        <v>46174</v>
      </c>
      <c r="BZ10" s="17">
        <f t="shared" si="26"/>
        <v>46174</v>
      </c>
      <c r="CA10" s="17">
        <f t="shared" si="26"/>
        <v>46195</v>
      </c>
      <c r="CB10" s="17">
        <f t="shared" si="26"/>
        <v>46136</v>
      </c>
      <c r="CC10" s="17">
        <f t="shared" si="26"/>
        <v>46195</v>
      </c>
      <c r="CD10" s="17">
        <f t="shared" ref="CD10:DD10" si="27">IFERROR(INDEX($Z$13:$Z$319,MATCH(SUM(CD$13:CD$319),CD$13:CD$319,0),1),"")</f>
        <v>46136</v>
      </c>
      <c r="CE10" s="17">
        <f t="shared" si="27"/>
        <v>46136</v>
      </c>
      <c r="CF10" s="17">
        <f t="shared" si="27"/>
        <v>46195</v>
      </c>
      <c r="CG10" s="17">
        <f t="shared" si="27"/>
        <v>46195</v>
      </c>
      <c r="CH10" s="17">
        <f t="shared" si="27"/>
        <v>45863</v>
      </c>
      <c r="CI10" s="17">
        <f t="shared" si="27"/>
        <v>45863</v>
      </c>
      <c r="CJ10" s="17">
        <f t="shared" si="27"/>
        <v>46195</v>
      </c>
      <c r="CK10" s="17">
        <f t="shared" si="27"/>
        <v>46195</v>
      </c>
      <c r="CL10" s="17">
        <f t="shared" si="27"/>
        <v>46195</v>
      </c>
      <c r="CM10" s="17">
        <f t="shared" si="27"/>
        <v>46195</v>
      </c>
      <c r="CN10" s="17">
        <f t="shared" si="27"/>
        <v>46195</v>
      </c>
      <c r="CO10" s="17">
        <f t="shared" si="27"/>
        <v>46195</v>
      </c>
      <c r="CP10" s="17">
        <f t="shared" si="27"/>
        <v>46195</v>
      </c>
      <c r="CQ10" s="17">
        <f t="shared" si="27"/>
        <v>45980</v>
      </c>
      <c r="CR10" s="17">
        <f t="shared" si="27"/>
        <v>46125</v>
      </c>
      <c r="CS10" s="17">
        <f t="shared" si="27"/>
        <v>46195</v>
      </c>
      <c r="CT10" s="17">
        <f t="shared" si="27"/>
        <v>46195</v>
      </c>
      <c r="CU10" s="17">
        <f t="shared" si="27"/>
        <v>46195</v>
      </c>
      <c r="CV10" s="17">
        <f t="shared" si="27"/>
        <v>46195</v>
      </c>
      <c r="CW10" s="17">
        <f t="shared" si="27"/>
        <v>46195</v>
      </c>
      <c r="CX10" s="17">
        <f t="shared" si="27"/>
        <v>46182</v>
      </c>
      <c r="CY10" s="17">
        <f t="shared" si="27"/>
        <v>46195</v>
      </c>
      <c r="CZ10" s="17">
        <f t="shared" si="27"/>
        <v>46195</v>
      </c>
      <c r="DA10" s="17">
        <f t="shared" si="27"/>
        <v>46195</v>
      </c>
      <c r="DB10" s="17">
        <f t="shared" si="27"/>
        <v>46195</v>
      </c>
      <c r="DC10" s="17">
        <f t="shared" si="27"/>
        <v>46195</v>
      </c>
      <c r="DD10" s="17">
        <f t="shared" si="27"/>
        <v>46195</v>
      </c>
      <c r="DE10" s="17">
        <f t="shared" ref="DE10:EO10" si="28">IFERROR(INDEX($Z$13:$Z$319,MATCH(SUM(DE$13:DE$319),DE$13:DE$319,0),1),"")</f>
        <v>46195</v>
      </c>
      <c r="DF10" s="17">
        <f t="shared" si="28"/>
        <v>46195</v>
      </c>
      <c r="DG10" s="17" t="str">
        <f t="shared" si="28"/>
        <v/>
      </c>
      <c r="DH10" s="17" t="str">
        <f t="shared" si="28"/>
        <v/>
      </c>
      <c r="DI10" s="17" t="str">
        <f t="shared" si="28"/>
        <v/>
      </c>
      <c r="DJ10" s="17" t="str">
        <f t="shared" si="28"/>
        <v/>
      </c>
      <c r="DK10" s="17" t="str">
        <f t="shared" si="28"/>
        <v/>
      </c>
      <c r="DL10" s="17" t="str">
        <f t="shared" si="28"/>
        <v/>
      </c>
      <c r="DM10" s="17" t="str">
        <f t="shared" si="28"/>
        <v/>
      </c>
      <c r="DN10" s="17" t="str">
        <f t="shared" si="28"/>
        <v/>
      </c>
      <c r="DO10" s="17" t="str">
        <f t="shared" si="28"/>
        <v/>
      </c>
      <c r="DP10" s="17" t="str">
        <f t="shared" si="28"/>
        <v/>
      </c>
      <c r="DQ10" s="17" t="str">
        <f t="shared" si="28"/>
        <v/>
      </c>
      <c r="DR10" s="17" t="str">
        <f t="shared" si="28"/>
        <v/>
      </c>
      <c r="DS10" s="17" t="str">
        <f t="shared" si="28"/>
        <v/>
      </c>
      <c r="DT10" s="17" t="str">
        <f t="shared" si="28"/>
        <v/>
      </c>
      <c r="DU10" s="17" t="str">
        <f t="shared" si="28"/>
        <v/>
      </c>
      <c r="DV10" s="17" t="str">
        <f t="shared" si="28"/>
        <v/>
      </c>
      <c r="DW10" s="17" t="str">
        <f t="shared" si="28"/>
        <v/>
      </c>
      <c r="DX10" s="17" t="str">
        <f t="shared" si="28"/>
        <v/>
      </c>
      <c r="DY10" s="17" t="str">
        <f t="shared" si="28"/>
        <v/>
      </c>
      <c r="DZ10" s="17" t="str">
        <f t="shared" si="28"/>
        <v/>
      </c>
      <c r="EA10" s="17" t="str">
        <f t="shared" si="28"/>
        <v/>
      </c>
      <c r="EB10" s="17" t="str">
        <f t="shared" si="28"/>
        <v/>
      </c>
      <c r="EC10" s="17" t="str">
        <f t="shared" si="28"/>
        <v/>
      </c>
      <c r="ED10" s="17" t="str">
        <f t="shared" si="28"/>
        <v/>
      </c>
      <c r="EE10" s="17" t="str">
        <f t="shared" si="28"/>
        <v/>
      </c>
      <c r="EF10" s="17" t="str">
        <f t="shared" si="28"/>
        <v/>
      </c>
      <c r="EG10" s="17" t="str">
        <f t="shared" si="28"/>
        <v/>
      </c>
      <c r="EH10" s="17" t="str">
        <f t="shared" si="28"/>
        <v/>
      </c>
      <c r="EI10" s="17" t="str">
        <f t="shared" si="28"/>
        <v/>
      </c>
      <c r="EJ10" s="17" t="str">
        <f t="shared" si="28"/>
        <v/>
      </c>
      <c r="EK10" s="17" t="str">
        <f t="shared" si="28"/>
        <v/>
      </c>
      <c r="EL10" s="17" t="str">
        <f t="shared" si="28"/>
        <v/>
      </c>
      <c r="EM10" s="17" t="str">
        <f t="shared" si="28"/>
        <v/>
      </c>
      <c r="EN10" s="17" t="str">
        <f t="shared" si="28"/>
        <v/>
      </c>
      <c r="EO10" s="17" t="str">
        <f t="shared" si="28"/>
        <v/>
      </c>
    </row>
    <row r="11" spans="1:145" ht="15" customHeight="1">
      <c r="A11" s="207"/>
      <c r="B11" s="215"/>
      <c r="C11" s="191"/>
      <c r="D11" s="191"/>
      <c r="E11" s="191"/>
      <c r="F11" s="191"/>
      <c r="G11" s="191"/>
      <c r="H11" s="210"/>
      <c r="I11" s="212"/>
      <c r="J11" s="212"/>
      <c r="K11" s="193"/>
      <c r="L11" s="196"/>
      <c r="M11" s="193"/>
      <c r="N11" s="191"/>
      <c r="O11" s="191"/>
      <c r="P11" s="191"/>
      <c r="Q11" s="191"/>
      <c r="R11" s="191"/>
      <c r="S11" s="191"/>
      <c r="T11" s="191"/>
      <c r="U11" s="191"/>
      <c r="V11" s="191"/>
      <c r="W11" s="180"/>
      <c r="X11" s="191"/>
      <c r="Y11" s="191"/>
      <c r="Z11" s="191"/>
      <c r="AA11" s="191"/>
      <c r="AB11" s="191"/>
      <c r="AC11" s="191"/>
      <c r="AD11" s="191"/>
      <c r="AE11" s="200"/>
      <c r="AF11" s="55" t="s">
        <v>13</v>
      </c>
      <c r="AG11" s="20">
        <f t="shared" ref="AG11:AJ11" si="29">IF(AG5="","",IF(AG10&gt;AG4,"프리타임기간내출고",IF(DATE(YEAR(AG4),MONTH(AG4),1)&gt;=DATE(YEAR(AG10),MONTH(AG10),1),DATEDIF(($AD$2),(AG4)+1,"D"),DATEDIF(AG10,AG4+1,"D"))))</f>
        <v>2</v>
      </c>
      <c r="AH11" s="20">
        <f t="shared" si="29"/>
        <v>2</v>
      </c>
      <c r="AI11" s="20">
        <f t="shared" si="29"/>
        <v>3</v>
      </c>
      <c r="AJ11" s="20">
        <f t="shared" si="29"/>
        <v>3</v>
      </c>
      <c r="AK11" s="20">
        <f t="shared" ref="AK11:AX11" si="30">IF(AK5="","",IF(AK10&gt;AK4,"프리타임기간내출고",IF(DATE(YEAR(AK4),MONTH(AK4),1)&gt;=DATE(YEAR(AK10),MONTH(AK10),1),DATEDIF(($AD$2),(AK4)+1,"D"),DATEDIF(AK10,AK4+1,"D"))))</f>
        <v>3</v>
      </c>
      <c r="AL11" s="20">
        <f t="shared" si="30"/>
        <v>3</v>
      </c>
      <c r="AM11" s="20">
        <f t="shared" si="30"/>
        <v>4</v>
      </c>
      <c r="AN11" s="20">
        <f t="shared" si="30"/>
        <v>4</v>
      </c>
      <c r="AO11" s="20">
        <f t="shared" si="30"/>
        <v>5</v>
      </c>
      <c r="AP11" s="20">
        <f t="shared" si="30"/>
        <v>5</v>
      </c>
      <c r="AQ11" s="20">
        <f t="shared" si="30"/>
        <v>5</v>
      </c>
      <c r="AR11" s="20">
        <f t="shared" si="30"/>
        <v>6</v>
      </c>
      <c r="AS11" s="20">
        <f t="shared" si="30"/>
        <v>6</v>
      </c>
      <c r="AT11" s="20">
        <f t="shared" si="30"/>
        <v>6</v>
      </c>
      <c r="AU11" s="20">
        <f t="shared" si="30"/>
        <v>6</v>
      </c>
      <c r="AV11" s="20">
        <f t="shared" si="30"/>
        <v>9</v>
      </c>
      <c r="AW11" s="20">
        <f t="shared" si="30"/>
        <v>9</v>
      </c>
      <c r="AX11" s="20">
        <f t="shared" si="30"/>
        <v>7</v>
      </c>
      <c r="AY11" s="20">
        <f t="shared" ref="AY11:CP11" si="31">IF(AY5="","",IF(AY10&gt;AY4,"프리타임기간내출고",IF(DATE(YEAR(AY4),MONTH(AY4),1)&gt;=DATE(YEAR(AY10),MONTH(AY10),1),DATEDIF(($AD$2),(AY4)+1,"D"),DATEDIF(AY10,AY4+1,"D"))))</f>
        <v>9</v>
      </c>
      <c r="AZ11" s="20">
        <f t="shared" si="31"/>
        <v>10</v>
      </c>
      <c r="BA11" s="20">
        <f t="shared" si="31"/>
        <v>10</v>
      </c>
      <c r="BB11" s="20">
        <f t="shared" si="31"/>
        <v>9</v>
      </c>
      <c r="BC11" s="20">
        <f t="shared" si="31"/>
        <v>10</v>
      </c>
      <c r="BD11" s="20">
        <f t="shared" si="31"/>
        <v>11</v>
      </c>
      <c r="BE11" s="20">
        <f t="shared" si="31"/>
        <v>11</v>
      </c>
      <c r="BF11" s="20">
        <f t="shared" si="31"/>
        <v>12</v>
      </c>
      <c r="BG11" s="20">
        <f t="shared" si="31"/>
        <v>13</v>
      </c>
      <c r="BH11" s="20">
        <f t="shared" si="31"/>
        <v>14</v>
      </c>
      <c r="BI11" s="20">
        <f t="shared" si="31"/>
        <v>16</v>
      </c>
      <c r="BJ11" s="20">
        <f t="shared" si="31"/>
        <v>16</v>
      </c>
      <c r="BK11" s="20">
        <f t="shared" si="31"/>
        <v>16</v>
      </c>
      <c r="BL11" s="20">
        <f t="shared" si="31"/>
        <v>16</v>
      </c>
      <c r="BM11" s="20">
        <f t="shared" si="31"/>
        <v>16</v>
      </c>
      <c r="BN11" s="20">
        <f t="shared" si="31"/>
        <v>16</v>
      </c>
      <c r="BO11" s="20">
        <f t="shared" si="31"/>
        <v>19</v>
      </c>
      <c r="BP11" s="20">
        <f t="shared" si="31"/>
        <v>19</v>
      </c>
      <c r="BQ11" s="20">
        <f t="shared" si="31"/>
        <v>18</v>
      </c>
      <c r="BR11" s="20">
        <f t="shared" si="31"/>
        <v>20</v>
      </c>
      <c r="BS11" s="20">
        <f t="shared" si="31"/>
        <v>20</v>
      </c>
      <c r="BT11" s="20">
        <f t="shared" si="31"/>
        <v>20</v>
      </c>
      <c r="BU11" s="20">
        <f t="shared" si="31"/>
        <v>20</v>
      </c>
      <c r="BV11" s="20">
        <f t="shared" si="31"/>
        <v>20</v>
      </c>
      <c r="BW11" s="20">
        <f t="shared" si="31"/>
        <v>21</v>
      </c>
      <c r="BX11" s="20">
        <f t="shared" si="31"/>
        <v>23</v>
      </c>
      <c r="BY11" s="20">
        <f t="shared" si="31"/>
        <v>23</v>
      </c>
      <c r="BZ11" s="20">
        <f t="shared" si="31"/>
        <v>23</v>
      </c>
      <c r="CA11" s="20">
        <f t="shared" si="31"/>
        <v>24</v>
      </c>
      <c r="CB11" s="20">
        <f t="shared" si="31"/>
        <v>24</v>
      </c>
      <c r="CC11" s="20">
        <f t="shared" si="31"/>
        <v>25</v>
      </c>
      <c r="CD11" s="20">
        <f t="shared" si="31"/>
        <v>25</v>
      </c>
      <c r="CE11" s="20">
        <f t="shared" si="31"/>
        <v>26</v>
      </c>
      <c r="CF11" s="20">
        <f t="shared" si="31"/>
        <v>26</v>
      </c>
      <c r="CG11" s="20">
        <f t="shared" si="31"/>
        <v>26</v>
      </c>
      <c r="CH11" s="20">
        <f t="shared" si="31"/>
        <v>26</v>
      </c>
      <c r="CI11" s="20">
        <f t="shared" si="31"/>
        <v>26</v>
      </c>
      <c r="CJ11" s="20">
        <f t="shared" si="31"/>
        <v>27</v>
      </c>
      <c r="CK11" s="20">
        <f t="shared" si="31"/>
        <v>27</v>
      </c>
      <c r="CL11" s="20">
        <f t="shared" si="31"/>
        <v>28</v>
      </c>
      <c r="CM11" s="20">
        <f t="shared" si="31"/>
        <v>30</v>
      </c>
      <c r="CN11" s="20">
        <f t="shared" si="31"/>
        <v>31</v>
      </c>
      <c r="CO11" s="20">
        <f t="shared" si="31"/>
        <v>31</v>
      </c>
      <c r="CP11" s="20">
        <f t="shared" si="31"/>
        <v>32</v>
      </c>
      <c r="CQ11" s="20">
        <f t="shared" ref="CQ11:EO11" si="32">IF(CQ5="","",IF(CQ10&gt;CQ4,"프리타임기간내출고",IF(DATE(YEAR(CQ4),MONTH(CQ4),1)&gt;=DATE(YEAR(CQ10),MONTH(CQ10),1),DATEDIF(($AD$2),(CQ4)+1,"D"),DATEDIF(CQ10,CQ4+1,"D"))))</f>
        <v>32</v>
      </c>
      <c r="CR11" s="20">
        <f t="shared" si="32"/>
        <v>33</v>
      </c>
      <c r="CS11" s="20">
        <f t="shared" si="32"/>
        <v>33</v>
      </c>
      <c r="CT11" s="20">
        <f t="shared" si="32"/>
        <v>33</v>
      </c>
      <c r="CU11" s="20">
        <f t="shared" si="32"/>
        <v>33</v>
      </c>
      <c r="CV11" s="20">
        <f t="shared" si="32"/>
        <v>33</v>
      </c>
      <c r="CW11" s="20">
        <f t="shared" si="32"/>
        <v>34</v>
      </c>
      <c r="CX11" s="20">
        <f t="shared" si="32"/>
        <v>34</v>
      </c>
      <c r="CY11" s="20">
        <f t="shared" si="32"/>
        <v>34</v>
      </c>
      <c r="CZ11" s="20">
        <f t="shared" si="32"/>
        <v>35</v>
      </c>
      <c r="DA11" s="20">
        <f t="shared" si="32"/>
        <v>35</v>
      </c>
      <c r="DB11" s="20">
        <f t="shared" si="32"/>
        <v>37</v>
      </c>
      <c r="DC11" s="20">
        <f t="shared" si="32"/>
        <v>37</v>
      </c>
      <c r="DD11" s="20">
        <f t="shared" si="32"/>
        <v>38</v>
      </c>
      <c r="DE11" s="20">
        <f t="shared" si="32"/>
        <v>39</v>
      </c>
      <c r="DF11" s="20">
        <f t="shared" si="32"/>
        <v>40</v>
      </c>
      <c r="DG11" s="20" t="str">
        <f t="shared" si="32"/>
        <v/>
      </c>
      <c r="DH11" s="20" t="str">
        <f t="shared" si="32"/>
        <v/>
      </c>
      <c r="DI11" s="20" t="str">
        <f t="shared" si="32"/>
        <v/>
      </c>
      <c r="DJ11" s="20" t="str">
        <f t="shared" si="32"/>
        <v/>
      </c>
      <c r="DK11" s="20" t="str">
        <f t="shared" si="32"/>
        <v/>
      </c>
      <c r="DL11" s="20" t="str">
        <f t="shared" si="32"/>
        <v/>
      </c>
      <c r="DM11" s="20" t="str">
        <f t="shared" si="32"/>
        <v/>
      </c>
      <c r="DN11" s="20" t="str">
        <f t="shared" si="32"/>
        <v/>
      </c>
      <c r="DO11" s="20" t="str">
        <f t="shared" si="32"/>
        <v/>
      </c>
      <c r="DP11" s="20" t="str">
        <f t="shared" si="32"/>
        <v/>
      </c>
      <c r="DQ11" s="20" t="str">
        <f t="shared" si="32"/>
        <v/>
      </c>
      <c r="DR11" s="20" t="str">
        <f t="shared" si="32"/>
        <v/>
      </c>
      <c r="DS11" s="20" t="str">
        <f t="shared" si="32"/>
        <v/>
      </c>
      <c r="DT11" s="20" t="str">
        <f t="shared" si="32"/>
        <v/>
      </c>
      <c r="DU11" s="20" t="str">
        <f t="shared" si="32"/>
        <v/>
      </c>
      <c r="DV11" s="20" t="str">
        <f t="shared" si="32"/>
        <v/>
      </c>
      <c r="DW11" s="20" t="str">
        <f t="shared" si="32"/>
        <v/>
      </c>
      <c r="DX11" s="20" t="str">
        <f t="shared" si="32"/>
        <v/>
      </c>
      <c r="DY11" s="20" t="str">
        <f t="shared" si="32"/>
        <v/>
      </c>
      <c r="DZ11" s="20" t="str">
        <f t="shared" si="32"/>
        <v/>
      </c>
      <c r="EA11" s="20" t="str">
        <f t="shared" si="32"/>
        <v/>
      </c>
      <c r="EB11" s="20" t="str">
        <f t="shared" si="32"/>
        <v/>
      </c>
      <c r="EC11" s="20" t="str">
        <f t="shared" si="32"/>
        <v/>
      </c>
      <c r="ED11" s="20" t="str">
        <f t="shared" si="32"/>
        <v/>
      </c>
      <c r="EE11" s="20" t="str">
        <f t="shared" si="32"/>
        <v/>
      </c>
      <c r="EF11" s="20" t="str">
        <f t="shared" si="32"/>
        <v/>
      </c>
      <c r="EG11" s="20" t="str">
        <f t="shared" si="32"/>
        <v/>
      </c>
      <c r="EH11" s="20" t="str">
        <f t="shared" si="32"/>
        <v/>
      </c>
      <c r="EI11" s="20" t="str">
        <f t="shared" si="32"/>
        <v/>
      </c>
      <c r="EJ11" s="20" t="str">
        <f t="shared" si="32"/>
        <v/>
      </c>
      <c r="EK11" s="20" t="str">
        <f t="shared" si="32"/>
        <v/>
      </c>
      <c r="EL11" s="20" t="str">
        <f t="shared" si="32"/>
        <v/>
      </c>
      <c r="EM11" s="20" t="str">
        <f t="shared" si="32"/>
        <v/>
      </c>
      <c r="EN11" s="20" t="str">
        <f t="shared" si="32"/>
        <v/>
      </c>
      <c r="EO11" s="20" t="str">
        <f t="shared" si="32"/>
        <v/>
      </c>
    </row>
    <row r="12" spans="1:145" ht="15" customHeight="1" thickBot="1">
      <c r="A12" s="208"/>
      <c r="B12" s="216"/>
      <c r="C12" s="192"/>
      <c r="D12" s="192"/>
      <c r="E12" s="192"/>
      <c r="F12" s="192"/>
      <c r="G12" s="192"/>
      <c r="H12" s="211"/>
      <c r="I12" s="213"/>
      <c r="J12" s="213"/>
      <c r="K12" s="194"/>
      <c r="L12" s="197"/>
      <c r="M12" s="194"/>
      <c r="N12" s="192"/>
      <c r="O12" s="192"/>
      <c r="P12" s="192"/>
      <c r="Q12" s="192"/>
      <c r="R12" s="192"/>
      <c r="S12" s="192"/>
      <c r="T12" s="192"/>
      <c r="U12" s="192"/>
      <c r="V12" s="192"/>
      <c r="W12" s="202"/>
      <c r="X12" s="192"/>
      <c r="Y12" s="192"/>
      <c r="Z12" s="192"/>
      <c r="AA12" s="192"/>
      <c r="AB12" s="192"/>
      <c r="AC12" s="191"/>
      <c r="AD12" s="192"/>
      <c r="AE12" s="201"/>
      <c r="AF12" s="55" t="s">
        <v>14</v>
      </c>
      <c r="AG12" s="19">
        <f t="shared" ref="AG12:BL12" si="33">IFERROR(AG11*AG9*(INDEX($AB$13:$AB$319,MATCH(SUM(AG$13:AG$319),AG$13:AG$319,0),1)),"")</f>
        <v>3360</v>
      </c>
      <c r="AH12" s="19">
        <f t="shared" si="33"/>
        <v>8400</v>
      </c>
      <c r="AI12" s="19">
        <f t="shared" si="33"/>
        <v>5040</v>
      </c>
      <c r="AJ12" s="19">
        <f t="shared" si="33"/>
        <v>1260</v>
      </c>
      <c r="AK12" s="19">
        <f t="shared" si="33"/>
        <v>2520</v>
      </c>
      <c r="AL12" s="19">
        <f t="shared" si="33"/>
        <v>8820</v>
      </c>
      <c r="AM12" s="19">
        <f t="shared" si="33"/>
        <v>6720</v>
      </c>
      <c r="AN12" s="19">
        <f t="shared" si="33"/>
        <v>26880</v>
      </c>
      <c r="AO12" s="19">
        <f t="shared" si="33"/>
        <v>25200</v>
      </c>
      <c r="AP12" s="19">
        <f t="shared" si="33"/>
        <v>8400</v>
      </c>
      <c r="AQ12" s="19">
        <f t="shared" si="33"/>
        <v>33600</v>
      </c>
      <c r="AR12" s="19">
        <f t="shared" si="33"/>
        <v>25200</v>
      </c>
      <c r="AS12" s="19">
        <f t="shared" si="33"/>
        <v>40320</v>
      </c>
      <c r="AT12" s="19">
        <f t="shared" si="33"/>
        <v>15120</v>
      </c>
      <c r="AU12" s="19">
        <f t="shared" si="33"/>
        <v>12600</v>
      </c>
      <c r="AV12" s="19">
        <f t="shared" si="33"/>
        <v>37800</v>
      </c>
      <c r="AW12" s="19">
        <f t="shared" si="33"/>
        <v>15120</v>
      </c>
      <c r="AX12" s="19">
        <f t="shared" si="33"/>
        <v>47040</v>
      </c>
      <c r="AY12" s="19">
        <f t="shared" si="33"/>
        <v>60480</v>
      </c>
      <c r="AZ12" s="19">
        <f t="shared" si="33"/>
        <v>16800</v>
      </c>
      <c r="BA12" s="19">
        <f t="shared" si="33"/>
        <v>67200</v>
      </c>
      <c r="BB12" s="19">
        <f t="shared" si="33"/>
        <v>3780</v>
      </c>
      <c r="BC12" s="19">
        <f t="shared" si="33"/>
        <v>42000</v>
      </c>
      <c r="BD12" s="19">
        <f t="shared" si="33"/>
        <v>46200</v>
      </c>
      <c r="BE12" s="19">
        <f t="shared" si="33"/>
        <v>18480</v>
      </c>
      <c r="BF12" s="19">
        <f t="shared" si="33"/>
        <v>80640</v>
      </c>
      <c r="BG12" s="19">
        <f t="shared" si="33"/>
        <v>87360</v>
      </c>
      <c r="BH12" s="19">
        <f t="shared" si="33"/>
        <v>94080</v>
      </c>
      <c r="BI12" s="19">
        <f t="shared" si="33"/>
        <v>94080</v>
      </c>
      <c r="BJ12" s="19">
        <f t="shared" si="33"/>
        <v>6720</v>
      </c>
      <c r="BK12" s="19">
        <f t="shared" si="33"/>
        <v>0</v>
      </c>
      <c r="BL12" s="19">
        <f t="shared" si="33"/>
        <v>6720</v>
      </c>
      <c r="BM12" s="19">
        <f t="shared" ref="BM12:CC12" si="34">IFERROR(BM11*BM9*(INDEX($AB$13:$AB$319,MATCH(SUM(BM$13:BM$319),BM$13:BM$319,0),1)),"")</f>
        <v>13440</v>
      </c>
      <c r="BN12" s="19" t="str">
        <f t="shared" si="34"/>
        <v/>
      </c>
      <c r="BO12" s="19">
        <f t="shared" si="34"/>
        <v>47880</v>
      </c>
      <c r="BP12" s="19">
        <f t="shared" si="34"/>
        <v>7980</v>
      </c>
      <c r="BQ12" s="19">
        <f t="shared" si="34"/>
        <v>120960</v>
      </c>
      <c r="BR12" s="19">
        <f t="shared" si="34"/>
        <v>58800</v>
      </c>
      <c r="BS12" s="19">
        <f t="shared" si="34"/>
        <v>8400</v>
      </c>
      <c r="BT12" s="19">
        <f t="shared" si="34"/>
        <v>8400</v>
      </c>
      <c r="BU12" s="19">
        <f t="shared" si="34"/>
        <v>0</v>
      </c>
      <c r="BV12" s="19">
        <f t="shared" si="34"/>
        <v>134400</v>
      </c>
      <c r="BW12" s="19">
        <f t="shared" si="34"/>
        <v>141120</v>
      </c>
      <c r="BX12" s="19">
        <f t="shared" si="34"/>
        <v>154560</v>
      </c>
      <c r="BY12" s="19">
        <f t="shared" si="34"/>
        <v>144900</v>
      </c>
      <c r="BZ12" s="19">
        <f t="shared" si="34"/>
        <v>9660</v>
      </c>
      <c r="CA12" s="19">
        <f t="shared" si="34"/>
        <v>100800</v>
      </c>
      <c r="CB12" s="19">
        <f t="shared" si="34"/>
        <v>40320</v>
      </c>
      <c r="CC12" s="19">
        <f t="shared" si="34"/>
        <v>105000</v>
      </c>
      <c r="CD12" s="19">
        <f t="shared" ref="CD12:DD12" si="35">IFERROR(CD11*CD9*(INDEX($AB$13:$AB$319,MATCH(SUM(CD$13:CD$319),CD$13:CD$319,0),1)),"")</f>
        <v>42000</v>
      </c>
      <c r="CE12" s="19">
        <f t="shared" si="35"/>
        <v>21840</v>
      </c>
      <c r="CF12" s="19">
        <f t="shared" si="35"/>
        <v>131040</v>
      </c>
      <c r="CG12" s="19">
        <f t="shared" si="35"/>
        <v>174720</v>
      </c>
      <c r="CH12" s="19">
        <f t="shared" si="35"/>
        <v>305760</v>
      </c>
      <c r="CI12" s="19">
        <f t="shared" si="35"/>
        <v>10920</v>
      </c>
      <c r="CJ12" s="19">
        <f t="shared" si="35"/>
        <v>113400</v>
      </c>
      <c r="CK12" s="19">
        <f t="shared" si="35"/>
        <v>181440</v>
      </c>
      <c r="CL12" s="19">
        <f t="shared" si="35"/>
        <v>188160</v>
      </c>
      <c r="CM12" s="19">
        <f t="shared" si="35"/>
        <v>151200</v>
      </c>
      <c r="CN12" s="19">
        <f t="shared" si="35"/>
        <v>156240</v>
      </c>
      <c r="CO12" s="19">
        <f t="shared" si="35"/>
        <v>208320</v>
      </c>
      <c r="CP12" s="19">
        <f t="shared" si="35"/>
        <v>161280</v>
      </c>
      <c r="CQ12" s="19" t="str">
        <f t="shared" si="35"/>
        <v/>
      </c>
      <c r="CR12" s="19">
        <f t="shared" si="35"/>
        <v>138600</v>
      </c>
      <c r="CS12" s="19">
        <f t="shared" si="35"/>
        <v>69300</v>
      </c>
      <c r="CT12" s="19">
        <f t="shared" si="35"/>
        <v>13860</v>
      </c>
      <c r="CU12" s="19">
        <f t="shared" si="35"/>
        <v>152460</v>
      </c>
      <c r="CV12" s="19">
        <f t="shared" si="35"/>
        <v>221760</v>
      </c>
      <c r="CW12" s="19">
        <f t="shared" si="35"/>
        <v>228480</v>
      </c>
      <c r="CX12" s="19">
        <f t="shared" si="35"/>
        <v>142800</v>
      </c>
      <c r="CY12" s="19">
        <f t="shared" si="35"/>
        <v>85680</v>
      </c>
      <c r="CZ12" s="19">
        <f t="shared" si="35"/>
        <v>73500</v>
      </c>
      <c r="DA12" s="19">
        <f t="shared" si="35"/>
        <v>235200</v>
      </c>
      <c r="DB12" s="19">
        <f t="shared" si="35"/>
        <v>248640</v>
      </c>
      <c r="DC12" s="19">
        <f t="shared" si="35"/>
        <v>248640</v>
      </c>
      <c r="DD12" s="19">
        <f t="shared" si="35"/>
        <v>191520</v>
      </c>
      <c r="DE12" s="19">
        <f t="shared" ref="DE12:EJ12" si="36">IFERROR(DE11*DE9*(INDEX($AB$13:$AB$319,MATCH(SUM(DE$13:DE$319),DE$13:DE$319,0),1)),"")</f>
        <v>262080</v>
      </c>
      <c r="DF12" s="19">
        <f t="shared" si="36"/>
        <v>201600</v>
      </c>
      <c r="DG12" s="19" t="str">
        <f t="shared" si="36"/>
        <v/>
      </c>
      <c r="DH12" s="19" t="str">
        <f t="shared" si="36"/>
        <v/>
      </c>
      <c r="DI12" s="19" t="str">
        <f t="shared" si="36"/>
        <v/>
      </c>
      <c r="DJ12" s="19" t="str">
        <f t="shared" si="36"/>
        <v/>
      </c>
      <c r="DK12" s="19" t="str">
        <f t="shared" si="36"/>
        <v/>
      </c>
      <c r="DL12" s="19" t="str">
        <f t="shared" si="36"/>
        <v/>
      </c>
      <c r="DM12" s="19" t="str">
        <f t="shared" si="36"/>
        <v/>
      </c>
      <c r="DN12" s="19" t="str">
        <f t="shared" si="36"/>
        <v/>
      </c>
      <c r="DO12" s="19" t="str">
        <f t="shared" si="36"/>
        <v/>
      </c>
      <c r="DP12" s="19" t="str">
        <f t="shared" si="36"/>
        <v/>
      </c>
      <c r="DQ12" s="19" t="str">
        <f t="shared" si="36"/>
        <v/>
      </c>
      <c r="DR12" s="19" t="str">
        <f t="shared" si="36"/>
        <v/>
      </c>
      <c r="DS12" s="19" t="str">
        <f t="shared" si="36"/>
        <v/>
      </c>
      <c r="DT12" s="19" t="str">
        <f t="shared" si="36"/>
        <v/>
      </c>
      <c r="DU12" s="19" t="str">
        <f t="shared" si="36"/>
        <v/>
      </c>
      <c r="DV12" s="19" t="str">
        <f t="shared" si="36"/>
        <v/>
      </c>
      <c r="DW12" s="19" t="str">
        <f t="shared" si="36"/>
        <v/>
      </c>
      <c r="DX12" s="19" t="str">
        <f t="shared" si="36"/>
        <v/>
      </c>
      <c r="DY12" s="19" t="str">
        <f t="shared" si="36"/>
        <v/>
      </c>
      <c r="DZ12" s="19" t="str">
        <f t="shared" si="36"/>
        <v/>
      </c>
      <c r="EA12" s="19" t="str">
        <f t="shared" si="36"/>
        <v/>
      </c>
      <c r="EB12" s="19" t="str">
        <f t="shared" si="36"/>
        <v/>
      </c>
      <c r="EC12" s="19" t="str">
        <f t="shared" si="36"/>
        <v/>
      </c>
      <c r="ED12" s="19" t="str">
        <f t="shared" si="36"/>
        <v/>
      </c>
      <c r="EE12" s="19" t="str">
        <f t="shared" si="36"/>
        <v/>
      </c>
      <c r="EF12" s="19" t="str">
        <f t="shared" si="36"/>
        <v/>
      </c>
      <c r="EG12" s="19" t="str">
        <f t="shared" si="36"/>
        <v/>
      </c>
      <c r="EH12" s="19" t="str">
        <f t="shared" si="36"/>
        <v/>
      </c>
      <c r="EI12" s="19" t="str">
        <f t="shared" si="36"/>
        <v/>
      </c>
      <c r="EJ12" s="19" t="str">
        <f t="shared" si="36"/>
        <v/>
      </c>
      <c r="EK12" s="19" t="str">
        <f t="shared" ref="EK12:EO12" si="37">IFERROR(EK11*EK9*(INDEX($AB$13:$AB$319,MATCH(SUM(EK$13:EK$319),EK$13:EK$319,0),1)),"")</f>
        <v/>
      </c>
      <c r="EL12" s="19" t="str">
        <f t="shared" si="37"/>
        <v/>
      </c>
      <c r="EM12" s="19" t="str">
        <f t="shared" si="37"/>
        <v/>
      </c>
      <c r="EN12" s="19" t="str">
        <f t="shared" si="37"/>
        <v/>
      </c>
      <c r="EO12" s="19" t="str">
        <f t="shared" si="37"/>
        <v/>
      </c>
    </row>
    <row r="13" spans="1:145" ht="24.95" hidden="1" customHeight="1">
      <c r="A13" s="3">
        <v>45478</v>
      </c>
      <c r="B13" s="109">
        <v>45467</v>
      </c>
      <c r="C13" s="134" t="s">
        <v>177</v>
      </c>
      <c r="D13" s="130" t="s">
        <v>149</v>
      </c>
      <c r="E13" s="86" t="s">
        <v>132</v>
      </c>
      <c r="F13" s="87" t="s">
        <v>150</v>
      </c>
      <c r="G13" s="5" t="str">
        <f t="shared" ref="G13" si="38">C13&amp;F13</f>
        <v>SMLMBKK4A2564300톤백설탕</v>
      </c>
      <c r="H13" s="117">
        <v>47229</v>
      </c>
      <c r="I13" s="105">
        <f t="shared" ref="I13:I48" si="39">(T13*_xlfn.SWITCH(E13,"아주",30,"kpp",40,0)*IF(DATE(YEAR(A13),MONTH(A13),1)&lt;DATE(YEAR($AD$2),MONTH($AD$2),1),DATEDIF($AD$2,$AD$3,"D")+1,DATEDIF(A13,$AD$3+1,"d")))+SUMIF($AG$6:$II$6,G13,$AG$2:$II$2)</f>
        <v>900</v>
      </c>
      <c r="J13" s="105">
        <v>200</v>
      </c>
      <c r="K13" s="27">
        <v>200</v>
      </c>
      <c r="L13" s="37">
        <f t="shared" ref="L13" si="40">ROUNDUP((K13/Y13),0)</f>
        <v>200</v>
      </c>
      <c r="M13" s="27">
        <v>0</v>
      </c>
      <c r="N13" s="27">
        <v>1</v>
      </c>
      <c r="O13" s="37">
        <f t="shared" ref="O13" si="41">ROUNDUP((N13/Y13),0)</f>
        <v>1</v>
      </c>
      <c r="P13" s="27">
        <v>0</v>
      </c>
      <c r="Q13" s="24">
        <f t="shared" ref="Q13" si="42">S13-N13</f>
        <v>0</v>
      </c>
      <c r="R13" s="39">
        <f t="shared" ref="R13" si="43">ROUNDUP((Q13/Y13),0)</f>
        <v>0</v>
      </c>
      <c r="S13" s="24">
        <f t="shared" ref="S13" si="44">K13-W13-M13</f>
        <v>1</v>
      </c>
      <c r="T13" s="39">
        <f t="shared" ref="T13" si="45">O13+R13</f>
        <v>1</v>
      </c>
      <c r="U13" s="27">
        <v>199</v>
      </c>
      <c r="V13" s="26">
        <f t="shared" ref="V13:V48" si="46">SUM(AG13:HO13)</f>
        <v>0</v>
      </c>
      <c r="W13" s="27">
        <f t="shared" ref="W13" si="47">U13+V13+P13</f>
        <v>199</v>
      </c>
      <c r="X13" s="139" t="s">
        <v>188</v>
      </c>
      <c r="Y13" s="27">
        <v>1</v>
      </c>
      <c r="Z13" s="108">
        <v>45478</v>
      </c>
      <c r="AA13" s="2">
        <v>5</v>
      </c>
      <c r="AB13" s="2">
        <v>420</v>
      </c>
      <c r="AC13" s="82">
        <f>SUMIF($AG$6:$QY$6,G13,$AG$12:$QY$12)</f>
        <v>0</v>
      </c>
      <c r="AD13" s="2">
        <f t="shared" ref="AD13" ca="1" si="48">IF(A13&gt;TODAY(),"프리타임기간중",T13*AB13*IF(DATE(YEAR(Z13),MONTH(A13),1)&lt;DATE(YEAR($AD$2),MONTH($AD$2),1),DATEDIF($AD$2,$AD$3,"D")+1,DATEDIF(A13,$AD$3+1,"d")))</f>
        <v>12600</v>
      </c>
      <c r="AE13" s="2">
        <f t="shared" ref="AE13" ca="1" si="49">IFERROR(AC13+AD13,"")</f>
        <v>12600</v>
      </c>
    </row>
    <row r="14" spans="1:145" ht="24.95" hidden="1" customHeight="1">
      <c r="A14" s="3">
        <v>45863</v>
      </c>
      <c r="B14" s="109">
        <v>45862</v>
      </c>
      <c r="C14" s="134" t="s">
        <v>221</v>
      </c>
      <c r="D14" s="130" t="s">
        <v>149</v>
      </c>
      <c r="E14" s="86" t="s">
        <v>133</v>
      </c>
      <c r="F14" s="87" t="s">
        <v>223</v>
      </c>
      <c r="G14" s="5" t="str">
        <f t="shared" ref="G14" si="50">C14&amp;F14</f>
        <v>CKCOTAO7010009딸기 다이스</v>
      </c>
      <c r="H14" s="117" t="s">
        <v>222</v>
      </c>
      <c r="I14" s="105">
        <f t="shared" si="39"/>
        <v>0</v>
      </c>
      <c r="J14" s="105">
        <v>50</v>
      </c>
      <c r="K14" s="27">
        <v>600</v>
      </c>
      <c r="L14" s="37">
        <f t="shared" ref="L14" si="51">ROUNDUP((K14/Y14),0)</f>
        <v>50</v>
      </c>
      <c r="M14" s="27">
        <v>0</v>
      </c>
      <c r="N14" s="27">
        <v>0</v>
      </c>
      <c r="O14" s="37">
        <f t="shared" ref="O14" si="52">ROUNDUP((N14/Y14),0)</f>
        <v>0</v>
      </c>
      <c r="P14" s="27">
        <v>0</v>
      </c>
      <c r="Q14" s="24">
        <f t="shared" ref="Q14" si="53">S14-N14</f>
        <v>0</v>
      </c>
      <c r="R14" s="39">
        <f>ROUNDUP((Q14/Y14),0)</f>
        <v>0</v>
      </c>
      <c r="S14" s="24">
        <f t="shared" ref="S14" si="54">K14-W14-M14</f>
        <v>0</v>
      </c>
      <c r="T14" s="39">
        <f t="shared" ref="T14" si="55">O14+R14</f>
        <v>0</v>
      </c>
      <c r="U14" s="27">
        <v>250</v>
      </c>
      <c r="V14" s="26">
        <f t="shared" si="46"/>
        <v>350</v>
      </c>
      <c r="W14" s="27">
        <f t="shared" ref="W14" si="56">U14+V14+P14</f>
        <v>600</v>
      </c>
      <c r="X14" s="28"/>
      <c r="Y14" s="27">
        <v>12</v>
      </c>
      <c r="Z14" s="119">
        <v>45863</v>
      </c>
      <c r="AA14" s="2">
        <v>0</v>
      </c>
      <c r="AB14" s="2">
        <v>420</v>
      </c>
      <c r="AC14" s="82">
        <f t="shared" ref="AC14:AC48" si="57">SUMIF($AG$6:$QY$6,G14,$AG$12:$QY$12)</f>
        <v>0</v>
      </c>
      <c r="AD14" s="2">
        <f t="shared" ref="AD14" ca="1" si="58">IF(A14&gt;TODAY(),"프리타임기간중",T14*AB14*IF(DATE(YEAR(Z14),MONTH(A14),1)&lt;DATE(YEAR($AD$2),MONTH($AD$2),1),DATEDIF($AD$2,$AD$3,"D")+1,DATEDIF(A14,$AD$3+1,"d")))</f>
        <v>0</v>
      </c>
      <c r="AE14" s="2">
        <f t="shared" ref="AE14" ca="1" si="59">IFERROR(AC14+AD14,"")</f>
        <v>0</v>
      </c>
      <c r="CH14" s="121">
        <v>336</v>
      </c>
      <c r="CI14" s="121">
        <v>14</v>
      </c>
    </row>
    <row r="15" spans="1:145" ht="24.95" customHeight="1">
      <c r="A15" s="155">
        <v>45905</v>
      </c>
      <c r="B15" s="109">
        <v>45891</v>
      </c>
      <c r="C15" s="134" t="s">
        <v>230</v>
      </c>
      <c r="D15" s="130" t="s">
        <v>149</v>
      </c>
      <c r="E15" s="86" t="s">
        <v>132</v>
      </c>
      <c r="F15" s="87" t="s">
        <v>140</v>
      </c>
      <c r="G15" s="5" t="str">
        <f t="shared" ref="G15" si="60">C15&amp;F15</f>
        <v>OOLU2310003500참치캔</v>
      </c>
      <c r="H15" s="117">
        <v>47652</v>
      </c>
      <c r="I15" s="105">
        <f t="shared" si="39"/>
        <v>6300</v>
      </c>
      <c r="J15" s="105">
        <v>20</v>
      </c>
      <c r="K15" s="27">
        <v>1550</v>
      </c>
      <c r="L15" s="37">
        <f t="shared" ref="L15" si="61">ROUNDUP((K15/Y15),0)</f>
        <v>20</v>
      </c>
      <c r="M15" s="27">
        <v>0</v>
      </c>
      <c r="N15" s="27">
        <v>1</v>
      </c>
      <c r="O15" s="37">
        <f>ROUNDUP((N15/Y15),0)-1</f>
        <v>0</v>
      </c>
      <c r="P15" s="27">
        <v>0</v>
      </c>
      <c r="Q15" s="24">
        <f t="shared" ref="Q15" si="62">S15-N15</f>
        <v>538</v>
      </c>
      <c r="R15" s="39">
        <f t="shared" ref="R15" si="63">ROUNDUP((Q15/Y15),0)</f>
        <v>7</v>
      </c>
      <c r="S15" s="24">
        <f t="shared" ref="S15" si="64">K15-W15-M15</f>
        <v>539</v>
      </c>
      <c r="T15" s="39">
        <f t="shared" ref="T15" si="65">O15+R15</f>
        <v>7</v>
      </c>
      <c r="U15" s="27">
        <v>931</v>
      </c>
      <c r="V15" s="26">
        <f t="shared" si="46"/>
        <v>80</v>
      </c>
      <c r="W15" s="27">
        <f t="shared" ref="W15" si="66">U15+V15+P15</f>
        <v>1011</v>
      </c>
      <c r="X15" s="28"/>
      <c r="Y15" s="27">
        <v>80</v>
      </c>
      <c r="Z15" s="119">
        <v>45905</v>
      </c>
      <c r="AA15" s="2">
        <v>0</v>
      </c>
      <c r="AB15" s="2">
        <v>420</v>
      </c>
      <c r="AC15" s="82">
        <f t="shared" si="57"/>
        <v>0</v>
      </c>
      <c r="AD15" s="2">
        <f t="shared" ref="AD15" ca="1" si="67">IF(A15&gt;TODAY(),"프리타임기간중",T15*AB15*IF(DATE(YEAR(Z15),MONTH(A15),1)&lt;DATE(YEAR($AD$2),MONTH($AD$2),1),DATEDIF($AD$2,$AD$3,"D")+1,DATEDIF(A15,$AD$3+1,"d")))</f>
        <v>88200</v>
      </c>
      <c r="AE15" s="2">
        <f t="shared" ref="AE15" ca="1" si="68">IFERROR(AC15+AD15,"")</f>
        <v>88200</v>
      </c>
      <c r="AJ15" s="121">
        <v>80</v>
      </c>
    </row>
    <row r="16" spans="1:145" ht="24.95" hidden="1" customHeight="1">
      <c r="A16" s="3">
        <v>45211</v>
      </c>
      <c r="B16" s="109">
        <v>45209</v>
      </c>
      <c r="C16" s="134" t="s">
        <v>170</v>
      </c>
      <c r="D16" s="130" t="s">
        <v>149</v>
      </c>
      <c r="E16" s="86" t="s">
        <v>132</v>
      </c>
      <c r="F16" s="87" t="s">
        <v>150</v>
      </c>
      <c r="G16" s="5" t="str">
        <f t="shared" ref="G16" si="69">C16&amp;F16</f>
        <v>KMTCPEN0977935(1물류)톤백설탕</v>
      </c>
      <c r="H16" s="117">
        <v>45894</v>
      </c>
      <c r="I16" s="105">
        <f t="shared" si="39"/>
        <v>900</v>
      </c>
      <c r="J16" s="105">
        <v>200</v>
      </c>
      <c r="K16" s="27">
        <v>200</v>
      </c>
      <c r="L16" s="37">
        <f t="shared" ref="L16" si="70">ROUNDUP((K16/Y16),0)</f>
        <v>200</v>
      </c>
      <c r="M16" s="27">
        <v>0</v>
      </c>
      <c r="N16" s="132">
        <v>1</v>
      </c>
      <c r="O16" s="37">
        <f t="shared" ref="O16" si="71">ROUNDUP((N16/Y16),0)</f>
        <v>1</v>
      </c>
      <c r="P16" s="27">
        <v>0</v>
      </c>
      <c r="Q16" s="24">
        <f t="shared" ref="Q16" si="72">S16-N16</f>
        <v>0</v>
      </c>
      <c r="R16" s="39">
        <f t="shared" ref="R16" si="73">ROUNDUP((Q16/Y16),0)</f>
        <v>0</v>
      </c>
      <c r="S16" s="24">
        <f t="shared" ref="S16" si="74">K16-W16-M16</f>
        <v>1</v>
      </c>
      <c r="T16" s="39">
        <f t="shared" ref="T16" si="75">O16+R16</f>
        <v>1</v>
      </c>
      <c r="U16" s="27">
        <v>199</v>
      </c>
      <c r="V16" s="26">
        <f t="shared" si="46"/>
        <v>0</v>
      </c>
      <c r="W16" s="27">
        <f t="shared" ref="W16" si="76">U16+V16+P16</f>
        <v>199</v>
      </c>
      <c r="X16" s="2" t="s">
        <v>247</v>
      </c>
      <c r="Y16" s="27">
        <v>1</v>
      </c>
      <c r="Z16" s="108">
        <f>B16+AA16</f>
        <v>45214</v>
      </c>
      <c r="AA16" s="2">
        <v>5</v>
      </c>
      <c r="AB16" s="2">
        <v>420</v>
      </c>
      <c r="AC16" s="82">
        <f t="shared" si="57"/>
        <v>0</v>
      </c>
      <c r="AD16" s="2">
        <f t="shared" ref="AD16" ca="1" si="77">IF(A16&gt;TODAY(),"프리타임기간중",T16*AB16*IF(DATE(YEAR(Z16),MONTH(A16),1)&lt;DATE(YEAR($AD$2),MONTH($AD$2),1),DATEDIF($AD$2,$AD$3,"D")+1,DATEDIF(A16,$AD$3+1,"d")))</f>
        <v>12600</v>
      </c>
      <c r="AE16" s="2">
        <f t="shared" ref="AE16" ca="1" si="78">IFERROR(AC16+AD16,"")</f>
        <v>12600</v>
      </c>
    </row>
    <row r="17" spans="1:96" ht="24.95" hidden="1" customHeight="1">
      <c r="A17" s="3">
        <v>45188</v>
      </c>
      <c r="B17" s="109">
        <v>45182</v>
      </c>
      <c r="C17" s="134" t="s">
        <v>151</v>
      </c>
      <c r="D17" s="130" t="s">
        <v>349</v>
      </c>
      <c r="E17" s="86" t="s">
        <v>132</v>
      </c>
      <c r="F17" s="87" t="s">
        <v>150</v>
      </c>
      <c r="G17" s="5" t="str">
        <f t="shared" ref="G17:G18" si="79">C17&amp;F17</f>
        <v>KMTCPEN0978419(본사)톤백설탕</v>
      </c>
      <c r="H17" s="117">
        <v>45869</v>
      </c>
      <c r="I17" s="105">
        <f t="shared" si="39"/>
        <v>3600</v>
      </c>
      <c r="J17" s="105">
        <v>280</v>
      </c>
      <c r="K17" s="27">
        <v>280</v>
      </c>
      <c r="L17" s="37">
        <f t="shared" ref="L17:L18" si="80">ROUNDUP((K17/Y17),0)</f>
        <v>280</v>
      </c>
      <c r="M17" s="27">
        <v>0</v>
      </c>
      <c r="N17" s="27">
        <v>4</v>
      </c>
      <c r="O17" s="37">
        <f t="shared" ref="O17:O18" si="81">ROUNDUP((N17/Y17),0)</f>
        <v>4</v>
      </c>
      <c r="P17" s="27">
        <v>0</v>
      </c>
      <c r="Q17" s="24">
        <f t="shared" ref="Q17:Q18" si="82">S17-N17</f>
        <v>0</v>
      </c>
      <c r="R17" s="39">
        <f t="shared" ref="R17:R18" si="83">ROUNDUP((Q17/Y17),0)</f>
        <v>0</v>
      </c>
      <c r="S17" s="24">
        <f t="shared" ref="S17:S18" si="84">K17-W17-M17</f>
        <v>4</v>
      </c>
      <c r="T17" s="39">
        <f t="shared" ref="T17:T18" si="85">O17+R17</f>
        <v>4</v>
      </c>
      <c r="U17" s="27">
        <v>276</v>
      </c>
      <c r="V17" s="26">
        <f t="shared" si="46"/>
        <v>0</v>
      </c>
      <c r="W17" s="27">
        <f t="shared" ref="W17:W18" si="86">U17+V17+P17</f>
        <v>276</v>
      </c>
      <c r="X17" s="2" t="s">
        <v>179</v>
      </c>
      <c r="Y17" s="27">
        <v>1</v>
      </c>
      <c r="Z17" s="108">
        <v>45188</v>
      </c>
      <c r="AA17" s="2">
        <v>5</v>
      </c>
      <c r="AB17" s="2">
        <v>420</v>
      </c>
      <c r="AC17" s="82">
        <f t="shared" si="57"/>
        <v>0</v>
      </c>
      <c r="AD17" s="2">
        <f t="shared" ref="AD17:AD18" ca="1" si="87">IF(A17&gt;TODAY(),"프리타임기간중",T17*AB17*IF(DATE(YEAR(Z17),MONTH(A17),1)&lt;DATE(YEAR($AD$2),MONTH($AD$2),1),DATEDIF($AD$2,$AD$3,"D")+1,DATEDIF(A17,$AD$3+1,"d")))</f>
        <v>50400</v>
      </c>
      <c r="AE17" s="2">
        <f t="shared" ref="AE17:AE18" ca="1" si="88">IFERROR(AC17+AD17,"")</f>
        <v>50400</v>
      </c>
    </row>
    <row r="18" spans="1:96" ht="24.95" hidden="1" customHeight="1">
      <c r="A18" s="3">
        <v>45209</v>
      </c>
      <c r="B18" s="109">
        <v>45204</v>
      </c>
      <c r="C18" s="134" t="s">
        <v>171</v>
      </c>
      <c r="D18" s="130" t="s">
        <v>350</v>
      </c>
      <c r="E18" s="86" t="s">
        <v>132</v>
      </c>
      <c r="F18" s="87" t="s">
        <v>150</v>
      </c>
      <c r="G18" s="5" t="str">
        <f t="shared" si="79"/>
        <v>KMTCPEN0973753(본사)톤백설탕</v>
      </c>
      <c r="H18" s="117">
        <v>45888</v>
      </c>
      <c r="I18" s="105">
        <f t="shared" si="39"/>
        <v>900</v>
      </c>
      <c r="J18" s="105">
        <v>280</v>
      </c>
      <c r="K18" s="27">
        <v>280</v>
      </c>
      <c r="L18" s="37">
        <f t="shared" si="80"/>
        <v>280</v>
      </c>
      <c r="M18" s="27">
        <v>0</v>
      </c>
      <c r="N18" s="153">
        <v>1</v>
      </c>
      <c r="O18" s="37">
        <f t="shared" si="81"/>
        <v>1</v>
      </c>
      <c r="P18" s="27">
        <v>0</v>
      </c>
      <c r="Q18" s="24">
        <f t="shared" si="82"/>
        <v>0</v>
      </c>
      <c r="R18" s="39">
        <f t="shared" si="83"/>
        <v>0</v>
      </c>
      <c r="S18" s="24">
        <f t="shared" si="84"/>
        <v>1</v>
      </c>
      <c r="T18" s="39">
        <f t="shared" si="85"/>
        <v>1</v>
      </c>
      <c r="U18" s="27">
        <v>279</v>
      </c>
      <c r="V18" s="26">
        <f t="shared" si="46"/>
        <v>0</v>
      </c>
      <c r="W18" s="27">
        <f t="shared" si="86"/>
        <v>279</v>
      </c>
      <c r="X18" s="2" t="s">
        <v>152</v>
      </c>
      <c r="Y18" s="27">
        <v>1</v>
      </c>
      <c r="Z18" s="108">
        <v>45209</v>
      </c>
      <c r="AA18" s="2">
        <v>5</v>
      </c>
      <c r="AB18" s="2">
        <v>420</v>
      </c>
      <c r="AC18" s="82">
        <f t="shared" si="57"/>
        <v>0</v>
      </c>
      <c r="AD18" s="2">
        <f t="shared" ca="1" si="87"/>
        <v>12600</v>
      </c>
      <c r="AE18" s="2">
        <f t="shared" ca="1" si="88"/>
        <v>12600</v>
      </c>
    </row>
    <row r="19" spans="1:96" ht="24.95" hidden="1" customHeight="1">
      <c r="A19" s="3">
        <v>45931</v>
      </c>
      <c r="B19" s="109">
        <v>45925</v>
      </c>
      <c r="C19" s="134" t="s">
        <v>242</v>
      </c>
      <c r="D19" s="130" t="s">
        <v>350</v>
      </c>
      <c r="E19" s="86" t="s">
        <v>132</v>
      </c>
      <c r="F19" s="87" t="s">
        <v>139</v>
      </c>
      <c r="G19" s="5" t="str">
        <f t="shared" ref="G19" si="89">C19&amp;F19</f>
        <v>KMTCLCH533239215KG설탕</v>
      </c>
      <c r="H19" s="117">
        <v>46620</v>
      </c>
      <c r="I19" s="105">
        <f t="shared" si="39"/>
        <v>2700</v>
      </c>
      <c r="J19" s="105">
        <v>321</v>
      </c>
      <c r="K19" s="27">
        <v>23100</v>
      </c>
      <c r="L19" s="37">
        <f t="shared" ref="L19" si="90">ROUNDUP((K19/Y19),0)</f>
        <v>321</v>
      </c>
      <c r="M19" s="27">
        <v>0</v>
      </c>
      <c r="N19" s="27">
        <v>212</v>
      </c>
      <c r="O19" s="37">
        <f t="shared" ref="O19" si="91">ROUNDUP((N19/Y19),0)</f>
        <v>3</v>
      </c>
      <c r="P19" s="27">
        <v>0</v>
      </c>
      <c r="Q19" s="24">
        <f t="shared" ref="Q19" si="92">S19-N19</f>
        <v>0</v>
      </c>
      <c r="R19" s="39">
        <f t="shared" ref="R19" si="93">ROUNDUP((Q19/Y19),0)</f>
        <v>0</v>
      </c>
      <c r="S19" s="24">
        <f t="shared" ref="S19" si="94">K19-W19-M19</f>
        <v>212</v>
      </c>
      <c r="T19" s="39">
        <f t="shared" ref="T19" si="95">O19+R19</f>
        <v>3</v>
      </c>
      <c r="U19" s="27">
        <v>22888</v>
      </c>
      <c r="V19" s="26">
        <f t="shared" si="46"/>
        <v>0</v>
      </c>
      <c r="W19" s="27">
        <f t="shared" ref="W19" si="96">U19+V19+P19</f>
        <v>22888</v>
      </c>
      <c r="X19" s="2"/>
      <c r="Y19" s="27">
        <v>72</v>
      </c>
      <c r="Z19" s="108">
        <v>45931</v>
      </c>
      <c r="AA19" s="2">
        <v>5</v>
      </c>
      <c r="AB19" s="2">
        <v>420</v>
      </c>
      <c r="AC19" s="82">
        <f t="shared" si="57"/>
        <v>0</v>
      </c>
      <c r="AD19" s="2">
        <f t="shared" ref="AD19" ca="1" si="97">IF(A19&gt;TODAY(),"프리타임기간중",T19*AB19*IF(DATE(YEAR(Z19),MONTH(A19),1)&lt;DATE(YEAR($AD$2),MONTH($AD$2),1),DATEDIF($AD$2,$AD$3,"D")+1,DATEDIF(A19,$AD$3+1,"d")))</f>
        <v>37800</v>
      </c>
      <c r="AE19" s="2">
        <f t="shared" ref="AE19" ca="1" si="98">IFERROR(AC19+AD19,"")</f>
        <v>37800</v>
      </c>
    </row>
    <row r="20" spans="1:96" ht="24.95" hidden="1" customHeight="1">
      <c r="A20" s="3">
        <v>45953</v>
      </c>
      <c r="B20" s="109">
        <v>45950</v>
      </c>
      <c r="C20" s="134" t="s">
        <v>255</v>
      </c>
      <c r="D20" s="130" t="s">
        <v>149</v>
      </c>
      <c r="E20" s="86" t="s">
        <v>133</v>
      </c>
      <c r="F20" s="87" t="s">
        <v>201</v>
      </c>
      <c r="G20" s="5" t="str">
        <f t="shared" ref="G20" si="99">C20&amp;F20</f>
        <v>WTAOINC25103014동결건조 블루베리 분말</v>
      </c>
      <c r="H20" s="117" t="s">
        <v>256</v>
      </c>
      <c r="I20" s="105">
        <f t="shared" si="39"/>
        <v>1200</v>
      </c>
      <c r="J20" s="105">
        <v>1</v>
      </c>
      <c r="K20" s="27">
        <v>20</v>
      </c>
      <c r="L20" s="37">
        <f t="shared" ref="L20" si="100">ROUNDUP((K20/Y20),0)</f>
        <v>1</v>
      </c>
      <c r="M20" s="27">
        <v>0</v>
      </c>
      <c r="N20" s="27">
        <v>0</v>
      </c>
      <c r="O20" s="37">
        <f>ROUNDUP((N20/Y20),0)</f>
        <v>0</v>
      </c>
      <c r="P20" s="27">
        <v>0</v>
      </c>
      <c r="Q20" s="24">
        <f t="shared" ref="Q20" si="101">S20-N20</f>
        <v>20</v>
      </c>
      <c r="R20" s="39">
        <f t="shared" ref="R20" si="102">ROUNDUP((Q20/Y20),0)</f>
        <v>1</v>
      </c>
      <c r="S20" s="24">
        <f t="shared" ref="S20" si="103">K20-W20-M20</f>
        <v>20</v>
      </c>
      <c r="T20" s="39">
        <f t="shared" ref="T20" si="104">O20+R20</f>
        <v>1</v>
      </c>
      <c r="U20" s="27">
        <v>0</v>
      </c>
      <c r="V20" s="26">
        <f t="shared" si="46"/>
        <v>0</v>
      </c>
      <c r="W20" s="27">
        <f t="shared" ref="W20" si="105">U20+V20+P20</f>
        <v>0</v>
      </c>
      <c r="X20" s="28"/>
      <c r="Y20" s="27">
        <v>20</v>
      </c>
      <c r="Z20" s="119">
        <v>45953</v>
      </c>
      <c r="AA20" s="2">
        <v>0</v>
      </c>
      <c r="AB20" s="2">
        <v>420</v>
      </c>
      <c r="AC20" s="82">
        <f t="shared" si="57"/>
        <v>0</v>
      </c>
      <c r="AD20" s="2">
        <f t="shared" ref="AD20" ca="1" si="106">IF(A20&gt;TODAY(),"프리타임기간중",T20*AB20*IF(DATE(YEAR(Z20),MONTH(A20),1)&lt;DATE(YEAR($AD$2),MONTH($AD$2),1),DATEDIF($AD$2,$AD$3,"D")+1,DATEDIF(A20,$AD$3+1,"d")))</f>
        <v>12600</v>
      </c>
      <c r="AE20" s="2">
        <f t="shared" ref="AE20" ca="1" si="107">IFERROR(AC20+AD20,"")</f>
        <v>12600</v>
      </c>
    </row>
    <row r="21" spans="1:96" ht="24.95" hidden="1" customHeight="1">
      <c r="A21" s="3">
        <v>45980</v>
      </c>
      <c r="B21" s="109">
        <v>45966</v>
      </c>
      <c r="C21" s="134" t="s">
        <v>261</v>
      </c>
      <c r="D21" s="130" t="s">
        <v>350</v>
      </c>
      <c r="E21" s="86" t="s">
        <v>133</v>
      </c>
      <c r="F21" s="87" t="s">
        <v>262</v>
      </c>
      <c r="G21" s="5" t="str">
        <f t="shared" ref="G21" si="108">C21&amp;F21</f>
        <v>CPC0259124후르츠 칵테일 3KG</v>
      </c>
      <c r="H21" s="117">
        <v>46645</v>
      </c>
      <c r="I21" s="105">
        <f t="shared" si="39"/>
        <v>1200</v>
      </c>
      <c r="J21" s="105">
        <v>18</v>
      </c>
      <c r="K21" s="27">
        <v>1000</v>
      </c>
      <c r="L21" s="37">
        <f t="shared" ref="L21" si="109">ROUNDUP((K21/Y21),0)</f>
        <v>18</v>
      </c>
      <c r="M21" s="27">
        <v>0</v>
      </c>
      <c r="N21" s="27">
        <v>0</v>
      </c>
      <c r="O21" s="37">
        <f>ROUNDUP((N21/Y21),0)</f>
        <v>0</v>
      </c>
      <c r="P21" s="27">
        <v>0</v>
      </c>
      <c r="Q21" s="24">
        <f t="shared" ref="Q21" si="110">S21-N21</f>
        <v>31</v>
      </c>
      <c r="R21" s="39">
        <f t="shared" ref="R21" si="111">ROUNDUP((Q21/Y21),0)</f>
        <v>1</v>
      </c>
      <c r="S21" s="24">
        <f t="shared" ref="S21" si="112">K21-W21-M21</f>
        <v>31</v>
      </c>
      <c r="T21" s="39">
        <f t="shared" ref="T21" si="113">O21+R21</f>
        <v>1</v>
      </c>
      <c r="U21" s="27">
        <v>965</v>
      </c>
      <c r="V21" s="26">
        <f t="shared" si="46"/>
        <v>4</v>
      </c>
      <c r="W21" s="27">
        <f t="shared" ref="W21" si="114">U21+V21+P21</f>
        <v>969</v>
      </c>
      <c r="X21" s="28" t="s">
        <v>259</v>
      </c>
      <c r="Y21" s="27">
        <v>56</v>
      </c>
      <c r="Z21" s="119">
        <v>45980</v>
      </c>
      <c r="AA21" s="2">
        <v>0</v>
      </c>
      <c r="AB21" s="2">
        <v>420</v>
      </c>
      <c r="AC21" s="82">
        <f t="shared" si="57"/>
        <v>0</v>
      </c>
      <c r="AD21" s="2">
        <f t="shared" ref="AD21" ca="1" si="115">IF(A21&gt;TODAY(),"프리타임기간중",T21*AB21*IF(DATE(YEAR(Z21),MONTH(A21),1)&lt;DATE(YEAR($AD$2),MONTH($AD$2),1),DATEDIF($AD$2,$AD$3,"D")+1,DATEDIF(A21,$AD$3+1,"d")))</f>
        <v>12600</v>
      </c>
      <c r="AE21" s="2">
        <f t="shared" ref="AE21" ca="1" si="116">IFERROR(AC21+AD21,"")</f>
        <v>12600</v>
      </c>
      <c r="BN21" s="121">
        <v>2</v>
      </c>
      <c r="CQ21" s="121">
        <v>2</v>
      </c>
    </row>
    <row r="22" spans="1:96" ht="24.95" hidden="1" customHeight="1">
      <c r="A22" s="3">
        <v>45985</v>
      </c>
      <c r="B22" s="109">
        <v>45972</v>
      </c>
      <c r="C22" s="134" t="s">
        <v>260</v>
      </c>
      <c r="D22" s="130" t="s">
        <v>350</v>
      </c>
      <c r="E22" s="86" t="s">
        <v>264</v>
      </c>
      <c r="F22" s="87" t="s">
        <v>139</v>
      </c>
      <c r="G22" s="5" t="str">
        <f t="shared" ref="G22" si="117">C22&amp;F22</f>
        <v>KMTCLCH538884315KG설탕</v>
      </c>
      <c r="H22" s="117">
        <v>46651</v>
      </c>
      <c r="I22" s="105">
        <f t="shared" si="39"/>
        <v>2700</v>
      </c>
      <c r="J22" s="105">
        <v>322</v>
      </c>
      <c r="K22" s="27">
        <v>23100</v>
      </c>
      <c r="L22" s="37">
        <f>ROUNDUP((K22/Y22),0)+1</f>
        <v>322</v>
      </c>
      <c r="M22" s="27">
        <v>0</v>
      </c>
      <c r="N22" s="27">
        <v>147</v>
      </c>
      <c r="O22" s="37">
        <f t="shared" ref="O22:O24" si="118">ROUNDUP((N22/Y22),0)</f>
        <v>3</v>
      </c>
      <c r="P22" s="27">
        <v>0</v>
      </c>
      <c r="Q22" s="24">
        <f t="shared" ref="Q22" si="119">S22-N22</f>
        <v>0</v>
      </c>
      <c r="R22" s="39">
        <f t="shared" ref="R22" si="120">ROUNDUP((Q22/Y22),0)</f>
        <v>0</v>
      </c>
      <c r="S22" s="24">
        <f t="shared" ref="S22" si="121">K22-W22-M22</f>
        <v>147</v>
      </c>
      <c r="T22" s="39">
        <f t="shared" ref="T22" si="122">O22+R22</f>
        <v>3</v>
      </c>
      <c r="U22" s="27">
        <v>22953</v>
      </c>
      <c r="V22" s="26">
        <f t="shared" si="46"/>
        <v>0</v>
      </c>
      <c r="W22" s="27">
        <f t="shared" ref="W22" si="123">U22+V22+P22</f>
        <v>22953</v>
      </c>
      <c r="X22" s="28"/>
      <c r="Y22" s="27">
        <v>72</v>
      </c>
      <c r="Z22" s="119">
        <v>45985</v>
      </c>
      <c r="AA22" s="2">
        <v>5</v>
      </c>
      <c r="AB22" s="2">
        <v>420</v>
      </c>
      <c r="AC22" s="82">
        <f t="shared" si="57"/>
        <v>0</v>
      </c>
      <c r="AD22" s="2">
        <f t="shared" ref="AD22" ca="1" si="124">IF(A22&gt;TODAY(),"프리타임기간중",T22*AB22*IF(DATE(YEAR(Z22),MONTH(A22),1)&lt;DATE(YEAR($AD$2),MONTH($AD$2),1),DATEDIF($AD$2,$AD$3,"D")+1,DATEDIF(A22,$AD$3+1,"d")))</f>
        <v>37800</v>
      </c>
      <c r="AE22" s="2">
        <f t="shared" ref="AE22" ca="1" si="125">IFERROR(AC22+AD22,"")</f>
        <v>37800</v>
      </c>
    </row>
    <row r="23" spans="1:96" ht="24.95" customHeight="1">
      <c r="A23" s="3">
        <v>45995</v>
      </c>
      <c r="B23" s="109">
        <v>45993</v>
      </c>
      <c r="C23" s="134" t="s">
        <v>270</v>
      </c>
      <c r="D23" s="130" t="s">
        <v>149</v>
      </c>
      <c r="E23" s="86" t="s">
        <v>271</v>
      </c>
      <c r="F23" s="87" t="s">
        <v>140</v>
      </c>
      <c r="G23" s="5" t="str">
        <f t="shared" ref="G23" si="126">C23&amp;F23</f>
        <v>HASLS22251001288참치캔</v>
      </c>
      <c r="H23" s="117">
        <v>47736</v>
      </c>
      <c r="I23" s="105">
        <f t="shared" si="39"/>
        <v>18000</v>
      </c>
      <c r="J23" s="105">
        <v>20</v>
      </c>
      <c r="K23" s="27">
        <v>1550</v>
      </c>
      <c r="L23" s="37">
        <f t="shared" ref="L23" si="127">ROUNDUP((K23/Y23),0)</f>
        <v>20</v>
      </c>
      <c r="M23" s="27">
        <v>0</v>
      </c>
      <c r="N23" s="27">
        <v>0</v>
      </c>
      <c r="O23" s="37">
        <f t="shared" si="118"/>
        <v>0</v>
      </c>
      <c r="P23" s="27">
        <v>0</v>
      </c>
      <c r="Q23" s="24">
        <f t="shared" ref="Q23" si="128">S23-N23</f>
        <v>1549</v>
      </c>
      <c r="R23" s="39">
        <f t="shared" ref="R23" si="129">ROUNDUP((Q23/Y23),0)</f>
        <v>20</v>
      </c>
      <c r="S23" s="24">
        <f t="shared" ref="S23" si="130">K23-W23-M23</f>
        <v>1549</v>
      </c>
      <c r="T23" s="39">
        <f t="shared" ref="T23" si="131">O23+R23</f>
        <v>20</v>
      </c>
      <c r="U23" s="27">
        <v>1</v>
      </c>
      <c r="V23" s="26">
        <f t="shared" si="46"/>
        <v>0</v>
      </c>
      <c r="W23" s="27">
        <f t="shared" ref="W23" si="132">U23+V23+P23</f>
        <v>1</v>
      </c>
      <c r="X23" s="156"/>
      <c r="Y23" s="27">
        <v>80</v>
      </c>
      <c r="Z23" s="119">
        <v>45995</v>
      </c>
      <c r="AA23" s="2">
        <v>0</v>
      </c>
      <c r="AB23" s="2">
        <v>420</v>
      </c>
      <c r="AC23" s="82">
        <f t="shared" si="57"/>
        <v>0</v>
      </c>
      <c r="AD23" s="2">
        <f t="shared" ref="AD23" ca="1" si="133">IF(A23&gt;TODAY(),"프리타임기간중",T23*AB23*IF(DATE(YEAR(Z23),MONTH(A23),1)&lt;DATE(YEAR($AD$2),MONTH($AD$2),1),DATEDIF($AD$2,$AD$3,"D")+1,DATEDIF(A23,$AD$3+1,"d")))</f>
        <v>252000</v>
      </c>
      <c r="AE23" s="2">
        <f t="shared" ref="AE23" ca="1" si="134">IFERROR(AC23+AD23,"")</f>
        <v>252000</v>
      </c>
    </row>
    <row r="24" spans="1:96" ht="24.95" hidden="1" customHeight="1">
      <c r="A24" s="3">
        <v>45995</v>
      </c>
      <c r="B24" s="161">
        <v>45993</v>
      </c>
      <c r="C24" s="162" t="s">
        <v>265</v>
      </c>
      <c r="D24" s="163" t="s">
        <v>420</v>
      </c>
      <c r="E24" s="164" t="s">
        <v>133</v>
      </c>
      <c r="F24" s="165" t="s">
        <v>207</v>
      </c>
      <c r="G24" s="5" t="str">
        <f t="shared" ref="G24" si="135">C24&amp;F24</f>
        <v>MAEU257789982바이탈 밀 글루텐</v>
      </c>
      <c r="H24" s="117" t="s">
        <v>272</v>
      </c>
      <c r="I24" s="105">
        <f t="shared" si="39"/>
        <v>19200</v>
      </c>
      <c r="J24" s="105">
        <v>19</v>
      </c>
      <c r="K24" s="27">
        <v>750</v>
      </c>
      <c r="L24" s="37">
        <f t="shared" ref="L24" si="136">ROUNDUP((K24/Y24),0)</f>
        <v>19</v>
      </c>
      <c r="M24" s="27">
        <v>0</v>
      </c>
      <c r="N24" s="27">
        <v>0</v>
      </c>
      <c r="O24" s="37">
        <f t="shared" si="118"/>
        <v>0</v>
      </c>
      <c r="P24" s="27">
        <v>0</v>
      </c>
      <c r="Q24" s="24">
        <f t="shared" ref="Q24" si="137">S24-N24</f>
        <v>614</v>
      </c>
      <c r="R24" s="39">
        <f t="shared" ref="R24" si="138">ROUNDUP((Q24/Y24),0)</f>
        <v>16</v>
      </c>
      <c r="S24" s="24">
        <f t="shared" ref="S24" si="139">K24-W24-M24</f>
        <v>614</v>
      </c>
      <c r="T24" s="39">
        <f t="shared" ref="T24" si="140">O24+R24</f>
        <v>16</v>
      </c>
      <c r="U24" s="27">
        <v>56</v>
      </c>
      <c r="V24" s="26">
        <f t="shared" si="46"/>
        <v>80</v>
      </c>
      <c r="W24" s="27">
        <f t="shared" ref="W24" si="141">U24+V24+P24</f>
        <v>136</v>
      </c>
      <c r="X24" s="28"/>
      <c r="Y24" s="27">
        <v>40</v>
      </c>
      <c r="Z24" s="119">
        <v>45995</v>
      </c>
      <c r="AA24" s="2">
        <v>0</v>
      </c>
      <c r="AB24" s="2">
        <v>420</v>
      </c>
      <c r="AC24" s="82">
        <f t="shared" si="57"/>
        <v>0</v>
      </c>
      <c r="AD24" s="2">
        <f t="shared" ref="AD24" ca="1" si="142">IF(A24&gt;TODAY(),"프리타임기간중",T24*AB24*IF(DATE(YEAR(Z24),MONTH(A24),1)&lt;DATE(YEAR($AD$2),MONTH($AD$2),1),DATEDIF($AD$2,$AD$3,"D")+1,DATEDIF(A24,$AD$3+1,"d")))</f>
        <v>201600</v>
      </c>
      <c r="AE24" s="2">
        <f t="shared" ref="AE24" ca="1" si="143">IFERROR(AC24+AD24,"")</f>
        <v>201600</v>
      </c>
      <c r="BM24" s="121">
        <v>80</v>
      </c>
    </row>
    <row r="25" spans="1:96" ht="24.95" hidden="1" customHeight="1">
      <c r="A25" s="108">
        <v>46015</v>
      </c>
      <c r="B25" s="109">
        <v>46014</v>
      </c>
      <c r="C25" s="134" t="s">
        <v>277</v>
      </c>
      <c r="D25" s="130" t="s">
        <v>149</v>
      </c>
      <c r="E25" s="86" t="s">
        <v>278</v>
      </c>
      <c r="F25" s="87" t="s">
        <v>139</v>
      </c>
      <c r="G25" s="5" t="str">
        <f t="shared" ref="G25" si="144">C25&amp;F25</f>
        <v>KMTCLCH543030715KG설탕</v>
      </c>
      <c r="H25" s="117">
        <v>46697</v>
      </c>
      <c r="I25" s="105">
        <f t="shared" si="39"/>
        <v>900</v>
      </c>
      <c r="J25" s="105">
        <v>214</v>
      </c>
      <c r="K25" s="27">
        <v>15400</v>
      </c>
      <c r="L25" s="37">
        <f t="shared" ref="L25" si="145">ROUNDUP((K25/Y25),0)</f>
        <v>214</v>
      </c>
      <c r="M25" s="27">
        <v>0</v>
      </c>
      <c r="N25" s="27">
        <v>67</v>
      </c>
      <c r="O25" s="37">
        <f t="shared" ref="O25" si="146">ROUNDUP((N25/Y25),0)</f>
        <v>1</v>
      </c>
      <c r="P25" s="27">
        <v>0</v>
      </c>
      <c r="Q25" s="24">
        <f t="shared" ref="Q25" si="147">S25-N25</f>
        <v>0</v>
      </c>
      <c r="R25" s="39">
        <f t="shared" ref="R25" si="148">ROUNDUP((Q25/Y25),0)</f>
        <v>0</v>
      </c>
      <c r="S25" s="24">
        <f t="shared" ref="S25" si="149">K25-W25-M25</f>
        <v>67</v>
      </c>
      <c r="T25" s="39">
        <f t="shared" ref="T25" si="150">O25+R25</f>
        <v>1</v>
      </c>
      <c r="U25" s="27">
        <v>15333</v>
      </c>
      <c r="V25" s="26">
        <f t="shared" si="46"/>
        <v>0</v>
      </c>
      <c r="W25" s="27">
        <f t="shared" ref="W25" si="151">U25+V25+P25</f>
        <v>15333</v>
      </c>
      <c r="X25" s="28"/>
      <c r="Y25" s="27">
        <v>72</v>
      </c>
      <c r="Z25" s="108">
        <f>B25+AA25</f>
        <v>46019</v>
      </c>
      <c r="AA25" s="157">
        <v>5</v>
      </c>
      <c r="AB25" s="2">
        <v>420</v>
      </c>
      <c r="AC25" s="82">
        <f t="shared" si="57"/>
        <v>0</v>
      </c>
      <c r="AD25" s="2">
        <f t="shared" ref="AD25" ca="1" si="152">IF(A25&gt;TODAY(),"프리타임기간중",T25*AB25*IF(DATE(YEAR(Z25),MONTH(A25),1)&lt;DATE(YEAR($AD$2),MONTH($AD$2),1),DATEDIF($AD$2,$AD$3,"D")+1,DATEDIF(A25,$AD$3+1,"d")))</f>
        <v>12600</v>
      </c>
      <c r="AE25" s="2">
        <f t="shared" ref="AE25" ca="1" si="153">IFERROR(AC25+AD25,"")</f>
        <v>12600</v>
      </c>
    </row>
    <row r="26" spans="1:96" ht="24.95" hidden="1" customHeight="1">
      <c r="A26" s="158">
        <v>46066</v>
      </c>
      <c r="B26" s="109">
        <v>46063</v>
      </c>
      <c r="C26" s="134" t="s">
        <v>292</v>
      </c>
      <c r="D26" s="130" t="s">
        <v>149</v>
      </c>
      <c r="E26" s="86" t="s">
        <v>295</v>
      </c>
      <c r="F26" s="87" t="s">
        <v>139</v>
      </c>
      <c r="G26" s="5" t="str">
        <f t="shared" ref="G26" si="154">C26&amp;F26</f>
        <v>SMLMBKK6A006560015KG설탕</v>
      </c>
      <c r="H26" s="117">
        <v>47845</v>
      </c>
      <c r="I26" s="105">
        <f t="shared" si="39"/>
        <v>900</v>
      </c>
      <c r="J26" s="105">
        <v>214</v>
      </c>
      <c r="K26" s="27">
        <v>15400</v>
      </c>
      <c r="L26" s="37">
        <f t="shared" ref="L26:L28" si="155">ROUNDUP((K26/Y26),0)</f>
        <v>214</v>
      </c>
      <c r="M26" s="27">
        <v>0</v>
      </c>
      <c r="N26" s="27">
        <v>64</v>
      </c>
      <c r="O26" s="37">
        <f t="shared" ref="O26" si="156">ROUNDUP((N26/Y26),0)</f>
        <v>1</v>
      </c>
      <c r="P26" s="27">
        <v>0</v>
      </c>
      <c r="Q26" s="24">
        <f t="shared" ref="Q26" si="157">S26-N26</f>
        <v>0</v>
      </c>
      <c r="R26" s="39">
        <f t="shared" ref="R26" si="158">ROUNDUP((Q26/Y26),0)</f>
        <v>0</v>
      </c>
      <c r="S26" s="24">
        <f t="shared" ref="S26" si="159">K26-W26-M26</f>
        <v>64</v>
      </c>
      <c r="T26" s="39">
        <f t="shared" ref="T26" si="160">O26+R26</f>
        <v>1</v>
      </c>
      <c r="U26" s="27">
        <v>15336</v>
      </c>
      <c r="V26" s="26">
        <f t="shared" si="46"/>
        <v>0</v>
      </c>
      <c r="W26" s="27">
        <f t="shared" ref="W26" si="161">U26+V26+P26</f>
        <v>15336</v>
      </c>
      <c r="X26" s="28"/>
      <c r="Y26" s="27">
        <v>72</v>
      </c>
      <c r="Z26" s="158">
        <f>B26+AA26</f>
        <v>46068</v>
      </c>
      <c r="AA26" s="159">
        <v>5</v>
      </c>
      <c r="AB26" s="2">
        <v>420</v>
      </c>
      <c r="AC26" s="82">
        <f t="shared" si="57"/>
        <v>0</v>
      </c>
      <c r="AD26" s="2">
        <f t="shared" ref="AD26" ca="1" si="162">IF(A26&gt;TODAY(),"프리타임기간중",T26*AB26*IF(DATE(YEAR(Z26),MONTH(A26),1)&lt;DATE(YEAR($AD$2),MONTH($AD$2),1),DATEDIF($AD$2,$AD$3,"D")+1,DATEDIF(A26,$AD$3+1,"d")))</f>
        <v>12600</v>
      </c>
      <c r="AE26" s="2">
        <f t="shared" ref="AE26" ca="1" si="163">IFERROR(AC26+AD26,"")</f>
        <v>12600</v>
      </c>
    </row>
    <row r="27" spans="1:96" ht="24.95" hidden="1" customHeight="1">
      <c r="A27" s="3">
        <v>46091</v>
      </c>
      <c r="B27" s="90">
        <v>46085</v>
      </c>
      <c r="C27" s="131" t="s">
        <v>312</v>
      </c>
      <c r="D27" s="91"/>
      <c r="E27" s="88" t="s">
        <v>133</v>
      </c>
      <c r="F27" s="89" t="s">
        <v>201</v>
      </c>
      <c r="G27" s="5" t="str">
        <f t="shared" ref="G27" si="164">C27&amp;F27</f>
        <v>WTAOINC26033002동결건조 블루베리 분말</v>
      </c>
      <c r="H27" s="117">
        <v>46607</v>
      </c>
      <c r="I27" s="105">
        <f t="shared" si="39"/>
        <v>0</v>
      </c>
      <c r="J27" s="105">
        <v>2</v>
      </c>
      <c r="K27" s="27">
        <v>60</v>
      </c>
      <c r="L27" s="37">
        <f t="shared" si="155"/>
        <v>2</v>
      </c>
      <c r="M27" s="27">
        <v>0</v>
      </c>
      <c r="N27" s="27" t="s">
        <v>493</v>
      </c>
      <c r="O27" s="37">
        <v>0</v>
      </c>
      <c r="P27" s="27">
        <v>0</v>
      </c>
      <c r="Q27" s="24">
        <v>0</v>
      </c>
      <c r="R27" s="39">
        <v>0</v>
      </c>
      <c r="S27" s="24" t="s">
        <v>493</v>
      </c>
      <c r="T27" s="39">
        <f t="shared" ref="T27" si="165">O27+R27</f>
        <v>0</v>
      </c>
      <c r="U27" s="27">
        <v>0</v>
      </c>
      <c r="V27" s="26">
        <f t="shared" si="46"/>
        <v>60</v>
      </c>
      <c r="W27" s="27">
        <f t="shared" ref="W27" si="166">U27+V27+P27</f>
        <v>60</v>
      </c>
      <c r="X27" s="28" t="s">
        <v>319</v>
      </c>
      <c r="Y27" s="27">
        <v>30</v>
      </c>
      <c r="Z27" s="119">
        <v>46091</v>
      </c>
      <c r="AA27" s="2">
        <v>0</v>
      </c>
      <c r="AB27" s="2">
        <v>420</v>
      </c>
      <c r="AC27" s="82">
        <f t="shared" si="57"/>
        <v>0</v>
      </c>
      <c r="AD27" s="2">
        <f t="shared" ref="AD27" ca="1" si="167">IF(A27&gt;TODAY(),"프리타임기간중",T27*AB27*IF(DATE(YEAR(Z27),MONTH(A27),1)&lt;DATE(YEAR($AD$2),MONTH($AD$2),1),DATEDIF($AD$2,$AD$3,"D")+1,DATEDIF(A27,$AD$3+1,"d")))</f>
        <v>0</v>
      </c>
      <c r="AE27" s="2">
        <f t="shared" ref="AE27" ca="1" si="168">IFERROR(AC27+AD27,"")</f>
        <v>0</v>
      </c>
      <c r="AK27" s="121">
        <v>60</v>
      </c>
    </row>
    <row r="28" spans="1:96" ht="24.95" hidden="1" customHeight="1">
      <c r="A28" s="3">
        <v>46093</v>
      </c>
      <c r="B28" s="109">
        <v>46086</v>
      </c>
      <c r="C28" s="134" t="s">
        <v>316</v>
      </c>
      <c r="D28" s="130" t="s">
        <v>149</v>
      </c>
      <c r="E28" s="86" t="s">
        <v>132</v>
      </c>
      <c r="F28" s="87" t="s">
        <v>139</v>
      </c>
      <c r="G28" s="5" t="str">
        <f t="shared" ref="G28" si="169">C28&amp;F28</f>
        <v>SMLMBKK6A030970015KG설탕</v>
      </c>
      <c r="H28" s="117">
        <v>47868</v>
      </c>
      <c r="I28" s="105">
        <f t="shared" si="39"/>
        <v>900</v>
      </c>
      <c r="J28" s="105">
        <f>72+72+71</f>
        <v>215</v>
      </c>
      <c r="K28" s="27">
        <v>15400</v>
      </c>
      <c r="L28" s="37">
        <f t="shared" si="155"/>
        <v>214</v>
      </c>
      <c r="M28" s="27">
        <v>0</v>
      </c>
      <c r="N28" s="27">
        <v>48</v>
      </c>
      <c r="O28" s="37">
        <f>ROUNDUP((N28/Y28),0)</f>
        <v>1</v>
      </c>
      <c r="P28" s="27">
        <v>0</v>
      </c>
      <c r="Q28" s="24">
        <f t="shared" ref="Q28" si="170">S28-N28</f>
        <v>0</v>
      </c>
      <c r="R28" s="39">
        <f t="shared" ref="R28" si="171">ROUNDUP((Q28/Y28),0)</f>
        <v>0</v>
      </c>
      <c r="S28" s="24">
        <f t="shared" ref="S28" si="172">K28-W28-M28</f>
        <v>48</v>
      </c>
      <c r="T28" s="39">
        <f t="shared" ref="T28" si="173">O28+R28</f>
        <v>1</v>
      </c>
      <c r="U28" s="27">
        <v>15352</v>
      </c>
      <c r="V28" s="26">
        <f t="shared" si="46"/>
        <v>0</v>
      </c>
      <c r="W28" s="27">
        <f t="shared" ref="W28" si="174">U28+V28+P28</f>
        <v>15352</v>
      </c>
      <c r="X28" s="28"/>
      <c r="Y28" s="27">
        <v>72</v>
      </c>
      <c r="Z28" s="119">
        <v>46093</v>
      </c>
      <c r="AA28" s="2">
        <v>5</v>
      </c>
      <c r="AB28" s="2">
        <v>420</v>
      </c>
      <c r="AC28" s="82">
        <f t="shared" si="57"/>
        <v>0</v>
      </c>
      <c r="AD28" s="2">
        <f t="shared" ref="AD28" ca="1" si="175">IF(A28&gt;TODAY(),"프리타임기간중",T28*AB28*IF(DATE(YEAR(Z28),MONTH(A28),1)&lt;DATE(YEAR($AD$2),MONTH($AD$2),1),DATEDIF($AD$2,$AD$3,"D")+1,DATEDIF(A28,$AD$3+1,"d")))</f>
        <v>12600</v>
      </c>
      <c r="AE28" s="2">
        <f t="shared" ref="AE28" ca="1" si="176">IFERROR(AC28+AD28,"")</f>
        <v>12600</v>
      </c>
    </row>
    <row r="29" spans="1:96" ht="24.95" hidden="1" customHeight="1">
      <c r="A29" s="3">
        <v>46115</v>
      </c>
      <c r="B29" s="109">
        <v>46093</v>
      </c>
      <c r="C29" s="134" t="s">
        <v>321</v>
      </c>
      <c r="D29" s="130" t="s">
        <v>149</v>
      </c>
      <c r="E29" s="86" t="s">
        <v>340</v>
      </c>
      <c r="F29" s="87" t="s">
        <v>139</v>
      </c>
      <c r="G29" s="5" t="str">
        <f t="shared" ref="G29" si="177">C29&amp;F29</f>
        <v>SMLMBKK6A031060015KG설탕</v>
      </c>
      <c r="H29" s="117">
        <v>47856</v>
      </c>
      <c r="I29" s="105">
        <f t="shared" si="39"/>
        <v>900</v>
      </c>
      <c r="J29" s="105">
        <f>71+72+72</f>
        <v>215</v>
      </c>
      <c r="K29" s="27">
        <v>15400</v>
      </c>
      <c r="L29" s="37">
        <f>ROUNDUP((K29/Y29),0)+1</f>
        <v>215</v>
      </c>
      <c r="M29" s="27">
        <v>0</v>
      </c>
      <c r="N29" s="27">
        <v>56</v>
      </c>
      <c r="O29" s="37">
        <f t="shared" ref="O29:O31" si="178">ROUNDUP((N29/Y29),0)</f>
        <v>1</v>
      </c>
      <c r="P29" s="27">
        <v>0</v>
      </c>
      <c r="Q29" s="24">
        <f t="shared" ref="Q29" si="179">S29-N29</f>
        <v>0</v>
      </c>
      <c r="R29" s="39">
        <f t="shared" ref="R29" si="180">ROUNDUP((Q29/Y29),0)</f>
        <v>0</v>
      </c>
      <c r="S29" s="24">
        <f t="shared" ref="S29" si="181">K29-W29-M29</f>
        <v>56</v>
      </c>
      <c r="T29" s="39">
        <f t="shared" ref="T29" si="182">O29+R29</f>
        <v>1</v>
      </c>
      <c r="U29" s="27">
        <v>15344</v>
      </c>
      <c r="V29" s="26">
        <f t="shared" si="46"/>
        <v>0</v>
      </c>
      <c r="W29" s="27">
        <f t="shared" ref="W29" si="183">U29+V29+P29</f>
        <v>15344</v>
      </c>
      <c r="X29" s="28"/>
      <c r="Y29" s="27">
        <v>72</v>
      </c>
      <c r="Z29" s="119">
        <v>46115</v>
      </c>
      <c r="AA29" s="2">
        <v>5</v>
      </c>
      <c r="AB29" s="2">
        <v>420</v>
      </c>
      <c r="AC29" s="82">
        <f t="shared" si="57"/>
        <v>0</v>
      </c>
      <c r="AD29" s="2">
        <f t="shared" ref="AD29" ca="1" si="184">IF(A29&gt;TODAY(),"프리타임기간중",T29*AB29*IF(DATE(YEAR(Z29),MONTH(A29),1)&lt;DATE(YEAR($AD$2),MONTH($AD$2),1),DATEDIF($AD$2,$AD$3,"D")+1,DATEDIF(A29,$AD$3+1,"d")))</f>
        <v>12600</v>
      </c>
      <c r="AE29" s="2">
        <f t="shared" ref="AE29" ca="1" si="185">IFERROR(AC29+AD29,"")</f>
        <v>12600</v>
      </c>
    </row>
    <row r="30" spans="1:96" ht="24.95" hidden="1" customHeight="1">
      <c r="A30" s="3">
        <v>46115</v>
      </c>
      <c r="B30" s="109">
        <v>46100</v>
      </c>
      <c r="C30" s="134" t="s">
        <v>323</v>
      </c>
      <c r="D30" s="130" t="s">
        <v>149</v>
      </c>
      <c r="E30" s="86" t="s">
        <v>340</v>
      </c>
      <c r="F30" s="87" t="s">
        <v>139</v>
      </c>
      <c r="G30" s="5" t="str">
        <f t="shared" ref="G30:G31" si="186">C30&amp;F30</f>
        <v>SMLMBKK6A052830015KG설탕</v>
      </c>
      <c r="H30" s="117">
        <v>47846</v>
      </c>
      <c r="I30" s="105">
        <f t="shared" si="39"/>
        <v>900</v>
      </c>
      <c r="J30" s="105">
        <f>70+72+72</f>
        <v>214</v>
      </c>
      <c r="K30" s="27">
        <v>15400</v>
      </c>
      <c r="L30" s="37">
        <f>ROUNDUP((K30/Y30),0)</f>
        <v>214</v>
      </c>
      <c r="M30" s="27">
        <v>0</v>
      </c>
      <c r="N30" s="27">
        <f>72-1</f>
        <v>71</v>
      </c>
      <c r="O30" s="37">
        <f>ROUNDUP((N30/Y30),0)</f>
        <v>1</v>
      </c>
      <c r="P30" s="27">
        <v>0</v>
      </c>
      <c r="Q30" s="24">
        <f t="shared" ref="Q30:Q31" si="187">S30-N30</f>
        <v>0</v>
      </c>
      <c r="R30" s="39">
        <f t="shared" ref="R30" si="188">ROUNDUP((Q30/Y30),0)</f>
        <v>0</v>
      </c>
      <c r="S30" s="24">
        <f t="shared" ref="S30:S31" si="189">K30-W30-M30</f>
        <v>71</v>
      </c>
      <c r="T30" s="39">
        <f t="shared" ref="T30:T31" si="190">O30+R30</f>
        <v>1</v>
      </c>
      <c r="U30" s="27">
        <v>15329</v>
      </c>
      <c r="V30" s="26">
        <f t="shared" si="46"/>
        <v>0</v>
      </c>
      <c r="W30" s="27">
        <f t="shared" ref="W30:W31" si="191">U30+V30+P30</f>
        <v>15329</v>
      </c>
      <c r="X30" s="28"/>
      <c r="Y30" s="27">
        <v>72</v>
      </c>
      <c r="Z30" s="119">
        <v>46115</v>
      </c>
      <c r="AA30" s="2">
        <v>5</v>
      </c>
      <c r="AB30" s="2">
        <v>420</v>
      </c>
      <c r="AC30" s="82">
        <f t="shared" si="57"/>
        <v>0</v>
      </c>
      <c r="AD30" s="2">
        <f t="shared" ref="AD30:AD31" ca="1" si="192">IF(A30&gt;TODAY(),"프리타임기간중",T30*AB30*IF(DATE(YEAR(Z30),MONTH(A30),1)&lt;DATE(YEAR($AD$2),MONTH($AD$2),1),DATEDIF($AD$2,$AD$3,"D")+1,DATEDIF(A30,$AD$3+1,"d")))</f>
        <v>12600</v>
      </c>
      <c r="AE30" s="2">
        <f t="shared" ref="AE30:AE31" ca="1" si="193">IFERROR(AC30+AD30,"")</f>
        <v>12600</v>
      </c>
    </row>
    <row r="31" spans="1:96" ht="24.95" hidden="1" customHeight="1">
      <c r="A31" s="3">
        <v>46120</v>
      </c>
      <c r="B31" s="90">
        <v>46098</v>
      </c>
      <c r="C31" s="131" t="s">
        <v>324</v>
      </c>
      <c r="D31" s="91"/>
      <c r="E31" s="88" t="s">
        <v>133</v>
      </c>
      <c r="F31" s="89" t="s">
        <v>187</v>
      </c>
      <c r="G31" s="5" t="str">
        <f t="shared" si="186"/>
        <v>CKCOBKK0044293홀 커널 스위트콘</v>
      </c>
      <c r="H31" s="117">
        <v>47162</v>
      </c>
      <c r="I31" s="105">
        <f t="shared" si="39"/>
        <v>0</v>
      </c>
      <c r="J31" s="105">
        <v>17</v>
      </c>
      <c r="K31" s="27">
        <v>1175</v>
      </c>
      <c r="L31" s="37">
        <f>ROUNDUP((K31/Y31),0)</f>
        <v>17</v>
      </c>
      <c r="M31" s="27">
        <v>0</v>
      </c>
      <c r="N31" s="27">
        <v>0</v>
      </c>
      <c r="O31" s="37">
        <f t="shared" si="178"/>
        <v>0</v>
      </c>
      <c r="P31" s="27">
        <v>0</v>
      </c>
      <c r="Q31" s="24">
        <f t="shared" si="187"/>
        <v>0</v>
      </c>
      <c r="R31" s="39">
        <f t="shared" ref="R31:R34" si="194">ROUNDUP((Q31/Y31),0)</f>
        <v>0</v>
      </c>
      <c r="S31" s="24">
        <f t="shared" si="189"/>
        <v>0</v>
      </c>
      <c r="T31" s="39">
        <f t="shared" si="190"/>
        <v>0</v>
      </c>
      <c r="U31" s="27">
        <v>1</v>
      </c>
      <c r="V31" s="26">
        <f t="shared" si="46"/>
        <v>1174</v>
      </c>
      <c r="W31" s="27">
        <f t="shared" si="191"/>
        <v>1175</v>
      </c>
      <c r="X31" s="28" t="s">
        <v>347</v>
      </c>
      <c r="Y31" s="27">
        <v>72</v>
      </c>
      <c r="Z31" s="119">
        <v>46120</v>
      </c>
      <c r="AA31" s="2">
        <v>0</v>
      </c>
      <c r="AB31" s="2">
        <v>420</v>
      </c>
      <c r="AC31" s="82">
        <f t="shared" si="57"/>
        <v>0</v>
      </c>
      <c r="AD31" s="2">
        <f t="shared" ca="1" si="192"/>
        <v>0</v>
      </c>
      <c r="AE31" s="2">
        <f t="shared" ca="1" si="193"/>
        <v>0</v>
      </c>
      <c r="AH31" s="121">
        <v>720</v>
      </c>
      <c r="BO31" s="121">
        <v>432</v>
      </c>
      <c r="BP31" s="121">
        <v>22</v>
      </c>
    </row>
    <row r="32" spans="1:96" ht="24.95" hidden="1" customHeight="1">
      <c r="A32" s="3">
        <v>46125</v>
      </c>
      <c r="B32" s="90">
        <v>46120</v>
      </c>
      <c r="C32" s="131" t="s">
        <v>346</v>
      </c>
      <c r="D32" s="91"/>
      <c r="E32" s="88" t="s">
        <v>133</v>
      </c>
      <c r="F32" s="89" t="s">
        <v>187</v>
      </c>
      <c r="G32" s="5" t="str">
        <f t="shared" ref="G32" si="195">C32&amp;F32</f>
        <v>CKCOBKK0044593홀 커널 스위트콘</v>
      </c>
      <c r="H32" s="117">
        <v>47164</v>
      </c>
      <c r="I32" s="105">
        <f t="shared" si="39"/>
        <v>8400</v>
      </c>
      <c r="J32" s="105">
        <v>17</v>
      </c>
      <c r="K32" s="27">
        <v>1175</v>
      </c>
      <c r="L32" s="37">
        <f>ROUNDUP((K32/Y32),0)</f>
        <v>17</v>
      </c>
      <c r="M32" s="27">
        <v>0</v>
      </c>
      <c r="N32" s="27">
        <v>0</v>
      </c>
      <c r="O32" s="37">
        <f t="shared" ref="O32" si="196">ROUNDUP((N32/Y32),0)</f>
        <v>0</v>
      </c>
      <c r="P32" s="27">
        <v>0</v>
      </c>
      <c r="Q32" s="24">
        <f t="shared" ref="Q32" si="197">S32-N32</f>
        <v>455</v>
      </c>
      <c r="R32" s="39">
        <f t="shared" si="194"/>
        <v>7</v>
      </c>
      <c r="S32" s="24">
        <f t="shared" ref="S32" si="198">K32-W32-M32</f>
        <v>455</v>
      </c>
      <c r="T32" s="39">
        <f t="shared" ref="T32" si="199">O32+R32</f>
        <v>7</v>
      </c>
      <c r="U32" s="27">
        <v>0</v>
      </c>
      <c r="V32" s="26">
        <f t="shared" si="46"/>
        <v>720</v>
      </c>
      <c r="W32" s="27">
        <f t="shared" ref="W32" si="200">U32+V32+P32</f>
        <v>720</v>
      </c>
      <c r="X32" s="28"/>
      <c r="Y32" s="27">
        <v>72</v>
      </c>
      <c r="Z32" s="119">
        <v>46125</v>
      </c>
      <c r="AA32" s="2">
        <v>0</v>
      </c>
      <c r="AB32" s="2">
        <v>420</v>
      </c>
      <c r="AC32" s="82">
        <f t="shared" si="57"/>
        <v>0</v>
      </c>
      <c r="AD32" s="2">
        <f t="shared" ref="AD32" ca="1" si="201">IF(A32&gt;TODAY(),"프리타임기간중",T32*AB32*IF(DATE(YEAR(Z32),MONTH(A32),1)&lt;DATE(YEAR($AD$2),MONTH($AD$2),1),DATEDIF($AD$2,$AD$3,"D")+1,DATEDIF(A32,$AD$3+1,"d")))</f>
        <v>88200</v>
      </c>
      <c r="AE32" s="2">
        <f t="shared" ref="AE32" ca="1" si="202">IFERROR(AC32+AD32,"")</f>
        <v>88200</v>
      </c>
      <c r="CR32" s="121">
        <v>720</v>
      </c>
    </row>
    <row r="33" spans="1:110" ht="24.95" hidden="1" customHeight="1">
      <c r="A33" s="3">
        <v>46136</v>
      </c>
      <c r="B33" s="109">
        <v>46120</v>
      </c>
      <c r="C33" s="134" t="s">
        <v>345</v>
      </c>
      <c r="D33" s="130" t="s">
        <v>149</v>
      </c>
      <c r="E33" s="86" t="s">
        <v>132</v>
      </c>
      <c r="F33" s="87" t="s">
        <v>150</v>
      </c>
      <c r="G33" s="5" t="str">
        <f t="shared" ref="G33" si="203">C33&amp;F33</f>
        <v>G3S6626030104톤백설탕</v>
      </c>
      <c r="H33" s="117">
        <v>47169</v>
      </c>
      <c r="I33" s="105">
        <f t="shared" si="39"/>
        <v>900</v>
      </c>
      <c r="J33" s="105">
        <v>100</v>
      </c>
      <c r="K33" s="27">
        <v>100</v>
      </c>
      <c r="L33" s="37">
        <f>ROUNDUP((K33/Y33),0)</f>
        <v>100</v>
      </c>
      <c r="M33" s="27">
        <v>0</v>
      </c>
      <c r="N33" s="132">
        <v>1</v>
      </c>
      <c r="O33" s="37">
        <f t="shared" ref="O33" si="204">ROUNDUP((N33/Y33),0)</f>
        <v>1</v>
      </c>
      <c r="P33" s="27">
        <v>0</v>
      </c>
      <c r="Q33" s="24">
        <f t="shared" ref="Q33" si="205">S33-N33</f>
        <v>0</v>
      </c>
      <c r="R33" s="39">
        <f t="shared" si="194"/>
        <v>0</v>
      </c>
      <c r="S33" s="24">
        <f t="shared" ref="S33" si="206">K33-W33-M33</f>
        <v>1</v>
      </c>
      <c r="T33" s="39">
        <f t="shared" ref="T33" si="207">O33+R33</f>
        <v>1</v>
      </c>
      <c r="U33" s="27">
        <v>55</v>
      </c>
      <c r="V33" s="26">
        <f t="shared" si="46"/>
        <v>44</v>
      </c>
      <c r="W33" s="27">
        <f t="shared" ref="W33" si="208">U33+V33+P33</f>
        <v>99</v>
      </c>
      <c r="X33" s="28"/>
      <c r="Y33" s="27">
        <v>1</v>
      </c>
      <c r="Z33" s="119">
        <v>46136</v>
      </c>
      <c r="AA33" s="2">
        <v>5</v>
      </c>
      <c r="AB33" s="2">
        <v>420</v>
      </c>
      <c r="AC33" s="82">
        <f t="shared" si="57"/>
        <v>0</v>
      </c>
      <c r="AD33" s="2">
        <f t="shared" ref="AD33" ca="1" si="209">IF(A33&gt;TODAY(),"프리타임기간중",T33*AB33*IF(DATE(YEAR(Z33),MONTH(A33),1)&lt;DATE(YEAR($AD$2),MONTH($AD$2),1),DATEDIF($AD$2,$AD$3,"D")+1,DATEDIF(A33,$AD$3+1,"d")))</f>
        <v>12600</v>
      </c>
      <c r="AE33" s="2">
        <f t="shared" ref="AE33" ca="1" si="210">IFERROR(AC33+AD33,"")</f>
        <v>12600</v>
      </c>
      <c r="AG33" s="121">
        <v>4</v>
      </c>
      <c r="AI33" s="121">
        <v>4</v>
      </c>
      <c r="AM33" s="121">
        <v>4</v>
      </c>
      <c r="AP33" s="121">
        <v>4</v>
      </c>
      <c r="AU33" s="121">
        <v>5</v>
      </c>
      <c r="AW33" s="121">
        <v>4</v>
      </c>
      <c r="AZ33" s="121">
        <v>4</v>
      </c>
      <c r="BB33" s="1">
        <v>1</v>
      </c>
      <c r="BE33" s="121">
        <v>4</v>
      </c>
      <c r="CB33" s="121">
        <v>4</v>
      </c>
      <c r="CD33" s="121">
        <v>4</v>
      </c>
      <c r="CE33" s="121">
        <v>2</v>
      </c>
    </row>
    <row r="34" spans="1:110" ht="24.95" hidden="1" customHeight="1">
      <c r="A34" s="3">
        <v>46136</v>
      </c>
      <c r="B34" s="109">
        <v>46126</v>
      </c>
      <c r="C34" s="134" t="s">
        <v>351</v>
      </c>
      <c r="D34" s="130" t="s">
        <v>149</v>
      </c>
      <c r="E34" s="86" t="s">
        <v>132</v>
      </c>
      <c r="F34" s="87" t="s">
        <v>139</v>
      </c>
      <c r="G34" s="5" t="str">
        <f t="shared" ref="G34" si="211">C34&amp;F34</f>
        <v>KMTCLCH556299915KG설탕</v>
      </c>
      <c r="H34" s="117">
        <v>46818</v>
      </c>
      <c r="I34" s="105">
        <f t="shared" si="39"/>
        <v>1800</v>
      </c>
      <c r="J34" s="105">
        <f>71+72+72</f>
        <v>215</v>
      </c>
      <c r="K34" s="27">
        <v>15400</v>
      </c>
      <c r="L34" s="37">
        <f>ROUNDUP((K34/Y34),0)+1</f>
        <v>215</v>
      </c>
      <c r="M34" s="27">
        <v>0</v>
      </c>
      <c r="N34" s="27">
        <f>72+23</f>
        <v>95</v>
      </c>
      <c r="O34" s="37">
        <f t="shared" ref="O34" si="212">ROUNDUP((N34/Y34),0)</f>
        <v>2</v>
      </c>
      <c r="P34" s="27">
        <v>0</v>
      </c>
      <c r="Q34" s="24">
        <f t="shared" ref="Q34" si="213">S34-N34</f>
        <v>0</v>
      </c>
      <c r="R34" s="39">
        <f t="shared" si="194"/>
        <v>0</v>
      </c>
      <c r="S34" s="24">
        <f t="shared" ref="S34" si="214">K34-W34-M34</f>
        <v>95</v>
      </c>
      <c r="T34" s="39">
        <f t="shared" ref="T34" si="215">O34+R34</f>
        <v>2</v>
      </c>
      <c r="U34" s="27">
        <v>15305</v>
      </c>
      <c r="V34" s="26">
        <f t="shared" si="46"/>
        <v>0</v>
      </c>
      <c r="W34" s="27">
        <f t="shared" ref="W34" si="216">U34+V34+P34</f>
        <v>15305</v>
      </c>
      <c r="X34" s="28"/>
      <c r="Y34" s="27">
        <v>72</v>
      </c>
      <c r="Z34" s="119">
        <v>46136</v>
      </c>
      <c r="AA34" s="2">
        <v>5</v>
      </c>
      <c r="AB34" s="2">
        <v>420</v>
      </c>
      <c r="AC34" s="82">
        <f t="shared" si="57"/>
        <v>0</v>
      </c>
      <c r="AD34" s="2">
        <f t="shared" ref="AD34" ca="1" si="217">IF(A34&gt;TODAY(),"프리타임기간중",T34*AB34*IF(DATE(YEAR(Z34),MONTH(A34),1)&lt;DATE(YEAR($AD$2),MONTH($AD$2),1),DATEDIF($AD$2,$AD$3,"D")+1,DATEDIF(A34,$AD$3+1,"d")))</f>
        <v>25200</v>
      </c>
      <c r="AE34" s="2">
        <f t="shared" ref="AE34" ca="1" si="218">IFERROR(AC34+AD34,"")</f>
        <v>25200</v>
      </c>
    </row>
    <row r="35" spans="1:110" ht="24.95" hidden="1" customHeight="1">
      <c r="A35" s="3">
        <v>46160</v>
      </c>
      <c r="B35" s="90">
        <v>46132</v>
      </c>
      <c r="C35" s="131" t="s">
        <v>355</v>
      </c>
      <c r="D35" s="91"/>
      <c r="E35" s="88" t="s">
        <v>133</v>
      </c>
      <c r="F35" s="89" t="s">
        <v>352</v>
      </c>
      <c r="G35" s="5" t="str">
        <f t="shared" ref="G35" si="219">C35&amp;F35</f>
        <v>MAEU267673776후르츠칵테일</v>
      </c>
      <c r="H35" s="117">
        <v>46792</v>
      </c>
      <c r="I35" s="105">
        <f t="shared" si="39"/>
        <v>0</v>
      </c>
      <c r="J35" s="105">
        <v>19</v>
      </c>
      <c r="K35" s="27">
        <v>1000</v>
      </c>
      <c r="L35" s="37">
        <f>ROUNDUP((K35/Y35),0)+1</f>
        <v>19</v>
      </c>
      <c r="M35" s="27">
        <v>0</v>
      </c>
      <c r="N35" s="27">
        <v>0</v>
      </c>
      <c r="O35" s="37">
        <f>ROUNDUP((N35/Y35),0)</f>
        <v>0</v>
      </c>
      <c r="P35" s="27">
        <v>0</v>
      </c>
      <c r="Q35" s="24">
        <f t="shared" ref="Q35" si="220">S35-N35</f>
        <v>0</v>
      </c>
      <c r="R35" s="39">
        <f>ROUNDUP((Q35/Y35),0)</f>
        <v>0</v>
      </c>
      <c r="S35" s="24">
        <f t="shared" ref="S35" si="221">K35-W35-M35</f>
        <v>0</v>
      </c>
      <c r="T35" s="39">
        <f t="shared" ref="T35" si="222">O35+R35</f>
        <v>0</v>
      </c>
      <c r="U35" s="27">
        <v>0</v>
      </c>
      <c r="V35" s="26">
        <f t="shared" si="46"/>
        <v>1000</v>
      </c>
      <c r="W35" s="27">
        <f t="shared" ref="W35" si="223">U35+V35+P35</f>
        <v>1000</v>
      </c>
      <c r="X35" s="28" t="s">
        <v>398</v>
      </c>
      <c r="Y35" s="27">
        <v>56</v>
      </c>
      <c r="Z35" s="119">
        <v>46160</v>
      </c>
      <c r="AA35" s="2">
        <v>0</v>
      </c>
      <c r="AB35" s="2">
        <v>420</v>
      </c>
      <c r="AC35" s="82">
        <f t="shared" si="57"/>
        <v>0</v>
      </c>
      <c r="AD35" s="2">
        <f t="shared" ref="AD35" ca="1" si="224">IF(A35&gt;TODAY(),"프리타임기간중",T35*AB35*IF(DATE(YEAR(Z35),MONTH(A35),1)&lt;DATE(YEAR($AD$2),MONTH($AD$2),1),DATEDIF($AD$2,$AD$3,"D")+1,DATEDIF(A35,$AD$3+1,"d")))</f>
        <v>0</v>
      </c>
      <c r="AE35" s="2">
        <f t="shared" ref="AE35" ca="1" si="225">IFERROR(AC35+AD35,"")</f>
        <v>0</v>
      </c>
      <c r="AR35" s="121">
        <v>560</v>
      </c>
      <c r="BR35" s="121">
        <v>392</v>
      </c>
      <c r="BS35" s="121">
        <v>36</v>
      </c>
      <c r="BT35" s="121">
        <v>11</v>
      </c>
      <c r="BU35" s="121">
        <v>1</v>
      </c>
    </row>
    <row r="36" spans="1:110" ht="24.95" hidden="1" customHeight="1">
      <c r="A36" s="3">
        <v>46174</v>
      </c>
      <c r="B36" s="90">
        <v>46170</v>
      </c>
      <c r="C36" s="131" t="s">
        <v>417</v>
      </c>
      <c r="D36" s="91"/>
      <c r="E36" s="88" t="s">
        <v>133</v>
      </c>
      <c r="F36" s="89" t="s">
        <v>204</v>
      </c>
      <c r="G36" s="5" t="str">
        <f>C36&amp;F36</f>
        <v>SJTJ26050065블루베리 믹스필링</v>
      </c>
      <c r="H36" s="117">
        <v>46413</v>
      </c>
      <c r="I36" s="105">
        <f t="shared" si="39"/>
        <v>0</v>
      </c>
      <c r="J36" s="105">
        <v>16</v>
      </c>
      <c r="K36" s="27">
        <v>884</v>
      </c>
      <c r="L36" s="37">
        <f t="shared" ref="L36:L41" si="226">ROUNDUP((K36/Y36),0)</f>
        <v>16</v>
      </c>
      <c r="M36" s="27">
        <v>0</v>
      </c>
      <c r="N36" s="27">
        <v>0</v>
      </c>
      <c r="O36" s="37">
        <f>ROUNDUP((N36/Y36),0)</f>
        <v>0</v>
      </c>
      <c r="P36" s="27">
        <v>0</v>
      </c>
      <c r="Q36" s="24">
        <f t="shared" ref="Q36:Q37" si="227">S36-N36</f>
        <v>0</v>
      </c>
      <c r="R36" s="39">
        <f t="shared" ref="R36:R41" si="228">ROUNDUP((Q36/Y36),0)</f>
        <v>0</v>
      </c>
      <c r="S36" s="24">
        <f t="shared" ref="S36:S37" si="229">K36-W36-M36</f>
        <v>0</v>
      </c>
      <c r="T36" s="39">
        <f t="shared" ref="T36:T37" si="230">O36+R36</f>
        <v>0</v>
      </c>
      <c r="U36" s="27">
        <v>0</v>
      </c>
      <c r="V36" s="26">
        <f t="shared" si="46"/>
        <v>884</v>
      </c>
      <c r="W36" s="27">
        <f t="shared" ref="W36:W37" si="231">U36+V36+P36</f>
        <v>884</v>
      </c>
      <c r="X36" s="28"/>
      <c r="Y36" s="27">
        <v>56</v>
      </c>
      <c r="Z36" s="119">
        <v>46174</v>
      </c>
      <c r="AA36" s="2">
        <v>0</v>
      </c>
      <c r="AB36" s="2">
        <v>420</v>
      </c>
      <c r="AC36" s="82">
        <f t="shared" si="57"/>
        <v>0</v>
      </c>
      <c r="AD36" s="2">
        <f t="shared" ref="AD36:AD37" ca="1" si="232">IF(A36&gt;TODAY(),"프리타임기간중",T36*AB36*IF(DATE(YEAR(Z36),MONTH(A36),1)&lt;DATE(YEAR($AD$2),MONTH($AD$2),1),DATEDIF($AD$2,$AD$3,"D")+1,DATEDIF(A36,$AD$3+1,"d")))</f>
        <v>0</v>
      </c>
      <c r="AE36" s="2">
        <f t="shared" ref="AE36:AE37" ca="1" si="233">IFERROR(AC36+AD36,"")</f>
        <v>0</v>
      </c>
      <c r="BY36" s="121">
        <v>840</v>
      </c>
      <c r="BZ36" s="121">
        <v>44</v>
      </c>
    </row>
    <row r="37" spans="1:110" ht="24.95" hidden="1" customHeight="1">
      <c r="A37" s="3">
        <v>46177</v>
      </c>
      <c r="B37" s="90">
        <v>46169</v>
      </c>
      <c r="C37" s="131" t="s">
        <v>412</v>
      </c>
      <c r="D37" s="91"/>
      <c r="E37" s="88" t="s">
        <v>133</v>
      </c>
      <c r="F37" s="89" t="s">
        <v>352</v>
      </c>
      <c r="G37" s="5" t="str">
        <f t="shared" ref="G37" si="234">C37&amp;F37</f>
        <v>PLIPH4H00211후르츠칵테일</v>
      </c>
      <c r="H37" s="117">
        <v>46856</v>
      </c>
      <c r="I37" s="105">
        <f t="shared" si="39"/>
        <v>33840</v>
      </c>
      <c r="J37" s="105">
        <v>18</v>
      </c>
      <c r="K37" s="27">
        <v>1000</v>
      </c>
      <c r="L37" s="37">
        <f t="shared" si="226"/>
        <v>18</v>
      </c>
      <c r="M37" s="27">
        <v>0</v>
      </c>
      <c r="N37" s="27">
        <v>2</v>
      </c>
      <c r="O37" s="37">
        <f>ROUNDUP((N37/Y37),0)-1</f>
        <v>0</v>
      </c>
      <c r="P37" s="27">
        <v>0</v>
      </c>
      <c r="Q37" s="24">
        <f t="shared" si="227"/>
        <v>998</v>
      </c>
      <c r="R37" s="39">
        <f t="shared" si="228"/>
        <v>18</v>
      </c>
      <c r="S37" s="24">
        <f t="shared" si="229"/>
        <v>1000</v>
      </c>
      <c r="T37" s="39">
        <f t="shared" si="230"/>
        <v>18</v>
      </c>
      <c r="U37" s="27">
        <v>0</v>
      </c>
      <c r="V37" s="26">
        <f t="shared" si="46"/>
        <v>0</v>
      </c>
      <c r="W37" s="27">
        <f t="shared" si="231"/>
        <v>0</v>
      </c>
      <c r="X37" s="156" t="s">
        <v>436</v>
      </c>
      <c r="Y37" s="27">
        <v>56</v>
      </c>
      <c r="Z37" s="119">
        <v>46177</v>
      </c>
      <c r="AA37" s="2">
        <v>0</v>
      </c>
      <c r="AB37" s="2">
        <v>420</v>
      </c>
      <c r="AC37" s="82">
        <f t="shared" si="57"/>
        <v>0</v>
      </c>
      <c r="AD37" s="2">
        <f t="shared" ca="1" si="232"/>
        <v>355320</v>
      </c>
      <c r="AE37" s="2">
        <f t="shared" ca="1" si="233"/>
        <v>355320</v>
      </c>
    </row>
    <row r="38" spans="1:110" ht="24.95" hidden="1" customHeight="1">
      <c r="A38" s="3">
        <v>46182</v>
      </c>
      <c r="B38" s="90">
        <v>46168</v>
      </c>
      <c r="C38" s="131" t="s">
        <v>413</v>
      </c>
      <c r="D38" s="91"/>
      <c r="E38" s="88" t="s">
        <v>133</v>
      </c>
      <c r="F38" s="89" t="s">
        <v>352</v>
      </c>
      <c r="G38" s="5" t="str">
        <f t="shared" ref="G38" si="235">C38&amp;F38</f>
        <v>CPC0270678후르츠칵테일</v>
      </c>
      <c r="H38" s="117">
        <v>46835</v>
      </c>
      <c r="I38" s="105">
        <f t="shared" si="39"/>
        <v>13440</v>
      </c>
      <c r="J38" s="105">
        <v>18</v>
      </c>
      <c r="K38" s="27">
        <v>1000</v>
      </c>
      <c r="L38" s="37">
        <f t="shared" si="226"/>
        <v>18</v>
      </c>
      <c r="M38" s="27">
        <v>0</v>
      </c>
      <c r="N38" s="27">
        <v>1</v>
      </c>
      <c r="O38" s="37">
        <f>ROUNDUP((N38/Y38),0)-1</f>
        <v>0</v>
      </c>
      <c r="P38" s="27">
        <v>0</v>
      </c>
      <c r="Q38" s="24">
        <f t="shared" ref="Q38" si="236">S38-N38</f>
        <v>439</v>
      </c>
      <c r="R38" s="39">
        <f t="shared" si="228"/>
        <v>8</v>
      </c>
      <c r="S38" s="24">
        <f t="shared" ref="S38" si="237">K38-W38-M38</f>
        <v>440</v>
      </c>
      <c r="T38" s="39">
        <f t="shared" ref="T38" si="238">O38+R38</f>
        <v>8</v>
      </c>
      <c r="U38" s="27">
        <v>0</v>
      </c>
      <c r="V38" s="26">
        <f t="shared" si="46"/>
        <v>560</v>
      </c>
      <c r="W38" s="27">
        <f t="shared" ref="W38" si="239">U38+V38+P38</f>
        <v>560</v>
      </c>
      <c r="X38" s="28" t="s">
        <v>423</v>
      </c>
      <c r="Y38" s="27">
        <v>56</v>
      </c>
      <c r="Z38" s="119">
        <v>46182</v>
      </c>
      <c r="AA38" s="2">
        <v>0</v>
      </c>
      <c r="AB38" s="2">
        <v>420</v>
      </c>
      <c r="AC38" s="82">
        <f t="shared" si="57"/>
        <v>0</v>
      </c>
      <c r="AD38" s="2">
        <f t="shared" ref="AD38" ca="1" si="240">IF(A38&gt;TODAY(),"프리타임기간중",T38*AB38*IF(DATE(YEAR(Z38),MONTH(A38),1)&lt;DATE(YEAR($AD$2),MONTH($AD$2),1),DATEDIF($AD$2,$AD$3,"D")+1,DATEDIF(A38,$AD$3+1,"d")))</f>
        <v>141120</v>
      </c>
      <c r="AE38" s="2">
        <f t="shared" ref="AE38" ca="1" si="241">IFERROR(AC38+AD38,"")</f>
        <v>141120</v>
      </c>
      <c r="CX38" s="121">
        <v>560</v>
      </c>
    </row>
    <row r="39" spans="1:110" ht="24.95" hidden="1" customHeight="1">
      <c r="A39" s="3">
        <v>46189</v>
      </c>
      <c r="B39" s="90">
        <v>46184</v>
      </c>
      <c r="C39" s="131" t="s">
        <v>470</v>
      </c>
      <c r="D39" s="91"/>
      <c r="E39" s="88" t="s">
        <v>133</v>
      </c>
      <c r="F39" s="89" t="s">
        <v>187</v>
      </c>
      <c r="G39" s="5" t="str">
        <f t="shared" ref="G39:G40" si="242">C39&amp;F39</f>
        <v>CKCOBKK0045524홀 커널 스위트콘</v>
      </c>
      <c r="H39" s="117">
        <v>47195</v>
      </c>
      <c r="I39" s="105">
        <f t="shared" si="39"/>
        <v>23800</v>
      </c>
      <c r="J39" s="105">
        <v>17</v>
      </c>
      <c r="K39" s="27">
        <v>1175</v>
      </c>
      <c r="L39" s="37">
        <f t="shared" si="226"/>
        <v>17</v>
      </c>
      <c r="M39" s="27">
        <v>0</v>
      </c>
      <c r="N39" s="27">
        <v>0</v>
      </c>
      <c r="O39" s="37">
        <f>ROUNDUP((N39/Y39),0)</f>
        <v>0</v>
      </c>
      <c r="P39" s="27">
        <v>0</v>
      </c>
      <c r="Q39" s="24">
        <f t="shared" ref="Q39:Q40" si="243">S39-N39</f>
        <v>1175</v>
      </c>
      <c r="R39" s="39">
        <f t="shared" si="228"/>
        <v>17</v>
      </c>
      <c r="S39" s="24">
        <f t="shared" ref="S39:S40" si="244">K39-W39-M39</f>
        <v>1175</v>
      </c>
      <c r="T39" s="39">
        <f t="shared" ref="T39:T40" si="245">O39+R39</f>
        <v>17</v>
      </c>
      <c r="U39" s="27">
        <v>0</v>
      </c>
      <c r="V39" s="26">
        <f t="shared" si="46"/>
        <v>0</v>
      </c>
      <c r="W39" s="27">
        <f t="shared" ref="W39:W40" si="246">U39+V39+P39</f>
        <v>0</v>
      </c>
      <c r="X39" s="28"/>
      <c r="Y39" s="27">
        <v>72</v>
      </c>
      <c r="Z39" s="119">
        <v>46189</v>
      </c>
      <c r="AA39" s="2">
        <v>0</v>
      </c>
      <c r="AB39" s="2">
        <v>420</v>
      </c>
      <c r="AC39" s="82">
        <f t="shared" si="57"/>
        <v>0</v>
      </c>
      <c r="AD39" s="2">
        <f t="shared" ref="AD39:AD40" ca="1" si="247">IF(A39&gt;TODAY(),"프리타임기간중",T39*AB39*IF(DATE(YEAR(Z39),MONTH(A39),1)&lt;DATE(YEAR($AD$2),MONTH($AD$2),1),DATEDIF($AD$2,$AD$3,"D")+1,DATEDIF(A39,$AD$3+1,"d")))</f>
        <v>249900</v>
      </c>
      <c r="AE39" s="2">
        <f t="shared" ref="AE39:AE40" ca="1" si="248">IFERROR(AC39+AD39,"")</f>
        <v>249900</v>
      </c>
    </row>
    <row r="40" spans="1:110" ht="24.95" hidden="1" customHeight="1">
      <c r="A40" s="3">
        <v>46191</v>
      </c>
      <c r="B40" s="90">
        <v>46183</v>
      </c>
      <c r="C40" s="131" t="s">
        <v>464</v>
      </c>
      <c r="D40" s="91"/>
      <c r="E40" s="88" t="s">
        <v>133</v>
      </c>
      <c r="F40" s="89" t="s">
        <v>352</v>
      </c>
      <c r="G40" s="5" t="str">
        <f t="shared" si="242"/>
        <v>PLIPH4H00226후르츠칵테일</v>
      </c>
      <c r="H40" s="117">
        <v>46863</v>
      </c>
      <c r="I40" s="105">
        <f t="shared" si="39"/>
        <v>23760</v>
      </c>
      <c r="J40" s="105">
        <v>18</v>
      </c>
      <c r="K40" s="27">
        <v>1000</v>
      </c>
      <c r="L40" s="37">
        <f t="shared" si="226"/>
        <v>18</v>
      </c>
      <c r="M40" s="27">
        <v>0</v>
      </c>
      <c r="N40" s="27">
        <v>1</v>
      </c>
      <c r="O40" s="37">
        <f>ROUNDUP((N40/Y40),0)-1</f>
        <v>0</v>
      </c>
      <c r="P40" s="27">
        <v>0</v>
      </c>
      <c r="Q40" s="24">
        <f t="shared" si="243"/>
        <v>999</v>
      </c>
      <c r="R40" s="39">
        <f t="shared" si="228"/>
        <v>18</v>
      </c>
      <c r="S40" s="24">
        <f t="shared" si="244"/>
        <v>1000</v>
      </c>
      <c r="T40" s="39">
        <f t="shared" si="245"/>
        <v>18</v>
      </c>
      <c r="U40" s="27">
        <v>0</v>
      </c>
      <c r="V40" s="26">
        <f t="shared" si="46"/>
        <v>0</v>
      </c>
      <c r="W40" s="27">
        <f t="shared" si="246"/>
        <v>0</v>
      </c>
      <c r="X40" s="28" t="s">
        <v>467</v>
      </c>
      <c r="Y40" s="27">
        <v>56</v>
      </c>
      <c r="Z40" s="119">
        <v>46191</v>
      </c>
      <c r="AA40" s="2">
        <v>0</v>
      </c>
      <c r="AB40" s="2">
        <v>420</v>
      </c>
      <c r="AC40" s="82">
        <f t="shared" si="57"/>
        <v>0</v>
      </c>
      <c r="AD40" s="2">
        <f t="shared" ca="1" si="247"/>
        <v>249480</v>
      </c>
      <c r="AE40" s="2">
        <f t="shared" ca="1" si="248"/>
        <v>249480</v>
      </c>
    </row>
    <row r="41" spans="1:110" ht="24.95" hidden="1" customHeight="1">
      <c r="A41" s="3">
        <v>46195</v>
      </c>
      <c r="B41" s="109">
        <v>46184</v>
      </c>
      <c r="C41" s="134" t="s">
        <v>469</v>
      </c>
      <c r="D41" s="130"/>
      <c r="E41" s="86" t="s">
        <v>132</v>
      </c>
      <c r="F41" s="87" t="s">
        <v>139</v>
      </c>
      <c r="G41" s="5" t="str">
        <f t="shared" ref="G41:G42" si="249">C41&amp;F41</f>
        <v>KMTCLCH564956315KG설탕</v>
      </c>
      <c r="H41" s="117">
        <v>46871</v>
      </c>
      <c r="I41" s="105">
        <f t="shared" si="39"/>
        <v>870</v>
      </c>
      <c r="J41" s="105">
        <v>215</v>
      </c>
      <c r="K41" s="27">
        <v>15400</v>
      </c>
      <c r="L41" s="37">
        <f t="shared" si="226"/>
        <v>214</v>
      </c>
      <c r="M41" s="27">
        <v>0</v>
      </c>
      <c r="N41" s="27">
        <v>20</v>
      </c>
      <c r="O41" s="37">
        <v>1</v>
      </c>
      <c r="P41" s="27">
        <v>0</v>
      </c>
      <c r="Q41" s="24">
        <f t="shared" ref="Q41:Q42" si="250">S41-N41</f>
        <v>0</v>
      </c>
      <c r="R41" s="39">
        <f t="shared" si="228"/>
        <v>0</v>
      </c>
      <c r="S41" s="24">
        <f t="shared" ref="S41:S42" si="251">K41-W41-M41</f>
        <v>20</v>
      </c>
      <c r="T41" s="39">
        <f t="shared" ref="T41:T42" si="252">O41+R41</f>
        <v>1</v>
      </c>
      <c r="U41" s="27">
        <v>0</v>
      </c>
      <c r="V41" s="26">
        <f t="shared" si="46"/>
        <v>15380</v>
      </c>
      <c r="W41" s="27">
        <f t="shared" ref="W41:W42" si="253">U41+V41+P41</f>
        <v>15380</v>
      </c>
      <c r="X41" s="28"/>
      <c r="Y41" s="27">
        <v>72</v>
      </c>
      <c r="Z41" s="119">
        <v>46195</v>
      </c>
      <c r="AA41" s="2">
        <v>5</v>
      </c>
      <c r="AB41" s="2">
        <v>420</v>
      </c>
      <c r="AC41" s="82">
        <f t="shared" si="57"/>
        <v>0</v>
      </c>
      <c r="AD41" s="2">
        <f t="shared" ref="AD41:AD42" ca="1" si="254">IF(A41&gt;TODAY(),"프리타임기간중",T41*AB41*IF(DATE(YEAR(Z41),MONTH(A41),1)&lt;DATE(YEAR($AD$2),MONTH($AD$2),1),DATEDIF($AD$2,$AD$3,"D")+1,DATEDIF(A41,$AD$3+1,"d")))</f>
        <v>12180</v>
      </c>
      <c r="AE41" s="2">
        <f t="shared" ref="AE41:AE42" ca="1" si="255">IFERROR(AC41+AD41,"")</f>
        <v>12180</v>
      </c>
      <c r="AL41" s="1">
        <f>72*7</f>
        <v>504</v>
      </c>
      <c r="AN41" s="121">
        <v>1152</v>
      </c>
      <c r="AO41" s="121">
        <v>864</v>
      </c>
      <c r="AQ41" s="121">
        <v>1152</v>
      </c>
      <c r="AS41" s="121">
        <v>1152</v>
      </c>
      <c r="AT41" s="121">
        <v>432</v>
      </c>
      <c r="AV41" s="121">
        <v>720</v>
      </c>
      <c r="AX41" s="121">
        <v>1152</v>
      </c>
      <c r="AY41" s="121">
        <v>1152</v>
      </c>
      <c r="BA41" s="121">
        <v>1152</v>
      </c>
      <c r="BC41" s="121">
        <v>720</v>
      </c>
      <c r="BD41" s="121">
        <v>720</v>
      </c>
      <c r="BF41" s="121">
        <v>1152</v>
      </c>
      <c r="BG41" s="121">
        <v>1152</v>
      </c>
      <c r="BH41" s="121">
        <v>1152</v>
      </c>
      <c r="BI41" s="121">
        <v>1008</v>
      </c>
      <c r="BJ41" s="121">
        <v>44</v>
      </c>
    </row>
    <row r="42" spans="1:110" ht="24.95" hidden="1" customHeight="1">
      <c r="A42" s="3">
        <v>46195</v>
      </c>
      <c r="B42" s="90">
        <v>46189</v>
      </c>
      <c r="C42" s="131" t="s">
        <v>486</v>
      </c>
      <c r="D42" s="91"/>
      <c r="E42" s="88" t="s">
        <v>133</v>
      </c>
      <c r="F42" s="89" t="s">
        <v>204</v>
      </c>
      <c r="G42" s="5" t="str">
        <f t="shared" si="249"/>
        <v>SJTJ26060025블루베리 믹스필링</v>
      </c>
      <c r="H42" s="117">
        <v>46438</v>
      </c>
      <c r="I42" s="105">
        <f t="shared" si="39"/>
        <v>18560</v>
      </c>
      <c r="J42" s="105">
        <v>16</v>
      </c>
      <c r="K42" s="27">
        <v>884</v>
      </c>
      <c r="L42" s="37">
        <f t="shared" ref="L42" si="256">ROUNDUP((K42/Y42),0)</f>
        <v>16</v>
      </c>
      <c r="M42" s="27">
        <v>0</v>
      </c>
      <c r="N42" s="27">
        <v>0</v>
      </c>
      <c r="O42" s="37">
        <f>ROUNDUP((N42/Y42),0)</f>
        <v>0</v>
      </c>
      <c r="P42" s="27">
        <v>0</v>
      </c>
      <c r="Q42" s="24">
        <f t="shared" si="250"/>
        <v>884</v>
      </c>
      <c r="R42" s="39">
        <f t="shared" ref="R42" si="257">ROUNDUP((Q42/Y42),0)</f>
        <v>16</v>
      </c>
      <c r="S42" s="24">
        <f t="shared" si="251"/>
        <v>884</v>
      </c>
      <c r="T42" s="39">
        <f t="shared" si="252"/>
        <v>16</v>
      </c>
      <c r="U42" s="27">
        <v>0</v>
      </c>
      <c r="V42" s="26">
        <f t="shared" si="46"/>
        <v>0</v>
      </c>
      <c r="W42" s="27">
        <f t="shared" si="253"/>
        <v>0</v>
      </c>
      <c r="X42" s="28"/>
      <c r="Y42" s="27">
        <v>56</v>
      </c>
      <c r="Z42" s="119">
        <v>46195</v>
      </c>
      <c r="AA42" s="2">
        <v>0</v>
      </c>
      <c r="AB42" s="2">
        <v>420</v>
      </c>
      <c r="AC42" s="82">
        <f t="shared" si="57"/>
        <v>0</v>
      </c>
      <c r="AD42" s="2">
        <f t="shared" ca="1" si="254"/>
        <v>194880</v>
      </c>
      <c r="AE42" s="2">
        <f t="shared" ca="1" si="255"/>
        <v>194880</v>
      </c>
    </row>
    <row r="43" spans="1:110" ht="24.95" hidden="1" customHeight="1">
      <c r="A43" s="3">
        <v>46195</v>
      </c>
      <c r="B43" s="109">
        <v>46188</v>
      </c>
      <c r="C43" s="134" t="s">
        <v>479</v>
      </c>
      <c r="D43" s="130"/>
      <c r="E43" s="86" t="s">
        <v>132</v>
      </c>
      <c r="F43" s="87" t="s">
        <v>139</v>
      </c>
      <c r="G43" s="5" t="str">
        <f t="shared" ref="G43" si="258">C43&amp;F43</f>
        <v>CKCOLCH005327815KG설탕</v>
      </c>
      <c r="H43" s="117">
        <v>47979</v>
      </c>
      <c r="I43" s="105">
        <f t="shared" si="39"/>
        <v>1740</v>
      </c>
      <c r="J43" s="105">
        <v>215</v>
      </c>
      <c r="K43" s="27">
        <v>15400</v>
      </c>
      <c r="L43" s="37">
        <f t="shared" ref="L43" si="259">ROUNDUP((K43/Y43),0)</f>
        <v>214</v>
      </c>
      <c r="M43" s="27">
        <v>0</v>
      </c>
      <c r="N43" s="27">
        <f>72+22</f>
        <v>94</v>
      </c>
      <c r="O43" s="37">
        <f>ROUNDUP((N43/Y43),0)</f>
        <v>2</v>
      </c>
      <c r="P43" s="27">
        <v>0</v>
      </c>
      <c r="Q43" s="24">
        <f t="shared" ref="Q43" si="260">S43-N43</f>
        <v>0</v>
      </c>
      <c r="R43" s="39">
        <f t="shared" ref="R43" si="261">ROUNDUP((Q43/Y43),0)</f>
        <v>0</v>
      </c>
      <c r="S43" s="24">
        <f t="shared" ref="S43" si="262">K43-W43-M43</f>
        <v>94</v>
      </c>
      <c r="T43" s="39">
        <f t="shared" ref="T43" si="263">O43+R43</f>
        <v>2</v>
      </c>
      <c r="U43" s="27">
        <v>0</v>
      </c>
      <c r="V43" s="26">
        <f t="shared" si="46"/>
        <v>15306</v>
      </c>
      <c r="W43" s="27">
        <f t="shared" ref="W43" si="264">U43+V43+P43</f>
        <v>15306</v>
      </c>
      <c r="X43" s="28"/>
      <c r="Y43" s="27">
        <v>72</v>
      </c>
      <c r="Z43" s="119">
        <v>46195</v>
      </c>
      <c r="AA43" s="2">
        <v>5</v>
      </c>
      <c r="AB43" s="2">
        <v>420</v>
      </c>
      <c r="AC43" s="82">
        <f t="shared" si="57"/>
        <v>0</v>
      </c>
      <c r="AD43" s="2">
        <f t="shared" ref="AD43" ca="1" si="265">IF(A43&gt;TODAY(),"프리타임기간중",T43*AB43*IF(DATE(YEAR(Z43),MONTH(A43),1)&lt;DATE(YEAR($AD$2),MONTH($AD$2),1),DATEDIF($AD$2,$AD$3,"D")+1,DATEDIF(A43,$AD$3+1,"d")))</f>
        <v>24360</v>
      </c>
      <c r="AE43" s="2">
        <f t="shared" ref="AE43" ca="1" si="266">IFERROR(AC43+AD43,"")</f>
        <v>24360</v>
      </c>
      <c r="BK43" s="121">
        <v>28</v>
      </c>
      <c r="BL43" s="121">
        <v>72</v>
      </c>
      <c r="BQ43" s="121">
        <v>1152</v>
      </c>
      <c r="BV43" s="121">
        <v>1152</v>
      </c>
      <c r="BW43" s="121">
        <v>1152</v>
      </c>
      <c r="BX43" s="121">
        <v>1152</v>
      </c>
      <c r="CA43" s="121">
        <v>720</v>
      </c>
      <c r="CC43" s="121">
        <v>720</v>
      </c>
      <c r="CF43" s="121">
        <v>864</v>
      </c>
      <c r="CG43" s="121">
        <v>1152</v>
      </c>
      <c r="CJ43" s="121">
        <v>720</v>
      </c>
      <c r="CK43" s="121">
        <v>1152</v>
      </c>
      <c r="CL43" s="121">
        <v>1152</v>
      </c>
      <c r="CM43" s="121">
        <v>864</v>
      </c>
      <c r="CN43" s="121">
        <v>864</v>
      </c>
      <c r="CO43" s="121">
        <v>1152</v>
      </c>
      <c r="CP43" s="121">
        <v>864</v>
      </c>
      <c r="CS43" s="121">
        <v>360</v>
      </c>
      <c r="CT43" s="121">
        <v>14</v>
      </c>
    </row>
    <row r="44" spans="1:110" ht="24.95" hidden="1" customHeight="1">
      <c r="A44" s="3">
        <v>46195</v>
      </c>
      <c r="B44" s="90">
        <v>46190</v>
      </c>
      <c r="C44" s="131" t="s">
        <v>481</v>
      </c>
      <c r="D44" s="91"/>
      <c r="E44" s="88" t="s">
        <v>132</v>
      </c>
      <c r="F44" s="89" t="s">
        <v>139</v>
      </c>
      <c r="G44" s="5" t="str">
        <f t="shared" ref="G44:G45" si="267">C44&amp;F44</f>
        <v>KMTCLCH565573315KG설탕</v>
      </c>
      <c r="H44" s="117">
        <v>46894</v>
      </c>
      <c r="I44" s="105">
        <f t="shared" si="39"/>
        <v>63510</v>
      </c>
      <c r="J44" s="105">
        <f>72+72+71</f>
        <v>215</v>
      </c>
      <c r="K44" s="27">
        <v>15400</v>
      </c>
      <c r="L44" s="37">
        <f t="shared" ref="L44:L45" si="268">ROUNDUP((K44/Y44),0)</f>
        <v>214</v>
      </c>
      <c r="M44" s="27">
        <v>0</v>
      </c>
      <c r="N44" s="27">
        <v>62</v>
      </c>
      <c r="O44" s="37">
        <f>ROUNDUP((N44/Y44),0)</f>
        <v>1</v>
      </c>
      <c r="P44" s="27">
        <v>0</v>
      </c>
      <c r="Q44" s="24">
        <f t="shared" ref="Q44:Q45" si="269">S44-N44</f>
        <v>5114</v>
      </c>
      <c r="R44" s="39">
        <f t="shared" ref="R44:R45" si="270">ROUNDUP((Q44/Y44),0)</f>
        <v>72</v>
      </c>
      <c r="S44" s="24">
        <f t="shared" ref="S44:S45" si="271">K44-W44-M44</f>
        <v>5176</v>
      </c>
      <c r="T44" s="39">
        <f t="shared" ref="T44:T45" si="272">O44+R44</f>
        <v>73</v>
      </c>
      <c r="U44" s="27">
        <v>0</v>
      </c>
      <c r="V44" s="26">
        <f t="shared" si="46"/>
        <v>10224</v>
      </c>
      <c r="W44" s="27">
        <f t="shared" ref="W44:W45" si="273">U44+V44+P44</f>
        <v>10224</v>
      </c>
      <c r="X44" s="28"/>
      <c r="Y44" s="27">
        <v>72</v>
      </c>
      <c r="Z44" s="119">
        <f>B44+AA44</f>
        <v>46195</v>
      </c>
      <c r="AA44" s="2">
        <v>5</v>
      </c>
      <c r="AB44" s="2">
        <v>420</v>
      </c>
      <c r="AC44" s="82">
        <f t="shared" si="57"/>
        <v>0</v>
      </c>
      <c r="AD44" s="2">
        <f t="shared" ref="AD44:AD45" ca="1" si="274">IF(A44&gt;TODAY(),"프리타임기간중",T44*AB44*IF(DATE(YEAR(Z44),MONTH(A44),1)&lt;DATE(YEAR($AD$2),MONTH($AD$2),1),DATEDIF($AD$2,$AD$3,"D")+1,DATEDIF(A44,$AD$3+1,"d")))</f>
        <v>889140</v>
      </c>
      <c r="AE44" s="2">
        <f t="shared" ref="AE44:AE45" ca="1" si="275">IFERROR(AC44+AD44,"")</f>
        <v>889140</v>
      </c>
      <c r="CU44" s="121">
        <v>792</v>
      </c>
      <c r="CV44" s="121">
        <v>1152</v>
      </c>
      <c r="CW44" s="121">
        <v>1152</v>
      </c>
      <c r="CY44" s="121">
        <v>432</v>
      </c>
      <c r="CZ44" s="121">
        <v>360</v>
      </c>
      <c r="DA44" s="121">
        <v>1152</v>
      </c>
      <c r="DB44" s="121">
        <v>1152</v>
      </c>
      <c r="DC44" s="121">
        <v>1152</v>
      </c>
      <c r="DD44" s="121">
        <f>72*12</f>
        <v>864</v>
      </c>
      <c r="DE44" s="121">
        <v>1152</v>
      </c>
      <c r="DF44" s="121">
        <v>864</v>
      </c>
    </row>
    <row r="45" spans="1:110" ht="24.95" hidden="1" customHeight="1">
      <c r="A45" s="3">
        <v>46198</v>
      </c>
      <c r="B45" s="90">
        <v>46197</v>
      </c>
      <c r="C45" s="131" t="s">
        <v>541</v>
      </c>
      <c r="D45" s="91"/>
      <c r="E45" s="88" t="s">
        <v>133</v>
      </c>
      <c r="F45" s="89" t="s">
        <v>527</v>
      </c>
      <c r="G45" s="5" t="str">
        <f t="shared" si="267"/>
        <v>JCSCFE759E029정성가득 통팥앙금</v>
      </c>
      <c r="H45" s="117">
        <v>46549</v>
      </c>
      <c r="I45" s="105">
        <f t="shared" si="39"/>
        <v>18720</v>
      </c>
      <c r="J45" s="105">
        <v>18</v>
      </c>
      <c r="K45" s="27">
        <v>1000</v>
      </c>
      <c r="L45" s="37">
        <f t="shared" si="268"/>
        <v>18</v>
      </c>
      <c r="M45" s="27">
        <v>0</v>
      </c>
      <c r="N45" s="27">
        <v>0</v>
      </c>
      <c r="O45" s="37">
        <f>ROUNDUP((N45/Y45),0)</f>
        <v>0</v>
      </c>
      <c r="P45" s="27">
        <v>0</v>
      </c>
      <c r="Q45" s="24">
        <f t="shared" si="269"/>
        <v>1000</v>
      </c>
      <c r="R45" s="39">
        <f t="shared" si="270"/>
        <v>18</v>
      </c>
      <c r="S45" s="24">
        <f t="shared" si="271"/>
        <v>1000</v>
      </c>
      <c r="T45" s="39">
        <f t="shared" si="272"/>
        <v>18</v>
      </c>
      <c r="U45" s="27">
        <v>0</v>
      </c>
      <c r="V45" s="26">
        <f t="shared" si="46"/>
        <v>0</v>
      </c>
      <c r="W45" s="27">
        <f t="shared" si="273"/>
        <v>0</v>
      </c>
      <c r="X45" s="28"/>
      <c r="Y45" s="27">
        <v>56</v>
      </c>
      <c r="Z45" s="119">
        <v>46198</v>
      </c>
      <c r="AA45" s="2">
        <v>0</v>
      </c>
      <c r="AB45" s="2">
        <v>420</v>
      </c>
      <c r="AC45" s="82">
        <f t="shared" si="57"/>
        <v>0</v>
      </c>
      <c r="AD45" s="2">
        <f t="shared" ca="1" si="274"/>
        <v>196560</v>
      </c>
      <c r="AE45" s="2">
        <f t="shared" ca="1" si="275"/>
        <v>196560</v>
      </c>
    </row>
    <row r="46" spans="1:110" ht="24.95" hidden="1" customHeight="1">
      <c r="A46" s="3">
        <v>46204</v>
      </c>
      <c r="B46" s="90">
        <v>46182</v>
      </c>
      <c r="C46" s="131" t="s">
        <v>463</v>
      </c>
      <c r="D46" s="91"/>
      <c r="E46" s="88" t="s">
        <v>133</v>
      </c>
      <c r="F46" s="89" t="s">
        <v>253</v>
      </c>
      <c r="G46" s="5" t="str">
        <f t="shared" ref="G46" si="276">C46&amp;F46</f>
        <v>GXAUS26052399블루컬러</v>
      </c>
      <c r="H46" s="117" t="s">
        <v>604</v>
      </c>
      <c r="I46" s="105">
        <f t="shared" si="39"/>
        <v>800</v>
      </c>
      <c r="J46" s="105">
        <v>1</v>
      </c>
      <c r="K46" s="27">
        <v>15</v>
      </c>
      <c r="L46" s="37">
        <f t="shared" ref="L46" si="277">ROUNDUP((K46/Y46),0)</f>
        <v>1</v>
      </c>
      <c r="M46" s="27">
        <v>0</v>
      </c>
      <c r="N46" s="27">
        <v>1</v>
      </c>
      <c r="O46" s="37">
        <f>ROUNDUP((N46/Y46),0)-1</f>
        <v>0</v>
      </c>
      <c r="P46" s="27">
        <v>0</v>
      </c>
      <c r="Q46" s="24">
        <f t="shared" ref="Q46" si="278">S46-N46</f>
        <v>14</v>
      </c>
      <c r="R46" s="39">
        <f t="shared" ref="R46" si="279">ROUNDUP((Q46/Y46),0)</f>
        <v>1</v>
      </c>
      <c r="S46" s="24">
        <f t="shared" ref="S46" si="280">K46-W46-M46</f>
        <v>15</v>
      </c>
      <c r="T46" s="39">
        <f t="shared" ref="T46" si="281">O46+R46</f>
        <v>1</v>
      </c>
      <c r="U46" s="27">
        <v>0</v>
      </c>
      <c r="V46" s="26">
        <f t="shared" si="46"/>
        <v>0</v>
      </c>
      <c r="W46" s="27">
        <f t="shared" ref="W46" si="282">U46+V46+P46</f>
        <v>0</v>
      </c>
      <c r="X46" s="28" t="s">
        <v>605</v>
      </c>
      <c r="Y46" s="27">
        <v>15</v>
      </c>
      <c r="Z46" s="119">
        <v>46204</v>
      </c>
      <c r="AA46" s="2">
        <v>0</v>
      </c>
      <c r="AB46" s="2">
        <v>420</v>
      </c>
      <c r="AC46" s="82">
        <f t="shared" si="57"/>
        <v>0</v>
      </c>
      <c r="AD46" s="2">
        <f t="shared" ref="AD46" ca="1" si="283">IF(A46&gt;TODAY(),"프리타임기간중",T46*AB46*IF(DATE(YEAR(Z46),MONTH(A46),1)&lt;DATE(YEAR($AD$2),MONTH($AD$2),1),DATEDIF($AD$2,$AD$3,"D")+1,DATEDIF(A46,$AD$3+1,"d")))</f>
        <v>8400</v>
      </c>
      <c r="AE46" s="2">
        <f t="shared" ref="AE46" ca="1" si="284">IFERROR(AC46+AD46,"")</f>
        <v>8400</v>
      </c>
    </row>
    <row r="47" spans="1:110" ht="24.95" hidden="1" customHeight="1">
      <c r="A47" s="3">
        <v>46211</v>
      </c>
      <c r="B47" s="90">
        <v>46210</v>
      </c>
      <c r="C47" s="131" t="s">
        <v>626</v>
      </c>
      <c r="D47" s="91"/>
      <c r="E47" s="88" t="s">
        <v>133</v>
      </c>
      <c r="F47" s="89" t="s">
        <v>187</v>
      </c>
      <c r="G47" s="5" t="str">
        <f t="shared" ref="G47:G48" si="285">C47&amp;F47</f>
        <v>CKCOBKK0045853홀 커널 스위트콘</v>
      </c>
      <c r="H47" s="117">
        <v>47249</v>
      </c>
      <c r="I47" s="105">
        <f t="shared" si="39"/>
        <v>8840</v>
      </c>
      <c r="J47" s="105">
        <v>17</v>
      </c>
      <c r="K47" s="27">
        <v>1175</v>
      </c>
      <c r="L47" s="37">
        <f t="shared" ref="L47:L48" si="286">ROUNDUP((K47/Y47),0)</f>
        <v>17</v>
      </c>
      <c r="M47" s="27">
        <v>0</v>
      </c>
      <c r="N47" s="27">
        <v>0</v>
      </c>
      <c r="O47" s="37">
        <f>ROUNDUP((N47/Y47),0)</f>
        <v>0</v>
      </c>
      <c r="P47" s="27">
        <v>0</v>
      </c>
      <c r="Q47" s="24">
        <f t="shared" ref="Q47:Q48" si="287">S47-N47</f>
        <v>1175</v>
      </c>
      <c r="R47" s="39">
        <f t="shared" ref="R47:R48" si="288">ROUNDUP((Q47/Y47),0)</f>
        <v>17</v>
      </c>
      <c r="S47" s="24">
        <f t="shared" ref="S47:S48" si="289">K47-W47-M47</f>
        <v>1175</v>
      </c>
      <c r="T47" s="39">
        <f t="shared" ref="T47:T48" si="290">O47+R47</f>
        <v>17</v>
      </c>
      <c r="U47" s="27">
        <v>0</v>
      </c>
      <c r="V47" s="26">
        <f t="shared" si="46"/>
        <v>0</v>
      </c>
      <c r="W47" s="27">
        <f t="shared" ref="W47:W48" si="291">U47+V47+P47</f>
        <v>0</v>
      </c>
      <c r="X47" s="28"/>
      <c r="Y47" s="27">
        <v>72</v>
      </c>
      <c r="Z47" s="119">
        <v>46211</v>
      </c>
      <c r="AA47" s="2">
        <v>0</v>
      </c>
      <c r="AB47" s="2">
        <v>420</v>
      </c>
      <c r="AC47" s="82">
        <f t="shared" si="57"/>
        <v>0</v>
      </c>
      <c r="AD47" s="2">
        <f t="shared" ref="AD47:AD48" ca="1" si="292">IF(A47&gt;TODAY(),"프리타임기간중",T47*AB47*IF(DATE(YEAR(Z47),MONTH(A47),1)&lt;DATE(YEAR($AD$2),MONTH($AD$2),1),DATEDIF($AD$2,$AD$3,"D")+1,DATEDIF(A47,$AD$3+1,"d")))</f>
        <v>92820</v>
      </c>
      <c r="AE47" s="2">
        <f t="shared" ref="AE47:AE48" ca="1" si="293">IFERROR(AC47+AD47,"")</f>
        <v>92820</v>
      </c>
    </row>
    <row r="48" spans="1:110" ht="24.95" hidden="1" customHeight="1">
      <c r="A48" s="3">
        <v>46218</v>
      </c>
      <c r="B48" s="90">
        <v>46212</v>
      </c>
      <c r="C48" s="131" t="s">
        <v>685</v>
      </c>
      <c r="D48" s="91"/>
      <c r="E48" s="88" t="s">
        <v>132</v>
      </c>
      <c r="F48" s="89" t="s">
        <v>139</v>
      </c>
      <c r="G48" s="5" t="str">
        <f t="shared" si="285"/>
        <v>KMTCLCH566697915KG설탕</v>
      </c>
      <c r="H48" s="117">
        <v>46906</v>
      </c>
      <c r="I48" s="105">
        <f t="shared" si="39"/>
        <v>38700</v>
      </c>
      <c r="J48" s="105">
        <f>72+72+71</f>
        <v>215</v>
      </c>
      <c r="K48" s="27">
        <v>15400</v>
      </c>
      <c r="L48" s="37">
        <f t="shared" si="286"/>
        <v>214</v>
      </c>
      <c r="M48" s="27">
        <v>0</v>
      </c>
      <c r="N48" s="27">
        <f>72+40</f>
        <v>112</v>
      </c>
      <c r="O48" s="37">
        <f>ROUNDUP((N48/Y48),0)</f>
        <v>2</v>
      </c>
      <c r="P48" s="27">
        <v>0</v>
      </c>
      <c r="Q48" s="24">
        <f t="shared" si="287"/>
        <v>15288</v>
      </c>
      <c r="R48" s="39">
        <f t="shared" si="288"/>
        <v>213</v>
      </c>
      <c r="S48" s="24">
        <f t="shared" si="289"/>
        <v>15400</v>
      </c>
      <c r="T48" s="39">
        <f t="shared" si="290"/>
        <v>215</v>
      </c>
      <c r="U48" s="27">
        <v>0</v>
      </c>
      <c r="V48" s="26">
        <f t="shared" si="46"/>
        <v>0</v>
      </c>
      <c r="W48" s="27">
        <f t="shared" si="291"/>
        <v>0</v>
      </c>
      <c r="X48" s="28"/>
      <c r="Y48" s="27">
        <v>72</v>
      </c>
      <c r="Z48" s="158">
        <v>46218</v>
      </c>
      <c r="AA48" s="2">
        <v>5</v>
      </c>
      <c r="AB48" s="2">
        <v>420</v>
      </c>
      <c r="AC48" s="82">
        <f t="shared" si="57"/>
        <v>0</v>
      </c>
      <c r="AD48" s="2">
        <f t="shared" ca="1" si="292"/>
        <v>541800</v>
      </c>
      <c r="AE48" s="2">
        <f t="shared" ca="1" si="293"/>
        <v>541800</v>
      </c>
    </row>
    <row r="49" spans="1:31" ht="24.95" hidden="1" customHeight="1">
      <c r="A49" s="3">
        <v>46225</v>
      </c>
      <c r="B49" s="90">
        <v>46217</v>
      </c>
      <c r="C49" s="131" t="s">
        <v>721</v>
      </c>
      <c r="D49" s="91"/>
      <c r="E49" s="88" t="s">
        <v>133</v>
      </c>
      <c r="F49" s="89" t="s">
        <v>187</v>
      </c>
      <c r="G49" s="5" t="str">
        <f t="shared" ref="G49" si="294">C49&amp;F49</f>
        <v>KMTCBKK3893795홀 커널 스위트콘</v>
      </c>
      <c r="H49" s="117">
        <v>47258</v>
      </c>
      <c r="I49" s="105" t="e">
        <f t="shared" ref="I49" si="295">(T49*_xlfn.SWITCH(E49,"아주",30,"kpp",40,0)*IF(DATE(YEAR(A49),MONTH(A49),1)&lt;DATE(YEAR($AD$2),MONTH($AD$2),1),DATEDIF($AD$2,$AD$3,"D")+1,DATEDIF(A49,$AD$3+1,"d")))+SUMIF($AG$6:$II$6,G49,$AG$2:$II$2)</f>
        <v>#NUM!</v>
      </c>
      <c r="J49" s="105">
        <v>17</v>
      </c>
      <c r="K49" s="27">
        <v>1175</v>
      </c>
      <c r="L49" s="37">
        <f t="shared" ref="L49" si="296">ROUNDUP((K49/Y49),0)</f>
        <v>17</v>
      </c>
      <c r="M49" s="27">
        <v>0</v>
      </c>
      <c r="N49" s="27">
        <v>1</v>
      </c>
      <c r="O49" s="37">
        <f>ROUNDUP((N49/Y49),0)-1</f>
        <v>0</v>
      </c>
      <c r="P49" s="27">
        <v>0</v>
      </c>
      <c r="Q49" s="24">
        <f t="shared" ref="Q49" si="297">S49-N49</f>
        <v>1174</v>
      </c>
      <c r="R49" s="39">
        <f t="shared" ref="R49" si="298">ROUNDUP((Q49/Y49),0)</f>
        <v>17</v>
      </c>
      <c r="S49" s="24">
        <f t="shared" ref="S49" si="299">K49-W49-M49</f>
        <v>1175</v>
      </c>
      <c r="T49" s="39">
        <f t="shared" ref="T49" si="300">O49+R49</f>
        <v>17</v>
      </c>
      <c r="U49" s="27">
        <v>0</v>
      </c>
      <c r="V49" s="26">
        <f t="shared" ref="V49" si="301">SUM(AG49:HO49)</f>
        <v>0</v>
      </c>
      <c r="W49" s="27">
        <f t="shared" ref="W49" si="302">U49+V49+P49</f>
        <v>0</v>
      </c>
      <c r="X49" s="28"/>
      <c r="Y49" s="27">
        <v>72</v>
      </c>
      <c r="Z49" s="119">
        <v>46225</v>
      </c>
      <c r="AA49" s="2">
        <v>0</v>
      </c>
      <c r="AB49" s="2">
        <v>420</v>
      </c>
      <c r="AC49" s="82">
        <f t="shared" ref="AC49" si="303">SUMIF($AG$6:$QY$6,G49,$AG$12:$QY$12)</f>
        <v>0</v>
      </c>
      <c r="AD49" s="2" t="e">
        <f t="shared" ref="AD49" ca="1" si="304">IF(A49&gt;TODAY(),"프리타임기간중",T49*AB49*IF(DATE(YEAR(Z49),MONTH(A49),1)&lt;DATE(YEAR($AD$2),MONTH($AD$2),1),DATEDIF($AD$2,$AD$3,"D")+1,DATEDIF(A49,$AD$3+1,"d")))</f>
        <v>#NUM!</v>
      </c>
      <c r="AE49" s="2" t="str">
        <f t="shared" ref="AE49" ca="1" si="305">IFERROR(AC49+AD49,"")</f>
        <v/>
      </c>
    </row>
    <row r="50" spans="1:31" ht="24.95" hidden="1" customHeight="1">
      <c r="A50" s="3">
        <v>46227</v>
      </c>
      <c r="B50" s="90">
        <v>46225</v>
      </c>
      <c r="C50" s="131" t="s">
        <v>850</v>
      </c>
      <c r="D50" s="91"/>
      <c r="E50" s="88" t="s">
        <v>133</v>
      </c>
      <c r="F50" s="89" t="s">
        <v>820</v>
      </c>
      <c r="G50" s="5" t="str">
        <f t="shared" ref="G50" si="306">C50&amp;F50</f>
        <v>SJTJ26070038(GFS26-0293)블루베리 믹스필링(유27_3_12)</v>
      </c>
      <c r="H50" s="117">
        <v>46458</v>
      </c>
      <c r="I50" s="105" t="e">
        <f t="shared" ref="I50" si="307">(T50*_xlfn.SWITCH(E50,"아주",30,"kpp",40,0)*IF(DATE(YEAR(A50),MONTH(A50),1)&lt;DATE(YEAR($AD$2),MONTH($AD$2),1),DATEDIF($AD$2,$AD$3,"D")+1,DATEDIF(A50,$AD$3+1,"d")))+SUMIF($AG$6:$II$6,G50,$AG$2:$II$2)</f>
        <v>#NUM!</v>
      </c>
      <c r="J50" s="105">
        <v>16</v>
      </c>
      <c r="K50" s="27">
        <v>866</v>
      </c>
      <c r="L50" s="37">
        <f t="shared" ref="L50" si="308">ROUNDUP((K50/Y50),0)</f>
        <v>16</v>
      </c>
      <c r="M50" s="27">
        <v>0</v>
      </c>
      <c r="N50" s="27">
        <v>0</v>
      </c>
      <c r="O50" s="37">
        <f>ROUNDUP((N50/Y50),0)</f>
        <v>0</v>
      </c>
      <c r="P50" s="27">
        <v>0</v>
      </c>
      <c r="Q50" s="24">
        <f t="shared" ref="Q50" si="309">S50-N50</f>
        <v>866</v>
      </c>
      <c r="R50" s="39">
        <f t="shared" ref="R50" si="310">ROUNDUP((Q50/Y50),0)</f>
        <v>16</v>
      </c>
      <c r="S50" s="24">
        <f t="shared" ref="S50" si="311">K50-W50-M50</f>
        <v>866</v>
      </c>
      <c r="T50" s="39">
        <f t="shared" ref="T50" si="312">O50+R50</f>
        <v>16</v>
      </c>
      <c r="U50" s="27">
        <v>0</v>
      </c>
      <c r="V50" s="26">
        <f t="shared" ref="V50" si="313">SUM(AG50:HO50)</f>
        <v>0</v>
      </c>
      <c r="W50" s="27">
        <f t="shared" ref="W50" si="314">U50+V50+P50</f>
        <v>0</v>
      </c>
      <c r="X50" s="28"/>
      <c r="Y50" s="27">
        <v>56</v>
      </c>
      <c r="Z50" s="119">
        <v>46227</v>
      </c>
      <c r="AA50" s="2">
        <v>0</v>
      </c>
      <c r="AB50" s="2">
        <v>420</v>
      </c>
      <c r="AC50" s="82">
        <f t="shared" ref="AC50" si="315">SUMIF($AG$6:$QY$6,G50,$AG$12:$QY$12)</f>
        <v>0</v>
      </c>
      <c r="AD50" s="2" t="e">
        <f t="shared" ref="AD50" ca="1" si="316">IF(A50&gt;TODAY(),"프리타임기간중",T50*AB50*IF(DATE(YEAR(Z50),MONTH(A50),1)&lt;DATE(YEAR($AD$2),MONTH($AD$2),1),DATEDIF($AD$2,$AD$3,"D")+1,DATEDIF(A50,$AD$3+1,"d")))</f>
        <v>#NUM!</v>
      </c>
      <c r="AE50" s="2" t="str">
        <f t="shared" ref="AE50" ca="1" si="317">IFERROR(AC50+AD50,"")</f>
        <v/>
      </c>
    </row>
    <row r="51" spans="1:31" ht="24.95" hidden="1" customHeight="1">
      <c r="A51" s="3">
        <v>46227</v>
      </c>
      <c r="B51" s="90">
        <v>46225</v>
      </c>
      <c r="C51" s="131" t="s">
        <v>851</v>
      </c>
      <c r="D51" s="91"/>
      <c r="E51" s="88" t="s">
        <v>133</v>
      </c>
      <c r="F51" s="89" t="s">
        <v>852</v>
      </c>
      <c r="G51" s="5" t="str">
        <f t="shared" ref="G51" si="318">C51&amp;F51</f>
        <v>SJTJ26070038(GFS26-0328)블루베리 믹스필링(유27_3_25)</v>
      </c>
      <c r="H51" s="117">
        <v>46471</v>
      </c>
      <c r="I51" s="105" t="e">
        <f t="shared" ref="I51" si="319">(T51*_xlfn.SWITCH(E51,"아주",30,"kpp",40,0)*IF(DATE(YEAR(A51),MONTH(A51),1)&lt;DATE(YEAR($AD$2),MONTH($AD$2),1),DATEDIF($AD$2,$AD$3,"D")+1,DATEDIF(A51,$AD$3+1,"d")))+SUMIF($AG$6:$II$6,G51,$AG$2:$II$2)</f>
        <v>#NUM!</v>
      </c>
      <c r="J51" s="105">
        <v>2</v>
      </c>
      <c r="K51" s="27">
        <v>91</v>
      </c>
      <c r="L51" s="37">
        <f t="shared" ref="L51" si="320">ROUNDUP((K51/Y51),0)</f>
        <v>2</v>
      </c>
      <c r="M51" s="27">
        <v>0</v>
      </c>
      <c r="N51" s="27">
        <v>0</v>
      </c>
      <c r="O51" s="37">
        <f>ROUNDUP((N51/Y51),0)</f>
        <v>0</v>
      </c>
      <c r="P51" s="27">
        <v>0</v>
      </c>
      <c r="Q51" s="24">
        <f t="shared" ref="Q51" si="321">S51-N51</f>
        <v>91</v>
      </c>
      <c r="R51" s="39">
        <f t="shared" ref="R51" si="322">ROUNDUP((Q51/Y51),0)</f>
        <v>2</v>
      </c>
      <c r="S51" s="24">
        <f t="shared" ref="S51" si="323">K51-W51-M51</f>
        <v>91</v>
      </c>
      <c r="T51" s="39">
        <f t="shared" ref="T51" si="324">O51+R51</f>
        <v>2</v>
      </c>
      <c r="U51" s="27">
        <v>0</v>
      </c>
      <c r="V51" s="26">
        <f t="shared" ref="V51" si="325">SUM(AG51:HO51)</f>
        <v>0</v>
      </c>
      <c r="W51" s="27">
        <f t="shared" ref="W51" si="326">U51+V51+P51</f>
        <v>0</v>
      </c>
      <c r="X51" s="28"/>
      <c r="Y51" s="27">
        <v>56</v>
      </c>
      <c r="Z51" s="119">
        <v>46227</v>
      </c>
      <c r="AA51" s="2">
        <v>0</v>
      </c>
      <c r="AB51" s="2">
        <v>420</v>
      </c>
      <c r="AC51" s="82">
        <f t="shared" ref="AC51" si="327">SUMIF($AG$6:$QY$6,G51,$AG$12:$QY$12)</f>
        <v>0</v>
      </c>
      <c r="AD51" s="2" t="e">
        <f t="shared" ref="AD51" ca="1" si="328">IF(A51&gt;TODAY(),"프리타임기간중",T51*AB51*IF(DATE(YEAR(Z51),MONTH(A51),1)&lt;DATE(YEAR($AD$2),MONTH($AD$2),1),DATEDIF($AD$2,$AD$3,"D")+1,DATEDIF(A51,$AD$3+1,"d")))</f>
        <v>#NUM!</v>
      </c>
      <c r="AE51" s="2" t="str">
        <f t="shared" ref="AE51" ca="1" si="329">IFERROR(AC51+AD51,"")</f>
        <v/>
      </c>
    </row>
    <row r="54" spans="1:31">
      <c r="B54" s="141"/>
    </row>
    <row r="61" spans="1:31">
      <c r="D61" s="1" t="s">
        <v>220</v>
      </c>
    </row>
  </sheetData>
  <autoFilter ref="A12:AF51" xr:uid="{00000000-0009-0000-0000-000000000000}">
    <filterColumn colId="5">
      <customFilters>
        <customFilter val="*참치*"/>
      </customFilters>
    </filterColumn>
  </autoFilter>
  <mergeCells count="31">
    <mergeCell ref="A4:A12"/>
    <mergeCell ref="H4:H12"/>
    <mergeCell ref="I4:I12"/>
    <mergeCell ref="J4:J12"/>
    <mergeCell ref="G4:G12"/>
    <mergeCell ref="B4:B12"/>
    <mergeCell ref="C4:C12"/>
    <mergeCell ref="D4:D12"/>
    <mergeCell ref="E4:E12"/>
    <mergeCell ref="F4:F12"/>
    <mergeCell ref="AE4:AE12"/>
    <mergeCell ref="W4:W12"/>
    <mergeCell ref="X4:X12"/>
    <mergeCell ref="Y4:Y12"/>
    <mergeCell ref="Z4:Z12"/>
    <mergeCell ref="AA4:AA12"/>
    <mergeCell ref="AB4:AB12"/>
    <mergeCell ref="AC4:AC12"/>
    <mergeCell ref="AD4:AD12"/>
    <mergeCell ref="V4:V12"/>
    <mergeCell ref="K4:K12"/>
    <mergeCell ref="L4:L12"/>
    <mergeCell ref="N4:N12"/>
    <mergeCell ref="O4:O12"/>
    <mergeCell ref="M4:M12"/>
    <mergeCell ref="P4:P12"/>
    <mergeCell ref="Q4:Q12"/>
    <mergeCell ref="R4:R12"/>
    <mergeCell ref="S4:S12"/>
    <mergeCell ref="T4:T12"/>
    <mergeCell ref="U4:U12"/>
  </mergeCells>
  <phoneticPr fontId="2" type="noConversion"/>
  <conditionalFormatting sqref="S13:S51">
    <cfRule type="cellIs" dxfId="24" priority="436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fitToHeight="0" orientation="landscape" horizontalDpi="4294967293" verticalDpi="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1:DY83"/>
  <sheetViews>
    <sheetView zoomScaleNormal="100" workbookViewId="0">
      <pane xSplit="29" ySplit="12" topLeftCell="AD13" activePane="bottomRight" state="frozen"/>
      <selection activeCell="C25" sqref="C25"/>
      <selection pane="topRight" activeCell="C25" sqref="C25"/>
      <selection pane="bottomLeft" activeCell="C25" sqref="C25"/>
      <selection pane="bottomRight" activeCell="C24" sqref="C24"/>
    </sheetView>
  </sheetViews>
  <sheetFormatPr defaultColWidth="10" defaultRowHeight="11.25" outlineLevelCol="1"/>
  <cols>
    <col min="1" max="1" width="4.375" style="1" customWidth="1"/>
    <col min="2" max="2" width="9.5" style="1" customWidth="1"/>
    <col min="3" max="3" width="18.875" style="1" customWidth="1"/>
    <col min="4" max="4" width="9" style="1" customWidth="1"/>
    <col min="5" max="5" width="9.875" style="1" customWidth="1"/>
    <col min="6" max="6" width="18" style="1" bestFit="1" customWidth="1" collapsed="1"/>
    <col min="7" max="7" width="7.75" style="1" customWidth="1"/>
    <col min="8" max="8" width="6.75" style="4" customWidth="1" outlineLevel="1" collapsed="1"/>
    <col min="9" max="9" width="6.75" style="38" customWidth="1" outlineLevel="1"/>
    <col min="10" max="11" width="6.75" style="4" customWidth="1" outlineLevel="1"/>
    <col min="12" max="12" width="6.75" style="38" customWidth="1" outlineLevel="1"/>
    <col min="13" max="13" width="6.75" style="4" customWidth="1" outlineLevel="1"/>
    <col min="14" max="14" width="6.75" style="4" customWidth="1"/>
    <col min="15" max="15" width="6.75" style="38" customWidth="1"/>
    <col min="16" max="16" width="6.625" style="4" customWidth="1"/>
    <col min="17" max="17" width="6.75" style="38" customWidth="1"/>
    <col min="18" max="20" width="6.75" style="4" customWidth="1" outlineLevel="1"/>
    <col min="21" max="21" width="27" style="1" customWidth="1" outlineLevel="1"/>
    <col min="22" max="22" width="4.625" style="4" customWidth="1" outlineLevel="1"/>
    <col min="23" max="23" width="9.25" style="1" customWidth="1" outlineLevel="1"/>
    <col min="24" max="24" width="5" style="1" customWidth="1" outlineLevel="1"/>
    <col min="25" max="25" width="4.5" style="1" customWidth="1" outlineLevel="1"/>
    <col min="26" max="26" width="7.25" style="1" customWidth="1" outlineLevel="1"/>
    <col min="27" max="27" width="8.75" style="1" customWidth="1" outlineLevel="1"/>
    <col min="28" max="28" width="7.25" style="1" customWidth="1" outlineLevel="1"/>
    <col min="29" max="29" width="15" style="57" customWidth="1"/>
    <col min="30" max="129" width="20.625" style="1" customWidth="1"/>
    <col min="130" max="16384" width="10" style="1"/>
  </cols>
  <sheetData>
    <row r="1" spans="2:129" s="23" customFormat="1" ht="20.100000000000001" customHeight="1">
      <c r="H1" s="25"/>
      <c r="I1" s="36"/>
      <c r="J1" s="25"/>
      <c r="K1" s="25"/>
      <c r="L1" s="36"/>
      <c r="M1" s="25"/>
      <c r="N1" s="25"/>
      <c r="O1" s="36"/>
      <c r="P1" s="25"/>
      <c r="Q1" s="36"/>
      <c r="R1" s="25"/>
      <c r="S1" s="25"/>
      <c r="T1" s="25"/>
      <c r="V1" s="25"/>
      <c r="AC1" s="54"/>
    </row>
    <row r="2" spans="2:129" s="23" customFormat="1" ht="20.100000000000001" customHeight="1">
      <c r="C2" s="133"/>
      <c r="F2" s="63"/>
      <c r="H2" s="25"/>
      <c r="I2" s="36"/>
      <c r="J2" s="25"/>
      <c r="K2" s="25"/>
      <c r="L2" s="36"/>
      <c r="M2" s="25"/>
      <c r="N2" s="25"/>
      <c r="O2" s="36"/>
      <c r="P2" s="25"/>
      <c r="Q2" s="36"/>
      <c r="R2" s="25"/>
      <c r="S2" s="25"/>
      <c r="T2" s="25"/>
      <c r="V2" s="25"/>
      <c r="Z2" s="23" t="s">
        <v>88</v>
      </c>
      <c r="AA2" s="53">
        <v>46204</v>
      </c>
      <c r="AC2" s="54"/>
    </row>
    <row r="3" spans="2:129" s="23" customFormat="1" ht="20.100000000000001" customHeight="1" thickBot="1">
      <c r="H3" s="25"/>
      <c r="I3" s="36"/>
      <c r="J3" s="25"/>
      <c r="K3" s="25"/>
      <c r="L3" s="36"/>
      <c r="M3" s="25"/>
      <c r="N3" s="25"/>
      <c r="O3" s="36"/>
      <c r="P3" s="25"/>
      <c r="Q3" s="36"/>
      <c r="R3" s="25"/>
      <c r="S3" s="25"/>
      <c r="T3" s="25"/>
      <c r="V3" s="25"/>
      <c r="Z3" s="23" t="s">
        <v>89</v>
      </c>
      <c r="AA3" s="53">
        <v>46234</v>
      </c>
      <c r="AC3" s="54"/>
    </row>
    <row r="4" spans="2:129" ht="22.5" customHeight="1">
      <c r="B4" s="220" t="s">
        <v>44</v>
      </c>
      <c r="C4" s="217" t="s">
        <v>45</v>
      </c>
      <c r="D4" s="217" t="s">
        <v>46</v>
      </c>
      <c r="E4" s="217" t="s">
        <v>47</v>
      </c>
      <c r="F4" s="217" t="s">
        <v>20</v>
      </c>
      <c r="G4" s="217" t="s">
        <v>172</v>
      </c>
      <c r="H4" s="223" t="s">
        <v>50</v>
      </c>
      <c r="I4" s="226" t="s">
        <v>51</v>
      </c>
      <c r="J4" s="190" t="s">
        <v>71</v>
      </c>
      <c r="K4" s="190" t="s">
        <v>53</v>
      </c>
      <c r="L4" s="195" t="s">
        <v>52</v>
      </c>
      <c r="M4" s="223" t="s">
        <v>54</v>
      </c>
      <c r="N4" s="223" t="s">
        <v>55</v>
      </c>
      <c r="O4" s="226" t="s">
        <v>56</v>
      </c>
      <c r="P4" s="223" t="s">
        <v>116</v>
      </c>
      <c r="Q4" s="226" t="s">
        <v>58</v>
      </c>
      <c r="R4" s="223" t="s">
        <v>59</v>
      </c>
      <c r="S4" s="223" t="s">
        <v>60</v>
      </c>
      <c r="T4" s="223" t="s">
        <v>61</v>
      </c>
      <c r="U4" s="217" t="s">
        <v>62</v>
      </c>
      <c r="V4" s="223" t="s">
        <v>63</v>
      </c>
      <c r="W4" s="217" t="s">
        <v>64</v>
      </c>
      <c r="X4" s="217" t="s">
        <v>65</v>
      </c>
      <c r="Y4" s="217" t="s">
        <v>66</v>
      </c>
      <c r="Z4" s="217" t="s">
        <v>67</v>
      </c>
      <c r="AA4" s="217" t="s">
        <v>68</v>
      </c>
      <c r="AB4" s="229" t="s">
        <v>69</v>
      </c>
      <c r="AC4" s="71" t="s">
        <v>0</v>
      </c>
      <c r="AD4" s="129"/>
      <c r="AE4" s="129"/>
      <c r="AF4" s="129"/>
      <c r="AG4" s="129"/>
      <c r="AH4" s="129"/>
      <c r="AI4" s="129"/>
      <c r="AJ4" s="129"/>
      <c r="AK4" s="129"/>
      <c r="AL4" s="129"/>
      <c r="AM4" s="129"/>
      <c r="AN4" s="129"/>
      <c r="AO4" s="129"/>
      <c r="AP4" s="129"/>
      <c r="AQ4" s="129"/>
      <c r="AR4" s="129"/>
      <c r="AS4" s="129"/>
      <c r="AT4" s="129"/>
      <c r="AU4" s="129"/>
      <c r="AV4" s="129"/>
      <c r="AW4" s="129"/>
      <c r="AX4" s="129"/>
      <c r="AY4" s="129"/>
      <c r="AZ4" s="129"/>
      <c r="BA4" s="129"/>
      <c r="BB4" s="129"/>
      <c r="BC4" s="129"/>
      <c r="BD4" s="129"/>
      <c r="BE4" s="129"/>
      <c r="BF4" s="129"/>
      <c r="BG4" s="129"/>
      <c r="BH4" s="129"/>
      <c r="BI4" s="129"/>
      <c r="BJ4" s="129"/>
      <c r="BK4" s="129"/>
      <c r="BL4" s="129"/>
      <c r="BM4" s="129"/>
      <c r="BN4" s="129"/>
      <c r="BO4" s="129"/>
      <c r="BP4" s="129"/>
      <c r="BQ4" s="129"/>
      <c r="BR4" s="129"/>
      <c r="BS4" s="129"/>
      <c r="BT4" s="129"/>
      <c r="BU4" s="129"/>
      <c r="BV4" s="129"/>
      <c r="BW4" s="129"/>
      <c r="BX4" s="129"/>
      <c r="BY4" s="129"/>
      <c r="BZ4" s="129"/>
      <c r="CA4" s="129"/>
      <c r="CB4" s="129"/>
      <c r="CC4" s="129"/>
      <c r="CD4" s="129"/>
      <c r="CE4" s="129"/>
      <c r="CF4" s="129"/>
      <c r="CG4" s="129"/>
      <c r="CH4" s="129"/>
      <c r="CI4" s="129"/>
      <c r="CJ4" s="129"/>
      <c r="CK4" s="129"/>
      <c r="CL4" s="129"/>
      <c r="CM4" s="129"/>
      <c r="CN4" s="129"/>
      <c r="CO4" s="129"/>
      <c r="CP4" s="129"/>
      <c r="CQ4" s="129"/>
      <c r="CR4" s="129"/>
      <c r="CS4" s="129"/>
      <c r="CT4" s="129"/>
      <c r="CU4" s="129"/>
      <c r="CV4" s="129"/>
      <c r="CW4" s="129"/>
      <c r="CX4" s="129"/>
      <c r="CY4" s="129"/>
      <c r="CZ4" s="129"/>
      <c r="DA4" s="129"/>
      <c r="DB4" s="129"/>
      <c r="DC4" s="129"/>
      <c r="DD4" s="129"/>
      <c r="DE4" s="129"/>
      <c r="DF4" s="129"/>
      <c r="DG4" s="129"/>
      <c r="DH4" s="129"/>
      <c r="DI4" s="129"/>
      <c r="DJ4" s="129"/>
      <c r="DK4" s="129"/>
      <c r="DL4" s="129"/>
      <c r="DM4" s="129"/>
      <c r="DN4" s="129"/>
      <c r="DO4" s="129"/>
      <c r="DP4" s="129"/>
      <c r="DQ4" s="129"/>
      <c r="DR4" s="129"/>
      <c r="DS4" s="129"/>
      <c r="DT4" s="129"/>
      <c r="DU4" s="129"/>
      <c r="DV4" s="129"/>
      <c r="DW4" s="129"/>
      <c r="DX4" s="129"/>
      <c r="DY4" s="129"/>
    </row>
    <row r="5" spans="2:129" ht="20.100000000000001" customHeight="1">
      <c r="B5" s="221"/>
      <c r="C5" s="218"/>
      <c r="D5" s="218"/>
      <c r="E5" s="218"/>
      <c r="F5" s="218"/>
      <c r="G5" s="218"/>
      <c r="H5" s="224"/>
      <c r="I5" s="227"/>
      <c r="J5" s="224"/>
      <c r="K5" s="224"/>
      <c r="L5" s="227"/>
      <c r="M5" s="224"/>
      <c r="N5" s="224"/>
      <c r="O5" s="227"/>
      <c r="P5" s="224"/>
      <c r="Q5" s="227"/>
      <c r="R5" s="224"/>
      <c r="S5" s="224"/>
      <c r="T5" s="224"/>
      <c r="U5" s="218"/>
      <c r="V5" s="224"/>
      <c r="W5" s="218"/>
      <c r="X5" s="218"/>
      <c r="Y5" s="218"/>
      <c r="Z5" s="218"/>
      <c r="AA5" s="218"/>
      <c r="AB5" s="230"/>
      <c r="AC5" s="71" t="s">
        <v>1</v>
      </c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</row>
    <row r="6" spans="2:129" ht="20.100000000000001" customHeight="1">
      <c r="B6" s="221"/>
      <c r="C6" s="218"/>
      <c r="D6" s="218"/>
      <c r="E6" s="218"/>
      <c r="F6" s="218"/>
      <c r="G6" s="218"/>
      <c r="H6" s="224"/>
      <c r="I6" s="227"/>
      <c r="J6" s="224"/>
      <c r="K6" s="224"/>
      <c r="L6" s="227"/>
      <c r="M6" s="224"/>
      <c r="N6" s="224"/>
      <c r="O6" s="227"/>
      <c r="P6" s="224"/>
      <c r="Q6" s="227"/>
      <c r="R6" s="224"/>
      <c r="S6" s="224"/>
      <c r="T6" s="224"/>
      <c r="U6" s="218"/>
      <c r="V6" s="224"/>
      <c r="W6" s="218"/>
      <c r="X6" s="218"/>
      <c r="Y6" s="218"/>
      <c r="Z6" s="218"/>
      <c r="AA6" s="218"/>
      <c r="AB6" s="230"/>
      <c r="AC6" s="61" t="s">
        <v>2</v>
      </c>
      <c r="AD6" s="72" t="str">
        <f t="shared" ref="AD6:BI6" si="0">IFERROR(INDEX($C$13:$C$347,MATCH(SUM(AD$13:AD$345),AD$13:AD$345,0),1),"")</f>
        <v/>
      </c>
      <c r="AE6" s="72" t="str">
        <f t="shared" si="0"/>
        <v/>
      </c>
      <c r="AF6" s="72" t="str">
        <f t="shared" si="0"/>
        <v/>
      </c>
      <c r="AG6" s="72" t="str">
        <f t="shared" si="0"/>
        <v/>
      </c>
      <c r="AH6" s="72" t="str">
        <f t="shared" si="0"/>
        <v/>
      </c>
      <c r="AI6" s="72" t="str">
        <f t="shared" si="0"/>
        <v/>
      </c>
      <c r="AJ6" s="72" t="str">
        <f t="shared" si="0"/>
        <v/>
      </c>
      <c r="AK6" s="72" t="str">
        <f t="shared" si="0"/>
        <v/>
      </c>
      <c r="AL6" s="72" t="str">
        <f t="shared" si="0"/>
        <v/>
      </c>
      <c r="AM6" s="72" t="str">
        <f t="shared" si="0"/>
        <v/>
      </c>
      <c r="AN6" s="72" t="str">
        <f t="shared" si="0"/>
        <v/>
      </c>
      <c r="AO6" s="72" t="str">
        <f t="shared" si="0"/>
        <v/>
      </c>
      <c r="AP6" s="72" t="str">
        <f t="shared" si="0"/>
        <v/>
      </c>
      <c r="AQ6" s="72" t="str">
        <f t="shared" si="0"/>
        <v/>
      </c>
      <c r="AR6" s="72" t="str">
        <f t="shared" si="0"/>
        <v/>
      </c>
      <c r="AS6" s="72" t="str">
        <f t="shared" si="0"/>
        <v/>
      </c>
      <c r="AT6" s="72" t="str">
        <f t="shared" si="0"/>
        <v/>
      </c>
      <c r="AU6" s="72" t="str">
        <f t="shared" si="0"/>
        <v/>
      </c>
      <c r="AV6" s="72" t="str">
        <f t="shared" si="0"/>
        <v/>
      </c>
      <c r="AW6" s="72" t="str">
        <f t="shared" si="0"/>
        <v/>
      </c>
      <c r="AX6" s="72" t="str">
        <f t="shared" si="0"/>
        <v/>
      </c>
      <c r="AY6" s="72" t="str">
        <f t="shared" si="0"/>
        <v/>
      </c>
      <c r="AZ6" s="72" t="str">
        <f t="shared" si="0"/>
        <v/>
      </c>
      <c r="BA6" s="72" t="str">
        <f t="shared" si="0"/>
        <v/>
      </c>
      <c r="BB6" s="72" t="str">
        <f t="shared" si="0"/>
        <v/>
      </c>
      <c r="BC6" s="72" t="str">
        <f t="shared" si="0"/>
        <v/>
      </c>
      <c r="BD6" s="72" t="str">
        <f t="shared" si="0"/>
        <v/>
      </c>
      <c r="BE6" s="72" t="str">
        <f t="shared" si="0"/>
        <v/>
      </c>
      <c r="BF6" s="72" t="str">
        <f t="shared" si="0"/>
        <v/>
      </c>
      <c r="BG6" s="72" t="str">
        <f t="shared" si="0"/>
        <v/>
      </c>
      <c r="BH6" s="72" t="str">
        <f t="shared" si="0"/>
        <v/>
      </c>
      <c r="BI6" s="72" t="str">
        <f t="shared" si="0"/>
        <v/>
      </c>
      <c r="BJ6" s="72" t="str">
        <f t="shared" ref="BJ6:CO6" si="1">IFERROR(INDEX($C$13:$C$347,MATCH(SUM(BJ$13:BJ$345),BJ$13:BJ$345,0),1),"")</f>
        <v/>
      </c>
      <c r="BK6" s="72" t="str">
        <f t="shared" si="1"/>
        <v/>
      </c>
      <c r="BL6" s="72" t="str">
        <f t="shared" si="1"/>
        <v/>
      </c>
      <c r="BM6" s="72" t="str">
        <f t="shared" si="1"/>
        <v/>
      </c>
      <c r="BN6" s="72" t="str">
        <f t="shared" si="1"/>
        <v/>
      </c>
      <c r="BO6" s="72" t="str">
        <f t="shared" si="1"/>
        <v/>
      </c>
      <c r="BP6" s="72" t="str">
        <f t="shared" si="1"/>
        <v/>
      </c>
      <c r="BQ6" s="72" t="str">
        <f t="shared" si="1"/>
        <v/>
      </c>
      <c r="BR6" s="72" t="str">
        <f t="shared" si="1"/>
        <v/>
      </c>
      <c r="BS6" s="72" t="str">
        <f t="shared" si="1"/>
        <v/>
      </c>
      <c r="BT6" s="72" t="str">
        <f t="shared" si="1"/>
        <v/>
      </c>
      <c r="BU6" s="72" t="str">
        <f t="shared" si="1"/>
        <v/>
      </c>
      <c r="BV6" s="72" t="str">
        <f t="shared" si="1"/>
        <v/>
      </c>
      <c r="BW6" s="72" t="str">
        <f t="shared" si="1"/>
        <v/>
      </c>
      <c r="BX6" s="72" t="str">
        <f t="shared" si="1"/>
        <v/>
      </c>
      <c r="BY6" s="72" t="str">
        <f t="shared" si="1"/>
        <v/>
      </c>
      <c r="BZ6" s="72" t="str">
        <f t="shared" si="1"/>
        <v/>
      </c>
      <c r="CA6" s="72" t="str">
        <f t="shared" si="1"/>
        <v/>
      </c>
      <c r="CB6" s="72" t="str">
        <f t="shared" si="1"/>
        <v/>
      </c>
      <c r="CC6" s="72" t="str">
        <f t="shared" si="1"/>
        <v/>
      </c>
      <c r="CD6" s="72" t="str">
        <f t="shared" si="1"/>
        <v/>
      </c>
      <c r="CE6" s="72" t="str">
        <f t="shared" si="1"/>
        <v/>
      </c>
      <c r="CF6" s="72" t="str">
        <f t="shared" si="1"/>
        <v/>
      </c>
      <c r="CG6" s="72" t="str">
        <f t="shared" si="1"/>
        <v/>
      </c>
      <c r="CH6" s="72" t="str">
        <f t="shared" si="1"/>
        <v/>
      </c>
      <c r="CI6" s="72" t="str">
        <f t="shared" si="1"/>
        <v/>
      </c>
      <c r="CJ6" s="72" t="str">
        <f t="shared" si="1"/>
        <v/>
      </c>
      <c r="CK6" s="72" t="str">
        <f t="shared" si="1"/>
        <v/>
      </c>
      <c r="CL6" s="72" t="str">
        <f t="shared" si="1"/>
        <v/>
      </c>
      <c r="CM6" s="72" t="str">
        <f t="shared" si="1"/>
        <v/>
      </c>
      <c r="CN6" s="72" t="str">
        <f t="shared" si="1"/>
        <v/>
      </c>
      <c r="CO6" s="72" t="str">
        <f t="shared" si="1"/>
        <v/>
      </c>
      <c r="CP6" s="72" t="str">
        <f t="shared" ref="CP6:DY6" si="2">IFERROR(INDEX($C$13:$C$347,MATCH(SUM(CP$13:CP$345),CP$13:CP$345,0),1),"")</f>
        <v/>
      </c>
      <c r="CQ6" s="72" t="str">
        <f t="shared" si="2"/>
        <v/>
      </c>
      <c r="CR6" s="72" t="str">
        <f t="shared" si="2"/>
        <v/>
      </c>
      <c r="CS6" s="72" t="str">
        <f t="shared" si="2"/>
        <v/>
      </c>
      <c r="CT6" s="72" t="str">
        <f t="shared" si="2"/>
        <v/>
      </c>
      <c r="CU6" s="72" t="str">
        <f t="shared" si="2"/>
        <v/>
      </c>
      <c r="CV6" s="72" t="str">
        <f t="shared" si="2"/>
        <v/>
      </c>
      <c r="CW6" s="72" t="str">
        <f t="shared" si="2"/>
        <v/>
      </c>
      <c r="CX6" s="72" t="str">
        <f t="shared" si="2"/>
        <v/>
      </c>
      <c r="CY6" s="72" t="str">
        <f t="shared" si="2"/>
        <v/>
      </c>
      <c r="CZ6" s="72" t="str">
        <f t="shared" si="2"/>
        <v/>
      </c>
      <c r="DA6" s="72" t="str">
        <f t="shared" si="2"/>
        <v/>
      </c>
      <c r="DB6" s="72" t="str">
        <f t="shared" si="2"/>
        <v/>
      </c>
      <c r="DC6" s="72" t="str">
        <f t="shared" si="2"/>
        <v/>
      </c>
      <c r="DD6" s="72" t="str">
        <f t="shared" si="2"/>
        <v/>
      </c>
      <c r="DE6" s="72" t="str">
        <f t="shared" si="2"/>
        <v/>
      </c>
      <c r="DF6" s="72" t="str">
        <f t="shared" si="2"/>
        <v/>
      </c>
      <c r="DG6" s="72" t="str">
        <f t="shared" si="2"/>
        <v/>
      </c>
      <c r="DH6" s="72" t="str">
        <f t="shared" si="2"/>
        <v/>
      </c>
      <c r="DI6" s="72" t="str">
        <f t="shared" si="2"/>
        <v/>
      </c>
      <c r="DJ6" s="72" t="str">
        <f t="shared" si="2"/>
        <v/>
      </c>
      <c r="DK6" s="72" t="str">
        <f t="shared" si="2"/>
        <v/>
      </c>
      <c r="DL6" s="72" t="str">
        <f t="shared" si="2"/>
        <v/>
      </c>
      <c r="DM6" s="72" t="str">
        <f t="shared" si="2"/>
        <v/>
      </c>
      <c r="DN6" s="72" t="str">
        <f t="shared" si="2"/>
        <v/>
      </c>
      <c r="DO6" s="72" t="str">
        <f t="shared" si="2"/>
        <v/>
      </c>
      <c r="DP6" s="72" t="str">
        <f t="shared" si="2"/>
        <v/>
      </c>
      <c r="DQ6" s="72" t="str">
        <f t="shared" si="2"/>
        <v/>
      </c>
      <c r="DR6" s="72" t="str">
        <f t="shared" si="2"/>
        <v/>
      </c>
      <c r="DS6" s="72" t="str">
        <f t="shared" si="2"/>
        <v/>
      </c>
      <c r="DT6" s="72" t="str">
        <f t="shared" si="2"/>
        <v/>
      </c>
      <c r="DU6" s="72" t="str">
        <f t="shared" si="2"/>
        <v/>
      </c>
      <c r="DV6" s="72" t="str">
        <f t="shared" si="2"/>
        <v/>
      </c>
      <c r="DW6" s="72" t="str">
        <f t="shared" si="2"/>
        <v/>
      </c>
      <c r="DX6" s="72" t="str">
        <f t="shared" si="2"/>
        <v/>
      </c>
      <c r="DY6" s="72" t="str">
        <f t="shared" si="2"/>
        <v/>
      </c>
    </row>
    <row r="7" spans="2:129" ht="15" customHeight="1">
      <c r="B7" s="221"/>
      <c r="C7" s="218"/>
      <c r="D7" s="218"/>
      <c r="E7" s="218"/>
      <c r="F7" s="218"/>
      <c r="G7" s="218"/>
      <c r="H7" s="224"/>
      <c r="I7" s="227"/>
      <c r="J7" s="224"/>
      <c r="K7" s="224"/>
      <c r="L7" s="227"/>
      <c r="M7" s="224"/>
      <c r="N7" s="224"/>
      <c r="O7" s="227"/>
      <c r="P7" s="224"/>
      <c r="Q7" s="227"/>
      <c r="R7" s="224"/>
      <c r="S7" s="224"/>
      <c r="T7" s="224"/>
      <c r="U7" s="218"/>
      <c r="V7" s="224"/>
      <c r="W7" s="218"/>
      <c r="X7" s="218"/>
      <c r="Y7" s="218"/>
      <c r="Z7" s="218"/>
      <c r="AA7" s="218"/>
      <c r="AB7" s="230"/>
      <c r="AC7" s="61" t="s">
        <v>3</v>
      </c>
      <c r="AD7" s="18" t="str">
        <f t="shared" ref="AD7:BI7" si="3">IFERROR(INDEX($F$13:$F$347,MATCH(SUM(AD$13:AD$345),AD$13:AD$345,0),1),"")</f>
        <v/>
      </c>
      <c r="AE7" s="18" t="str">
        <f t="shared" si="3"/>
        <v/>
      </c>
      <c r="AF7" s="18" t="str">
        <f t="shared" si="3"/>
        <v/>
      </c>
      <c r="AG7" s="18" t="str">
        <f t="shared" si="3"/>
        <v/>
      </c>
      <c r="AH7" s="18" t="str">
        <f t="shared" si="3"/>
        <v/>
      </c>
      <c r="AI7" s="18" t="str">
        <f t="shared" si="3"/>
        <v/>
      </c>
      <c r="AJ7" s="18" t="str">
        <f t="shared" si="3"/>
        <v/>
      </c>
      <c r="AK7" s="18" t="str">
        <f t="shared" si="3"/>
        <v/>
      </c>
      <c r="AL7" s="18" t="str">
        <f t="shared" si="3"/>
        <v/>
      </c>
      <c r="AM7" s="18" t="str">
        <f t="shared" si="3"/>
        <v/>
      </c>
      <c r="AN7" s="18" t="str">
        <f t="shared" si="3"/>
        <v/>
      </c>
      <c r="AO7" s="18" t="str">
        <f t="shared" si="3"/>
        <v/>
      </c>
      <c r="AP7" s="18" t="str">
        <f t="shared" si="3"/>
        <v/>
      </c>
      <c r="AQ7" s="18" t="str">
        <f t="shared" si="3"/>
        <v/>
      </c>
      <c r="AR7" s="18" t="str">
        <f t="shared" si="3"/>
        <v/>
      </c>
      <c r="AS7" s="18" t="str">
        <f t="shared" si="3"/>
        <v/>
      </c>
      <c r="AT7" s="18" t="str">
        <f t="shared" si="3"/>
        <v/>
      </c>
      <c r="AU7" s="18" t="str">
        <f t="shared" si="3"/>
        <v/>
      </c>
      <c r="AV7" s="18" t="str">
        <f t="shared" si="3"/>
        <v/>
      </c>
      <c r="AW7" s="18" t="str">
        <f t="shared" si="3"/>
        <v/>
      </c>
      <c r="AX7" s="18" t="str">
        <f t="shared" si="3"/>
        <v/>
      </c>
      <c r="AY7" s="18" t="str">
        <f t="shared" si="3"/>
        <v/>
      </c>
      <c r="AZ7" s="18" t="str">
        <f t="shared" si="3"/>
        <v/>
      </c>
      <c r="BA7" s="18" t="str">
        <f t="shared" si="3"/>
        <v/>
      </c>
      <c r="BB7" s="18" t="str">
        <f t="shared" si="3"/>
        <v/>
      </c>
      <c r="BC7" s="18" t="str">
        <f t="shared" si="3"/>
        <v/>
      </c>
      <c r="BD7" s="18" t="str">
        <f t="shared" si="3"/>
        <v/>
      </c>
      <c r="BE7" s="18" t="str">
        <f t="shared" si="3"/>
        <v/>
      </c>
      <c r="BF7" s="18" t="str">
        <f t="shared" si="3"/>
        <v/>
      </c>
      <c r="BG7" s="18" t="str">
        <f t="shared" si="3"/>
        <v/>
      </c>
      <c r="BH7" s="18" t="str">
        <f t="shared" si="3"/>
        <v/>
      </c>
      <c r="BI7" s="18" t="str">
        <f t="shared" si="3"/>
        <v/>
      </c>
      <c r="BJ7" s="18" t="str">
        <f t="shared" ref="BJ7:CO7" si="4">IFERROR(INDEX($F$13:$F$347,MATCH(SUM(BJ$13:BJ$345),BJ$13:BJ$345,0),1),"")</f>
        <v/>
      </c>
      <c r="BK7" s="18" t="str">
        <f t="shared" si="4"/>
        <v/>
      </c>
      <c r="BL7" s="18" t="str">
        <f t="shared" si="4"/>
        <v/>
      </c>
      <c r="BM7" s="18" t="str">
        <f t="shared" si="4"/>
        <v/>
      </c>
      <c r="BN7" s="18" t="str">
        <f t="shared" si="4"/>
        <v/>
      </c>
      <c r="BO7" s="18" t="str">
        <f t="shared" si="4"/>
        <v/>
      </c>
      <c r="BP7" s="18" t="str">
        <f t="shared" si="4"/>
        <v/>
      </c>
      <c r="BQ7" s="18" t="str">
        <f t="shared" si="4"/>
        <v/>
      </c>
      <c r="BR7" s="18" t="str">
        <f t="shared" si="4"/>
        <v/>
      </c>
      <c r="BS7" s="18" t="str">
        <f t="shared" si="4"/>
        <v/>
      </c>
      <c r="BT7" s="18" t="str">
        <f t="shared" si="4"/>
        <v/>
      </c>
      <c r="BU7" s="18" t="str">
        <f t="shared" si="4"/>
        <v/>
      </c>
      <c r="BV7" s="18" t="str">
        <f t="shared" si="4"/>
        <v/>
      </c>
      <c r="BW7" s="18" t="str">
        <f t="shared" si="4"/>
        <v/>
      </c>
      <c r="BX7" s="18" t="str">
        <f t="shared" si="4"/>
        <v/>
      </c>
      <c r="BY7" s="18" t="str">
        <f t="shared" si="4"/>
        <v/>
      </c>
      <c r="BZ7" s="18" t="str">
        <f t="shared" si="4"/>
        <v/>
      </c>
      <c r="CA7" s="18" t="str">
        <f t="shared" si="4"/>
        <v/>
      </c>
      <c r="CB7" s="18" t="str">
        <f t="shared" si="4"/>
        <v/>
      </c>
      <c r="CC7" s="18" t="str">
        <f t="shared" si="4"/>
        <v/>
      </c>
      <c r="CD7" s="18" t="str">
        <f t="shared" si="4"/>
        <v/>
      </c>
      <c r="CE7" s="18" t="str">
        <f t="shared" si="4"/>
        <v/>
      </c>
      <c r="CF7" s="18" t="str">
        <f t="shared" si="4"/>
        <v/>
      </c>
      <c r="CG7" s="18" t="str">
        <f t="shared" si="4"/>
        <v/>
      </c>
      <c r="CH7" s="18" t="str">
        <f t="shared" si="4"/>
        <v/>
      </c>
      <c r="CI7" s="18" t="str">
        <f t="shared" si="4"/>
        <v/>
      </c>
      <c r="CJ7" s="18" t="str">
        <f t="shared" si="4"/>
        <v/>
      </c>
      <c r="CK7" s="18" t="str">
        <f t="shared" si="4"/>
        <v/>
      </c>
      <c r="CL7" s="18" t="str">
        <f t="shared" si="4"/>
        <v/>
      </c>
      <c r="CM7" s="18" t="str">
        <f t="shared" si="4"/>
        <v/>
      </c>
      <c r="CN7" s="18" t="str">
        <f t="shared" si="4"/>
        <v/>
      </c>
      <c r="CO7" s="18" t="str">
        <f t="shared" si="4"/>
        <v/>
      </c>
      <c r="CP7" s="18" t="str">
        <f t="shared" ref="CP7:DY7" si="5">IFERROR(INDEX($F$13:$F$347,MATCH(SUM(CP$13:CP$345),CP$13:CP$345,0),1),"")</f>
        <v/>
      </c>
      <c r="CQ7" s="18" t="str">
        <f t="shared" si="5"/>
        <v/>
      </c>
      <c r="CR7" s="18" t="str">
        <f t="shared" si="5"/>
        <v/>
      </c>
      <c r="CS7" s="18" t="str">
        <f t="shared" si="5"/>
        <v/>
      </c>
      <c r="CT7" s="18" t="str">
        <f t="shared" si="5"/>
        <v/>
      </c>
      <c r="CU7" s="18" t="str">
        <f t="shared" si="5"/>
        <v/>
      </c>
      <c r="CV7" s="18" t="str">
        <f t="shared" si="5"/>
        <v/>
      </c>
      <c r="CW7" s="18" t="str">
        <f t="shared" si="5"/>
        <v/>
      </c>
      <c r="CX7" s="18" t="str">
        <f t="shared" si="5"/>
        <v/>
      </c>
      <c r="CY7" s="18" t="str">
        <f t="shared" si="5"/>
        <v/>
      </c>
      <c r="CZ7" s="18" t="str">
        <f t="shared" si="5"/>
        <v/>
      </c>
      <c r="DA7" s="18" t="str">
        <f t="shared" si="5"/>
        <v/>
      </c>
      <c r="DB7" s="18" t="str">
        <f t="shared" si="5"/>
        <v/>
      </c>
      <c r="DC7" s="18" t="str">
        <f t="shared" si="5"/>
        <v/>
      </c>
      <c r="DD7" s="18" t="str">
        <f t="shared" si="5"/>
        <v/>
      </c>
      <c r="DE7" s="18" t="str">
        <f t="shared" si="5"/>
        <v/>
      </c>
      <c r="DF7" s="18" t="str">
        <f t="shared" si="5"/>
        <v/>
      </c>
      <c r="DG7" s="18" t="str">
        <f t="shared" si="5"/>
        <v/>
      </c>
      <c r="DH7" s="18" t="str">
        <f t="shared" si="5"/>
        <v/>
      </c>
      <c r="DI7" s="18" t="str">
        <f t="shared" si="5"/>
        <v/>
      </c>
      <c r="DJ7" s="18" t="str">
        <f t="shared" si="5"/>
        <v/>
      </c>
      <c r="DK7" s="18" t="str">
        <f t="shared" si="5"/>
        <v/>
      </c>
      <c r="DL7" s="18" t="str">
        <f t="shared" si="5"/>
        <v/>
      </c>
      <c r="DM7" s="18" t="str">
        <f t="shared" si="5"/>
        <v/>
      </c>
      <c r="DN7" s="18" t="str">
        <f t="shared" si="5"/>
        <v/>
      </c>
      <c r="DO7" s="18" t="str">
        <f t="shared" si="5"/>
        <v/>
      </c>
      <c r="DP7" s="18" t="str">
        <f t="shared" si="5"/>
        <v/>
      </c>
      <c r="DQ7" s="18" t="str">
        <f t="shared" si="5"/>
        <v/>
      </c>
      <c r="DR7" s="18" t="str">
        <f t="shared" si="5"/>
        <v/>
      </c>
      <c r="DS7" s="18" t="str">
        <f t="shared" si="5"/>
        <v/>
      </c>
      <c r="DT7" s="18" t="str">
        <f t="shared" si="5"/>
        <v/>
      </c>
      <c r="DU7" s="18" t="str">
        <f t="shared" si="5"/>
        <v/>
      </c>
      <c r="DV7" s="18" t="str">
        <f t="shared" si="5"/>
        <v/>
      </c>
      <c r="DW7" s="18" t="str">
        <f t="shared" si="5"/>
        <v/>
      </c>
      <c r="DX7" s="18" t="str">
        <f t="shared" si="5"/>
        <v/>
      </c>
      <c r="DY7" s="18" t="str">
        <f t="shared" si="5"/>
        <v/>
      </c>
    </row>
    <row r="8" spans="2:129" ht="15" customHeight="1">
      <c r="B8" s="221"/>
      <c r="C8" s="218"/>
      <c r="D8" s="218"/>
      <c r="E8" s="218"/>
      <c r="F8" s="218"/>
      <c r="G8" s="218"/>
      <c r="H8" s="224"/>
      <c r="I8" s="227"/>
      <c r="J8" s="224"/>
      <c r="K8" s="224"/>
      <c r="L8" s="227"/>
      <c r="M8" s="224"/>
      <c r="N8" s="224"/>
      <c r="O8" s="227"/>
      <c r="P8" s="224"/>
      <c r="Q8" s="227"/>
      <c r="R8" s="224"/>
      <c r="S8" s="224"/>
      <c r="T8" s="224"/>
      <c r="U8" s="218"/>
      <c r="V8" s="224"/>
      <c r="W8" s="218"/>
      <c r="X8" s="218"/>
      <c r="Y8" s="218"/>
      <c r="Z8" s="218"/>
      <c r="AA8" s="218"/>
      <c r="AB8" s="230"/>
      <c r="AC8" s="61" t="s">
        <v>4</v>
      </c>
      <c r="AD8" s="48">
        <f t="shared" ref="AD8:BI8" si="6">SUM(AD$13:AD$345)</f>
        <v>0</v>
      </c>
      <c r="AE8" s="48">
        <f t="shared" si="6"/>
        <v>0</v>
      </c>
      <c r="AF8" s="48">
        <f t="shared" si="6"/>
        <v>0</v>
      </c>
      <c r="AG8" s="48">
        <f t="shared" si="6"/>
        <v>0</v>
      </c>
      <c r="AH8" s="48">
        <f t="shared" si="6"/>
        <v>0</v>
      </c>
      <c r="AI8" s="48">
        <f t="shared" si="6"/>
        <v>0</v>
      </c>
      <c r="AJ8" s="48">
        <f t="shared" si="6"/>
        <v>0</v>
      </c>
      <c r="AK8" s="48">
        <f t="shared" si="6"/>
        <v>0</v>
      </c>
      <c r="AL8" s="48">
        <f t="shared" si="6"/>
        <v>0</v>
      </c>
      <c r="AM8" s="48">
        <f t="shared" si="6"/>
        <v>0</v>
      </c>
      <c r="AN8" s="48">
        <f t="shared" si="6"/>
        <v>0</v>
      </c>
      <c r="AO8" s="48">
        <f t="shared" si="6"/>
        <v>0</v>
      </c>
      <c r="AP8" s="48">
        <f t="shared" si="6"/>
        <v>0</v>
      </c>
      <c r="AQ8" s="48">
        <f t="shared" si="6"/>
        <v>0</v>
      </c>
      <c r="AR8" s="48">
        <f t="shared" si="6"/>
        <v>0</v>
      </c>
      <c r="AS8" s="48">
        <f t="shared" si="6"/>
        <v>0</v>
      </c>
      <c r="AT8" s="48">
        <f t="shared" si="6"/>
        <v>0</v>
      </c>
      <c r="AU8" s="48">
        <f t="shared" si="6"/>
        <v>0</v>
      </c>
      <c r="AV8" s="48">
        <f t="shared" si="6"/>
        <v>0</v>
      </c>
      <c r="AW8" s="48">
        <f t="shared" si="6"/>
        <v>0</v>
      </c>
      <c r="AX8" s="48">
        <f t="shared" si="6"/>
        <v>0</v>
      </c>
      <c r="AY8" s="48">
        <f t="shared" si="6"/>
        <v>0</v>
      </c>
      <c r="AZ8" s="48">
        <f t="shared" si="6"/>
        <v>0</v>
      </c>
      <c r="BA8" s="48">
        <f t="shared" si="6"/>
        <v>0</v>
      </c>
      <c r="BB8" s="48">
        <f t="shared" si="6"/>
        <v>0</v>
      </c>
      <c r="BC8" s="48">
        <f t="shared" si="6"/>
        <v>0</v>
      </c>
      <c r="BD8" s="48">
        <f t="shared" si="6"/>
        <v>0</v>
      </c>
      <c r="BE8" s="48">
        <f t="shared" si="6"/>
        <v>0</v>
      </c>
      <c r="BF8" s="48">
        <f t="shared" si="6"/>
        <v>0</v>
      </c>
      <c r="BG8" s="48">
        <f t="shared" si="6"/>
        <v>0</v>
      </c>
      <c r="BH8" s="48">
        <f t="shared" si="6"/>
        <v>0</v>
      </c>
      <c r="BI8" s="48">
        <f t="shared" si="6"/>
        <v>0</v>
      </c>
      <c r="BJ8" s="48">
        <f t="shared" ref="BJ8:CO8" si="7">SUM(BJ$13:BJ$345)</f>
        <v>0</v>
      </c>
      <c r="BK8" s="48">
        <f t="shared" si="7"/>
        <v>0</v>
      </c>
      <c r="BL8" s="48">
        <f t="shared" si="7"/>
        <v>0</v>
      </c>
      <c r="BM8" s="48">
        <f t="shared" si="7"/>
        <v>0</v>
      </c>
      <c r="BN8" s="48">
        <f t="shared" si="7"/>
        <v>0</v>
      </c>
      <c r="BO8" s="48">
        <f t="shared" si="7"/>
        <v>0</v>
      </c>
      <c r="BP8" s="48">
        <f t="shared" si="7"/>
        <v>0</v>
      </c>
      <c r="BQ8" s="48">
        <f t="shared" si="7"/>
        <v>0</v>
      </c>
      <c r="BR8" s="48">
        <f t="shared" si="7"/>
        <v>0</v>
      </c>
      <c r="BS8" s="48">
        <f t="shared" si="7"/>
        <v>0</v>
      </c>
      <c r="BT8" s="48">
        <f t="shared" si="7"/>
        <v>0</v>
      </c>
      <c r="BU8" s="48">
        <f t="shared" si="7"/>
        <v>0</v>
      </c>
      <c r="BV8" s="48">
        <f t="shared" si="7"/>
        <v>0</v>
      </c>
      <c r="BW8" s="48">
        <f t="shared" si="7"/>
        <v>0</v>
      </c>
      <c r="BX8" s="48">
        <f t="shared" si="7"/>
        <v>0</v>
      </c>
      <c r="BY8" s="48">
        <f t="shared" si="7"/>
        <v>0</v>
      </c>
      <c r="BZ8" s="48">
        <f t="shared" si="7"/>
        <v>0</v>
      </c>
      <c r="CA8" s="48">
        <f t="shared" si="7"/>
        <v>0</v>
      </c>
      <c r="CB8" s="48">
        <f t="shared" si="7"/>
        <v>0</v>
      </c>
      <c r="CC8" s="48">
        <f t="shared" si="7"/>
        <v>0</v>
      </c>
      <c r="CD8" s="48">
        <f t="shared" si="7"/>
        <v>0</v>
      </c>
      <c r="CE8" s="48">
        <f t="shared" si="7"/>
        <v>0</v>
      </c>
      <c r="CF8" s="48">
        <f t="shared" si="7"/>
        <v>0</v>
      </c>
      <c r="CG8" s="48">
        <f t="shared" si="7"/>
        <v>0</v>
      </c>
      <c r="CH8" s="48">
        <f t="shared" si="7"/>
        <v>0</v>
      </c>
      <c r="CI8" s="48">
        <f t="shared" si="7"/>
        <v>0</v>
      </c>
      <c r="CJ8" s="48">
        <f t="shared" si="7"/>
        <v>0</v>
      </c>
      <c r="CK8" s="48">
        <f t="shared" si="7"/>
        <v>0</v>
      </c>
      <c r="CL8" s="48">
        <f t="shared" si="7"/>
        <v>0</v>
      </c>
      <c r="CM8" s="48">
        <f t="shared" si="7"/>
        <v>0</v>
      </c>
      <c r="CN8" s="48">
        <f t="shared" si="7"/>
        <v>0</v>
      </c>
      <c r="CO8" s="48">
        <f t="shared" si="7"/>
        <v>0</v>
      </c>
      <c r="CP8" s="48">
        <f t="shared" ref="CP8:DY8" si="8">SUM(CP$13:CP$345)</f>
        <v>0</v>
      </c>
      <c r="CQ8" s="48">
        <f t="shared" si="8"/>
        <v>0</v>
      </c>
      <c r="CR8" s="48">
        <f t="shared" si="8"/>
        <v>0</v>
      </c>
      <c r="CS8" s="48">
        <f t="shared" si="8"/>
        <v>0</v>
      </c>
      <c r="CT8" s="48">
        <f t="shared" si="8"/>
        <v>0</v>
      </c>
      <c r="CU8" s="48">
        <f t="shared" si="8"/>
        <v>0</v>
      </c>
      <c r="CV8" s="48">
        <f t="shared" si="8"/>
        <v>0</v>
      </c>
      <c r="CW8" s="48">
        <f t="shared" si="8"/>
        <v>0</v>
      </c>
      <c r="CX8" s="48">
        <f t="shared" si="8"/>
        <v>0</v>
      </c>
      <c r="CY8" s="48">
        <f t="shared" si="8"/>
        <v>0</v>
      </c>
      <c r="CZ8" s="48">
        <f t="shared" si="8"/>
        <v>0</v>
      </c>
      <c r="DA8" s="48">
        <f t="shared" si="8"/>
        <v>0</v>
      </c>
      <c r="DB8" s="48">
        <f t="shared" si="8"/>
        <v>0</v>
      </c>
      <c r="DC8" s="48">
        <f t="shared" si="8"/>
        <v>0</v>
      </c>
      <c r="DD8" s="48">
        <f t="shared" si="8"/>
        <v>0</v>
      </c>
      <c r="DE8" s="48">
        <f t="shared" si="8"/>
        <v>0</v>
      </c>
      <c r="DF8" s="48">
        <f t="shared" si="8"/>
        <v>0</v>
      </c>
      <c r="DG8" s="48">
        <f t="shared" si="8"/>
        <v>0</v>
      </c>
      <c r="DH8" s="48">
        <f t="shared" si="8"/>
        <v>0</v>
      </c>
      <c r="DI8" s="48">
        <f t="shared" si="8"/>
        <v>0</v>
      </c>
      <c r="DJ8" s="48">
        <f t="shared" si="8"/>
        <v>0</v>
      </c>
      <c r="DK8" s="48">
        <f t="shared" si="8"/>
        <v>0</v>
      </c>
      <c r="DL8" s="48">
        <f t="shared" si="8"/>
        <v>0</v>
      </c>
      <c r="DM8" s="48">
        <f t="shared" si="8"/>
        <v>0</v>
      </c>
      <c r="DN8" s="48">
        <f t="shared" si="8"/>
        <v>0</v>
      </c>
      <c r="DO8" s="48">
        <f t="shared" si="8"/>
        <v>0</v>
      </c>
      <c r="DP8" s="48">
        <f t="shared" si="8"/>
        <v>0</v>
      </c>
      <c r="DQ8" s="48">
        <f t="shared" si="8"/>
        <v>0</v>
      </c>
      <c r="DR8" s="48">
        <f t="shared" si="8"/>
        <v>0</v>
      </c>
      <c r="DS8" s="48">
        <f t="shared" si="8"/>
        <v>0</v>
      </c>
      <c r="DT8" s="48">
        <f t="shared" si="8"/>
        <v>0</v>
      </c>
      <c r="DU8" s="48">
        <f t="shared" si="8"/>
        <v>0</v>
      </c>
      <c r="DV8" s="48">
        <f t="shared" si="8"/>
        <v>0</v>
      </c>
      <c r="DW8" s="48">
        <f t="shared" si="8"/>
        <v>0</v>
      </c>
      <c r="DX8" s="48">
        <f t="shared" si="8"/>
        <v>0</v>
      </c>
      <c r="DY8" s="48">
        <f t="shared" si="8"/>
        <v>0</v>
      </c>
    </row>
    <row r="9" spans="2:129" ht="15" customHeight="1">
      <c r="B9" s="221"/>
      <c r="C9" s="218"/>
      <c r="D9" s="218"/>
      <c r="E9" s="218"/>
      <c r="F9" s="218"/>
      <c r="G9" s="218"/>
      <c r="H9" s="224"/>
      <c r="I9" s="227"/>
      <c r="J9" s="224"/>
      <c r="K9" s="224"/>
      <c r="L9" s="227"/>
      <c r="M9" s="224"/>
      <c r="N9" s="224"/>
      <c r="O9" s="227"/>
      <c r="P9" s="224"/>
      <c r="Q9" s="227"/>
      <c r="R9" s="224"/>
      <c r="S9" s="224"/>
      <c r="T9" s="224"/>
      <c r="U9" s="218"/>
      <c r="V9" s="224"/>
      <c r="W9" s="218"/>
      <c r="X9" s="218"/>
      <c r="Y9" s="218"/>
      <c r="Z9" s="218"/>
      <c r="AA9" s="218"/>
      <c r="AB9" s="230"/>
      <c r="AC9" s="62" t="s">
        <v>5</v>
      </c>
      <c r="AD9" s="50" t="str">
        <f t="shared" ref="AD9:BI9" si="9">IFERROR(IF(AD8&lt;INDEX($V$13:$V$398,MATCH(SUM(AD$13:AD$398),AD$13:AD$398,0),1),"분할출고",
ROUNDUP((SUM(AD13:AD398)/IFERROR(INDEX($V$13:$V$398,MATCH(SUM(AD$13:AD$398),AD$13:AD$398,0),1),"")),0)),"")</f>
        <v/>
      </c>
      <c r="AE9" s="50" t="str">
        <f t="shared" si="9"/>
        <v/>
      </c>
      <c r="AF9" s="50" t="str">
        <f t="shared" si="9"/>
        <v/>
      </c>
      <c r="AG9" s="50" t="str">
        <f t="shared" si="9"/>
        <v/>
      </c>
      <c r="AH9" s="50" t="str">
        <f t="shared" si="9"/>
        <v/>
      </c>
      <c r="AI9" s="50" t="str">
        <f t="shared" si="9"/>
        <v/>
      </c>
      <c r="AJ9" s="50" t="str">
        <f t="shared" si="9"/>
        <v/>
      </c>
      <c r="AK9" s="50" t="str">
        <f t="shared" si="9"/>
        <v/>
      </c>
      <c r="AL9" s="50" t="str">
        <f t="shared" si="9"/>
        <v/>
      </c>
      <c r="AM9" s="50" t="str">
        <f t="shared" si="9"/>
        <v/>
      </c>
      <c r="AN9" s="50" t="str">
        <f t="shared" si="9"/>
        <v/>
      </c>
      <c r="AO9" s="50" t="str">
        <f t="shared" si="9"/>
        <v/>
      </c>
      <c r="AP9" s="50" t="str">
        <f t="shared" si="9"/>
        <v/>
      </c>
      <c r="AQ9" s="50" t="str">
        <f t="shared" si="9"/>
        <v/>
      </c>
      <c r="AR9" s="50" t="str">
        <f t="shared" si="9"/>
        <v/>
      </c>
      <c r="AS9" s="50" t="str">
        <f t="shared" si="9"/>
        <v/>
      </c>
      <c r="AT9" s="50" t="str">
        <f t="shared" si="9"/>
        <v/>
      </c>
      <c r="AU9" s="50" t="str">
        <f t="shared" si="9"/>
        <v/>
      </c>
      <c r="AV9" s="50" t="str">
        <f t="shared" si="9"/>
        <v/>
      </c>
      <c r="AW9" s="50" t="str">
        <f t="shared" si="9"/>
        <v/>
      </c>
      <c r="AX9" s="50" t="str">
        <f t="shared" si="9"/>
        <v/>
      </c>
      <c r="AY9" s="50" t="str">
        <f t="shared" si="9"/>
        <v/>
      </c>
      <c r="AZ9" s="50" t="str">
        <f t="shared" si="9"/>
        <v/>
      </c>
      <c r="BA9" s="50" t="str">
        <f t="shared" si="9"/>
        <v/>
      </c>
      <c r="BB9" s="50" t="str">
        <f t="shared" si="9"/>
        <v/>
      </c>
      <c r="BC9" s="50" t="str">
        <f t="shared" si="9"/>
        <v/>
      </c>
      <c r="BD9" s="50" t="str">
        <f t="shared" si="9"/>
        <v/>
      </c>
      <c r="BE9" s="50" t="str">
        <f t="shared" si="9"/>
        <v/>
      </c>
      <c r="BF9" s="50" t="str">
        <f t="shared" si="9"/>
        <v/>
      </c>
      <c r="BG9" s="50" t="str">
        <f t="shared" si="9"/>
        <v/>
      </c>
      <c r="BH9" s="50" t="str">
        <f t="shared" si="9"/>
        <v/>
      </c>
      <c r="BI9" s="50" t="str">
        <f t="shared" si="9"/>
        <v/>
      </c>
      <c r="BJ9" s="50" t="str">
        <f t="shared" ref="BJ9:CO9" si="10">IFERROR(IF(BJ8&lt;INDEX($V$13:$V$398,MATCH(SUM(BJ$13:BJ$398),BJ$13:BJ$398,0),1),"분할출고",
ROUNDUP((SUM(BJ13:BJ398)/IFERROR(INDEX($V$13:$V$398,MATCH(SUM(BJ$13:BJ$398),BJ$13:BJ$398,0),1),"")),0)),"")</f>
        <v/>
      </c>
      <c r="BK9" s="50" t="str">
        <f t="shared" si="10"/>
        <v/>
      </c>
      <c r="BL9" s="50" t="str">
        <f t="shared" si="10"/>
        <v/>
      </c>
      <c r="BM9" s="50" t="str">
        <f t="shared" si="10"/>
        <v/>
      </c>
      <c r="BN9" s="50" t="str">
        <f t="shared" si="10"/>
        <v/>
      </c>
      <c r="BO9" s="50" t="str">
        <f t="shared" si="10"/>
        <v/>
      </c>
      <c r="BP9" s="50" t="str">
        <f t="shared" si="10"/>
        <v/>
      </c>
      <c r="BQ9" s="50" t="str">
        <f t="shared" si="10"/>
        <v/>
      </c>
      <c r="BR9" s="50" t="str">
        <f t="shared" si="10"/>
        <v/>
      </c>
      <c r="BS9" s="50" t="str">
        <f t="shared" si="10"/>
        <v/>
      </c>
      <c r="BT9" s="50" t="str">
        <f t="shared" si="10"/>
        <v/>
      </c>
      <c r="BU9" s="50" t="str">
        <f t="shared" si="10"/>
        <v/>
      </c>
      <c r="BV9" s="50" t="str">
        <f t="shared" si="10"/>
        <v/>
      </c>
      <c r="BW9" s="50" t="str">
        <f t="shared" si="10"/>
        <v/>
      </c>
      <c r="BX9" s="50" t="str">
        <f t="shared" si="10"/>
        <v/>
      </c>
      <c r="BY9" s="50" t="str">
        <f t="shared" si="10"/>
        <v/>
      </c>
      <c r="BZ9" s="50" t="str">
        <f t="shared" si="10"/>
        <v/>
      </c>
      <c r="CA9" s="50" t="str">
        <f t="shared" si="10"/>
        <v/>
      </c>
      <c r="CB9" s="50" t="str">
        <f t="shared" si="10"/>
        <v/>
      </c>
      <c r="CC9" s="50" t="str">
        <f t="shared" si="10"/>
        <v/>
      </c>
      <c r="CD9" s="50" t="str">
        <f t="shared" si="10"/>
        <v/>
      </c>
      <c r="CE9" s="50" t="str">
        <f t="shared" si="10"/>
        <v/>
      </c>
      <c r="CF9" s="50" t="str">
        <f t="shared" si="10"/>
        <v/>
      </c>
      <c r="CG9" s="50" t="str">
        <f t="shared" si="10"/>
        <v/>
      </c>
      <c r="CH9" s="50" t="str">
        <f t="shared" si="10"/>
        <v/>
      </c>
      <c r="CI9" s="50" t="str">
        <f t="shared" si="10"/>
        <v/>
      </c>
      <c r="CJ9" s="50" t="str">
        <f t="shared" si="10"/>
        <v/>
      </c>
      <c r="CK9" s="50" t="str">
        <f t="shared" si="10"/>
        <v/>
      </c>
      <c r="CL9" s="50" t="str">
        <f t="shared" si="10"/>
        <v/>
      </c>
      <c r="CM9" s="50" t="str">
        <f t="shared" si="10"/>
        <v/>
      </c>
      <c r="CN9" s="50" t="str">
        <f t="shared" si="10"/>
        <v/>
      </c>
      <c r="CO9" s="50" t="str">
        <f t="shared" si="10"/>
        <v/>
      </c>
      <c r="CP9" s="50" t="str">
        <f t="shared" ref="CP9:DU9" si="11">IFERROR(IF(CP8&lt;INDEX($V$13:$V$398,MATCH(SUM(CP$13:CP$398),CP$13:CP$398,0),1),"분할출고",
ROUNDUP((SUM(CP13:CP398)/IFERROR(INDEX($V$13:$V$398,MATCH(SUM(CP$13:CP$398),CP$13:CP$398,0),1),"")),0)),"")</f>
        <v/>
      </c>
      <c r="CQ9" s="50" t="str">
        <f t="shared" si="11"/>
        <v/>
      </c>
      <c r="CR9" s="50" t="str">
        <f t="shared" si="11"/>
        <v/>
      </c>
      <c r="CS9" s="50" t="str">
        <f t="shared" si="11"/>
        <v/>
      </c>
      <c r="CT9" s="50" t="str">
        <f t="shared" si="11"/>
        <v/>
      </c>
      <c r="CU9" s="50" t="str">
        <f t="shared" si="11"/>
        <v/>
      </c>
      <c r="CV9" s="50" t="str">
        <f t="shared" si="11"/>
        <v/>
      </c>
      <c r="CW9" s="50" t="str">
        <f t="shared" si="11"/>
        <v/>
      </c>
      <c r="CX9" s="50" t="str">
        <f t="shared" si="11"/>
        <v/>
      </c>
      <c r="CY9" s="50" t="str">
        <f t="shared" si="11"/>
        <v/>
      </c>
      <c r="CZ9" s="50" t="str">
        <f t="shared" si="11"/>
        <v/>
      </c>
      <c r="DA9" s="50" t="str">
        <f t="shared" si="11"/>
        <v/>
      </c>
      <c r="DB9" s="50" t="str">
        <f t="shared" si="11"/>
        <v/>
      </c>
      <c r="DC9" s="50" t="str">
        <f t="shared" si="11"/>
        <v/>
      </c>
      <c r="DD9" s="50" t="str">
        <f t="shared" si="11"/>
        <v/>
      </c>
      <c r="DE9" s="50" t="str">
        <f t="shared" si="11"/>
        <v/>
      </c>
      <c r="DF9" s="50" t="str">
        <f t="shared" si="11"/>
        <v/>
      </c>
      <c r="DG9" s="50" t="str">
        <f t="shared" si="11"/>
        <v/>
      </c>
      <c r="DH9" s="50" t="str">
        <f t="shared" si="11"/>
        <v/>
      </c>
      <c r="DI9" s="50" t="str">
        <f t="shared" si="11"/>
        <v/>
      </c>
      <c r="DJ9" s="50" t="str">
        <f t="shared" si="11"/>
        <v/>
      </c>
      <c r="DK9" s="50" t="str">
        <f t="shared" si="11"/>
        <v/>
      </c>
      <c r="DL9" s="50" t="str">
        <f t="shared" si="11"/>
        <v/>
      </c>
      <c r="DM9" s="50" t="str">
        <f t="shared" si="11"/>
        <v/>
      </c>
      <c r="DN9" s="50" t="str">
        <f t="shared" si="11"/>
        <v/>
      </c>
      <c r="DO9" s="50" t="str">
        <f t="shared" si="11"/>
        <v/>
      </c>
      <c r="DP9" s="50" t="str">
        <f t="shared" si="11"/>
        <v/>
      </c>
      <c r="DQ9" s="50" t="str">
        <f t="shared" si="11"/>
        <v/>
      </c>
      <c r="DR9" s="50" t="str">
        <f t="shared" si="11"/>
        <v/>
      </c>
      <c r="DS9" s="50" t="str">
        <f t="shared" si="11"/>
        <v/>
      </c>
      <c r="DT9" s="50" t="str">
        <f t="shared" si="11"/>
        <v/>
      </c>
      <c r="DU9" s="50" t="str">
        <f t="shared" si="11"/>
        <v/>
      </c>
      <c r="DV9" s="50" t="str">
        <f t="shared" ref="DV9:DY9" si="12">IFERROR(IF(DV8&lt;INDEX($V$13:$V$398,MATCH(SUM(DV$13:DV$398),DV$13:DV$398,0),1),"분할출고",
ROUNDUP((SUM(DV13:DV398)/IFERROR(INDEX($V$13:$V$398,MATCH(SUM(DV$13:DV$398),DV$13:DV$398,0),1),"")),0)),"")</f>
        <v/>
      </c>
      <c r="DW9" s="50" t="str">
        <f t="shared" si="12"/>
        <v/>
      </c>
      <c r="DX9" s="50" t="str">
        <f t="shared" si="12"/>
        <v/>
      </c>
      <c r="DY9" s="50" t="str">
        <f t="shared" si="12"/>
        <v/>
      </c>
    </row>
    <row r="10" spans="2:129" ht="15" customHeight="1">
      <c r="B10" s="221"/>
      <c r="C10" s="218"/>
      <c r="D10" s="218"/>
      <c r="E10" s="218"/>
      <c r="F10" s="218"/>
      <c r="G10" s="218"/>
      <c r="H10" s="224"/>
      <c r="I10" s="227"/>
      <c r="J10" s="224"/>
      <c r="K10" s="224"/>
      <c r="L10" s="227"/>
      <c r="M10" s="224"/>
      <c r="N10" s="224"/>
      <c r="O10" s="227"/>
      <c r="P10" s="224"/>
      <c r="Q10" s="227"/>
      <c r="R10" s="224"/>
      <c r="S10" s="224"/>
      <c r="T10" s="224"/>
      <c r="U10" s="218"/>
      <c r="V10" s="224"/>
      <c r="W10" s="218"/>
      <c r="X10" s="218"/>
      <c r="Y10" s="218"/>
      <c r="Z10" s="218"/>
      <c r="AA10" s="218"/>
      <c r="AB10" s="230"/>
      <c r="AC10" s="61" t="s">
        <v>6</v>
      </c>
      <c r="AD10" s="17" t="str">
        <f t="shared" ref="AD10:BI10" si="13">IFERROR(INDEX($W$13:$W$347,MATCH(SUM(AD$13:AD$345),AD$13:AD$345,0),1),"")</f>
        <v/>
      </c>
      <c r="AE10" s="17" t="str">
        <f t="shared" si="13"/>
        <v/>
      </c>
      <c r="AF10" s="17" t="str">
        <f t="shared" si="13"/>
        <v/>
      </c>
      <c r="AG10" s="17" t="str">
        <f t="shared" si="13"/>
        <v/>
      </c>
      <c r="AH10" s="17" t="str">
        <f t="shared" si="13"/>
        <v/>
      </c>
      <c r="AI10" s="17" t="str">
        <f t="shared" si="13"/>
        <v/>
      </c>
      <c r="AJ10" s="17" t="str">
        <f t="shared" si="13"/>
        <v/>
      </c>
      <c r="AK10" s="17" t="str">
        <f t="shared" si="13"/>
        <v/>
      </c>
      <c r="AL10" s="17" t="str">
        <f t="shared" si="13"/>
        <v/>
      </c>
      <c r="AM10" s="17" t="str">
        <f t="shared" si="13"/>
        <v/>
      </c>
      <c r="AN10" s="17" t="str">
        <f t="shared" si="13"/>
        <v/>
      </c>
      <c r="AO10" s="17" t="str">
        <f t="shared" si="13"/>
        <v/>
      </c>
      <c r="AP10" s="17" t="str">
        <f t="shared" si="13"/>
        <v/>
      </c>
      <c r="AQ10" s="17" t="str">
        <f t="shared" si="13"/>
        <v/>
      </c>
      <c r="AR10" s="17" t="str">
        <f t="shared" si="13"/>
        <v/>
      </c>
      <c r="AS10" s="17" t="str">
        <f t="shared" si="13"/>
        <v/>
      </c>
      <c r="AT10" s="17" t="str">
        <f t="shared" si="13"/>
        <v/>
      </c>
      <c r="AU10" s="17" t="str">
        <f t="shared" si="13"/>
        <v/>
      </c>
      <c r="AV10" s="17" t="str">
        <f t="shared" si="13"/>
        <v/>
      </c>
      <c r="AW10" s="17" t="str">
        <f t="shared" si="13"/>
        <v/>
      </c>
      <c r="AX10" s="17" t="str">
        <f t="shared" si="13"/>
        <v/>
      </c>
      <c r="AY10" s="17" t="str">
        <f t="shared" si="13"/>
        <v/>
      </c>
      <c r="AZ10" s="17" t="str">
        <f t="shared" si="13"/>
        <v/>
      </c>
      <c r="BA10" s="17" t="str">
        <f t="shared" si="13"/>
        <v/>
      </c>
      <c r="BB10" s="17" t="str">
        <f t="shared" si="13"/>
        <v/>
      </c>
      <c r="BC10" s="17" t="str">
        <f t="shared" si="13"/>
        <v/>
      </c>
      <c r="BD10" s="17" t="str">
        <f t="shared" si="13"/>
        <v/>
      </c>
      <c r="BE10" s="17" t="str">
        <f t="shared" si="13"/>
        <v/>
      </c>
      <c r="BF10" s="17" t="str">
        <f t="shared" si="13"/>
        <v/>
      </c>
      <c r="BG10" s="17" t="str">
        <f t="shared" si="13"/>
        <v/>
      </c>
      <c r="BH10" s="17" t="str">
        <f t="shared" si="13"/>
        <v/>
      </c>
      <c r="BI10" s="17" t="str">
        <f t="shared" si="13"/>
        <v/>
      </c>
      <c r="BJ10" s="17" t="str">
        <f t="shared" ref="BJ10:CO10" si="14">IFERROR(INDEX($W$13:$W$347,MATCH(SUM(BJ$13:BJ$345),BJ$13:BJ$345,0),1),"")</f>
        <v/>
      </c>
      <c r="BK10" s="17" t="str">
        <f t="shared" si="14"/>
        <v/>
      </c>
      <c r="BL10" s="17" t="str">
        <f t="shared" si="14"/>
        <v/>
      </c>
      <c r="BM10" s="17" t="str">
        <f t="shared" si="14"/>
        <v/>
      </c>
      <c r="BN10" s="17" t="str">
        <f t="shared" si="14"/>
        <v/>
      </c>
      <c r="BO10" s="17" t="str">
        <f t="shared" si="14"/>
        <v/>
      </c>
      <c r="BP10" s="17" t="str">
        <f t="shared" si="14"/>
        <v/>
      </c>
      <c r="BQ10" s="17" t="str">
        <f t="shared" si="14"/>
        <v/>
      </c>
      <c r="BR10" s="17" t="str">
        <f t="shared" si="14"/>
        <v/>
      </c>
      <c r="BS10" s="17" t="str">
        <f t="shared" si="14"/>
        <v/>
      </c>
      <c r="BT10" s="17" t="str">
        <f t="shared" si="14"/>
        <v/>
      </c>
      <c r="BU10" s="17" t="str">
        <f t="shared" si="14"/>
        <v/>
      </c>
      <c r="BV10" s="17" t="str">
        <f t="shared" si="14"/>
        <v/>
      </c>
      <c r="BW10" s="17" t="str">
        <f t="shared" si="14"/>
        <v/>
      </c>
      <c r="BX10" s="17" t="str">
        <f t="shared" si="14"/>
        <v/>
      </c>
      <c r="BY10" s="17" t="str">
        <f t="shared" si="14"/>
        <v/>
      </c>
      <c r="BZ10" s="17" t="str">
        <f t="shared" si="14"/>
        <v/>
      </c>
      <c r="CA10" s="17" t="str">
        <f t="shared" si="14"/>
        <v/>
      </c>
      <c r="CB10" s="17" t="str">
        <f t="shared" si="14"/>
        <v/>
      </c>
      <c r="CC10" s="17" t="str">
        <f t="shared" si="14"/>
        <v/>
      </c>
      <c r="CD10" s="17" t="str">
        <f t="shared" si="14"/>
        <v/>
      </c>
      <c r="CE10" s="17" t="str">
        <f t="shared" si="14"/>
        <v/>
      </c>
      <c r="CF10" s="17" t="str">
        <f t="shared" si="14"/>
        <v/>
      </c>
      <c r="CG10" s="17" t="str">
        <f t="shared" si="14"/>
        <v/>
      </c>
      <c r="CH10" s="17" t="str">
        <f t="shared" si="14"/>
        <v/>
      </c>
      <c r="CI10" s="17" t="str">
        <f t="shared" si="14"/>
        <v/>
      </c>
      <c r="CJ10" s="17" t="str">
        <f t="shared" si="14"/>
        <v/>
      </c>
      <c r="CK10" s="17" t="str">
        <f t="shared" si="14"/>
        <v/>
      </c>
      <c r="CL10" s="17" t="str">
        <f t="shared" si="14"/>
        <v/>
      </c>
      <c r="CM10" s="17" t="str">
        <f t="shared" si="14"/>
        <v/>
      </c>
      <c r="CN10" s="17" t="str">
        <f t="shared" si="14"/>
        <v/>
      </c>
      <c r="CO10" s="17" t="str">
        <f t="shared" si="14"/>
        <v/>
      </c>
      <c r="CP10" s="17" t="str">
        <f t="shared" ref="CP10:DY10" si="15">IFERROR(INDEX($W$13:$W$347,MATCH(SUM(CP$13:CP$345),CP$13:CP$345,0),1),"")</f>
        <v/>
      </c>
      <c r="CQ10" s="17" t="str">
        <f t="shared" si="15"/>
        <v/>
      </c>
      <c r="CR10" s="17" t="str">
        <f t="shared" si="15"/>
        <v/>
      </c>
      <c r="CS10" s="17" t="str">
        <f t="shared" si="15"/>
        <v/>
      </c>
      <c r="CT10" s="17" t="str">
        <f t="shared" si="15"/>
        <v/>
      </c>
      <c r="CU10" s="17" t="str">
        <f t="shared" si="15"/>
        <v/>
      </c>
      <c r="CV10" s="17" t="str">
        <f t="shared" si="15"/>
        <v/>
      </c>
      <c r="CW10" s="17" t="str">
        <f t="shared" si="15"/>
        <v/>
      </c>
      <c r="CX10" s="17" t="str">
        <f t="shared" si="15"/>
        <v/>
      </c>
      <c r="CY10" s="17" t="str">
        <f t="shared" si="15"/>
        <v/>
      </c>
      <c r="CZ10" s="17" t="str">
        <f t="shared" si="15"/>
        <v/>
      </c>
      <c r="DA10" s="17" t="str">
        <f t="shared" si="15"/>
        <v/>
      </c>
      <c r="DB10" s="17" t="str">
        <f t="shared" si="15"/>
        <v/>
      </c>
      <c r="DC10" s="17" t="str">
        <f t="shared" si="15"/>
        <v/>
      </c>
      <c r="DD10" s="17" t="str">
        <f t="shared" si="15"/>
        <v/>
      </c>
      <c r="DE10" s="17" t="str">
        <f t="shared" si="15"/>
        <v/>
      </c>
      <c r="DF10" s="17" t="str">
        <f t="shared" si="15"/>
        <v/>
      </c>
      <c r="DG10" s="17" t="str">
        <f t="shared" si="15"/>
        <v/>
      </c>
      <c r="DH10" s="17" t="str">
        <f t="shared" si="15"/>
        <v/>
      </c>
      <c r="DI10" s="17" t="str">
        <f t="shared" si="15"/>
        <v/>
      </c>
      <c r="DJ10" s="17" t="str">
        <f t="shared" si="15"/>
        <v/>
      </c>
      <c r="DK10" s="17" t="str">
        <f t="shared" si="15"/>
        <v/>
      </c>
      <c r="DL10" s="17" t="str">
        <f t="shared" si="15"/>
        <v/>
      </c>
      <c r="DM10" s="17" t="str">
        <f t="shared" si="15"/>
        <v/>
      </c>
      <c r="DN10" s="17" t="str">
        <f t="shared" si="15"/>
        <v/>
      </c>
      <c r="DO10" s="17" t="str">
        <f t="shared" si="15"/>
        <v/>
      </c>
      <c r="DP10" s="17" t="str">
        <f t="shared" si="15"/>
        <v/>
      </c>
      <c r="DQ10" s="17" t="str">
        <f t="shared" si="15"/>
        <v/>
      </c>
      <c r="DR10" s="17" t="str">
        <f t="shared" si="15"/>
        <v/>
      </c>
      <c r="DS10" s="17" t="str">
        <f t="shared" si="15"/>
        <v/>
      </c>
      <c r="DT10" s="17" t="str">
        <f t="shared" si="15"/>
        <v/>
      </c>
      <c r="DU10" s="17" t="str">
        <f t="shared" si="15"/>
        <v/>
      </c>
      <c r="DV10" s="17" t="str">
        <f t="shared" si="15"/>
        <v/>
      </c>
      <c r="DW10" s="17" t="str">
        <f t="shared" si="15"/>
        <v/>
      </c>
      <c r="DX10" s="17" t="str">
        <f t="shared" si="15"/>
        <v/>
      </c>
      <c r="DY10" s="17" t="str">
        <f t="shared" si="15"/>
        <v/>
      </c>
    </row>
    <row r="11" spans="2:129" ht="15" customHeight="1">
      <c r="B11" s="221"/>
      <c r="C11" s="218"/>
      <c r="D11" s="218"/>
      <c r="E11" s="218"/>
      <c r="F11" s="218"/>
      <c r="G11" s="218"/>
      <c r="H11" s="224"/>
      <c r="I11" s="227"/>
      <c r="J11" s="224"/>
      <c r="K11" s="224"/>
      <c r="L11" s="227"/>
      <c r="M11" s="224"/>
      <c r="N11" s="224"/>
      <c r="O11" s="227"/>
      <c r="P11" s="224"/>
      <c r="Q11" s="227"/>
      <c r="R11" s="224"/>
      <c r="S11" s="224"/>
      <c r="T11" s="224"/>
      <c r="U11" s="218"/>
      <c r="V11" s="224"/>
      <c r="W11" s="218"/>
      <c r="X11" s="218"/>
      <c r="Y11" s="218"/>
      <c r="Z11" s="218"/>
      <c r="AA11" s="218"/>
      <c r="AB11" s="230"/>
      <c r="AC11" s="61" t="s">
        <v>7</v>
      </c>
      <c r="AD11" s="20" t="str">
        <f t="shared" ref="AD11:BM11" si="16">IF(AD5="","",IF(AD10&gt;AD4,"프리타임기간내출고",IF(DATE(YEAR(AD4),MONTH(AD4),1)&gt;DATE(YEAR(AD10),MONTH(AD10),1),DATEDIF(($AA$2),(AD4)+1,"D"),DATEDIF(AD10,AD4+1,"D"))))</f>
        <v/>
      </c>
      <c r="AE11" s="20" t="str">
        <f t="shared" si="16"/>
        <v/>
      </c>
      <c r="AF11" s="20" t="str">
        <f t="shared" si="16"/>
        <v/>
      </c>
      <c r="AG11" s="20" t="str">
        <f t="shared" si="16"/>
        <v/>
      </c>
      <c r="AH11" s="20" t="str">
        <f t="shared" si="16"/>
        <v/>
      </c>
      <c r="AI11" s="20" t="str">
        <f t="shared" si="16"/>
        <v/>
      </c>
      <c r="AJ11" s="20" t="str">
        <f t="shared" si="16"/>
        <v/>
      </c>
      <c r="AK11" s="20" t="str">
        <f t="shared" si="16"/>
        <v/>
      </c>
      <c r="AL11" s="20" t="str">
        <f t="shared" si="16"/>
        <v/>
      </c>
      <c r="AM11" s="20" t="str">
        <f t="shared" si="16"/>
        <v/>
      </c>
      <c r="AN11" s="20" t="str">
        <f t="shared" si="16"/>
        <v/>
      </c>
      <c r="AO11" s="20" t="str">
        <f t="shared" si="16"/>
        <v/>
      </c>
      <c r="AP11" s="20" t="str">
        <f t="shared" si="16"/>
        <v/>
      </c>
      <c r="AQ11" s="20" t="str">
        <f t="shared" si="16"/>
        <v/>
      </c>
      <c r="AR11" s="20" t="str">
        <f t="shared" si="16"/>
        <v/>
      </c>
      <c r="AS11" s="20" t="str">
        <f t="shared" si="16"/>
        <v/>
      </c>
      <c r="AT11" s="20" t="str">
        <f t="shared" si="16"/>
        <v/>
      </c>
      <c r="AU11" s="20" t="str">
        <f t="shared" si="16"/>
        <v/>
      </c>
      <c r="AV11" s="20" t="str">
        <f t="shared" si="16"/>
        <v/>
      </c>
      <c r="AW11" s="20" t="str">
        <f t="shared" si="16"/>
        <v/>
      </c>
      <c r="AX11" s="20" t="str">
        <f t="shared" si="16"/>
        <v/>
      </c>
      <c r="AY11" s="20" t="str">
        <f t="shared" si="16"/>
        <v/>
      </c>
      <c r="AZ11" s="20" t="str">
        <f t="shared" si="16"/>
        <v/>
      </c>
      <c r="BA11" s="20" t="str">
        <f t="shared" si="16"/>
        <v/>
      </c>
      <c r="BB11" s="20" t="str">
        <f t="shared" si="16"/>
        <v/>
      </c>
      <c r="BC11" s="20" t="str">
        <f t="shared" si="16"/>
        <v/>
      </c>
      <c r="BD11" s="20" t="str">
        <f t="shared" si="16"/>
        <v/>
      </c>
      <c r="BE11" s="20" t="str">
        <f t="shared" si="16"/>
        <v/>
      </c>
      <c r="BF11" s="20" t="str">
        <f t="shared" si="16"/>
        <v/>
      </c>
      <c r="BG11" s="20" t="str">
        <f t="shared" si="16"/>
        <v/>
      </c>
      <c r="BH11" s="20" t="str">
        <f t="shared" si="16"/>
        <v/>
      </c>
      <c r="BI11" s="20" t="str">
        <f t="shared" si="16"/>
        <v/>
      </c>
      <c r="BJ11" s="20" t="str">
        <f t="shared" si="16"/>
        <v/>
      </c>
      <c r="BK11" s="20" t="str">
        <f t="shared" si="16"/>
        <v/>
      </c>
      <c r="BL11" s="20" t="str">
        <f t="shared" si="16"/>
        <v/>
      </c>
      <c r="BM11" s="20" t="str">
        <f t="shared" si="16"/>
        <v/>
      </c>
      <c r="BN11" s="20" t="str">
        <f t="shared" ref="BN11:CQ11" si="17">IF(BN5="","",IF(BN10&gt;BN4,"프리타임기간내출고",IF(DATE(YEAR(BN4),MONTH(BN4),1)&gt;DATE(YEAR(BN10),MONTH(BN10),1),DATEDIF(($AA$2),(BN4)+1,"D"),DATEDIF(BN10,BN4+1,"D"))))</f>
        <v/>
      </c>
      <c r="BO11" s="20" t="str">
        <f t="shared" si="17"/>
        <v/>
      </c>
      <c r="BP11" s="20" t="str">
        <f t="shared" si="17"/>
        <v/>
      </c>
      <c r="BQ11" s="20" t="str">
        <f t="shared" si="17"/>
        <v/>
      </c>
      <c r="BR11" s="20" t="str">
        <f t="shared" si="17"/>
        <v/>
      </c>
      <c r="BS11" s="20" t="str">
        <f t="shared" si="17"/>
        <v/>
      </c>
      <c r="BT11" s="20" t="str">
        <f t="shared" si="17"/>
        <v/>
      </c>
      <c r="BU11" s="20" t="str">
        <f t="shared" si="17"/>
        <v/>
      </c>
      <c r="BV11" s="20" t="str">
        <f t="shared" si="17"/>
        <v/>
      </c>
      <c r="BW11" s="20" t="str">
        <f t="shared" si="17"/>
        <v/>
      </c>
      <c r="BX11" s="20" t="str">
        <f t="shared" si="17"/>
        <v/>
      </c>
      <c r="BY11" s="20" t="str">
        <f t="shared" si="17"/>
        <v/>
      </c>
      <c r="BZ11" s="20" t="str">
        <f t="shared" si="17"/>
        <v/>
      </c>
      <c r="CA11" s="20" t="str">
        <f t="shared" si="17"/>
        <v/>
      </c>
      <c r="CB11" s="20" t="str">
        <f t="shared" si="17"/>
        <v/>
      </c>
      <c r="CC11" s="20" t="str">
        <f t="shared" si="17"/>
        <v/>
      </c>
      <c r="CD11" s="20" t="str">
        <f t="shared" si="17"/>
        <v/>
      </c>
      <c r="CE11" s="20" t="str">
        <f t="shared" si="17"/>
        <v/>
      </c>
      <c r="CF11" s="20" t="str">
        <f t="shared" si="17"/>
        <v/>
      </c>
      <c r="CG11" s="20" t="str">
        <f t="shared" si="17"/>
        <v/>
      </c>
      <c r="CH11" s="20" t="str">
        <f t="shared" si="17"/>
        <v/>
      </c>
      <c r="CI11" s="20" t="str">
        <f t="shared" si="17"/>
        <v/>
      </c>
      <c r="CJ11" s="20" t="str">
        <f t="shared" si="17"/>
        <v/>
      </c>
      <c r="CK11" s="20" t="str">
        <f t="shared" si="17"/>
        <v/>
      </c>
      <c r="CL11" s="20" t="str">
        <f t="shared" si="17"/>
        <v/>
      </c>
      <c r="CM11" s="20" t="str">
        <f t="shared" si="17"/>
        <v/>
      </c>
      <c r="CN11" s="20" t="str">
        <f t="shared" si="17"/>
        <v/>
      </c>
      <c r="CO11" s="20" t="str">
        <f t="shared" si="17"/>
        <v/>
      </c>
      <c r="CP11" s="20" t="str">
        <f t="shared" si="17"/>
        <v/>
      </c>
      <c r="CQ11" s="20" t="str">
        <f t="shared" si="17"/>
        <v/>
      </c>
      <c r="CR11" s="20" t="str">
        <f t="shared" ref="CR11:DY11" si="18">IF(CR5="","",IF(CR10&gt;CR4,"프리타임기간내출고",IF(DATE(YEAR(CR4),MONTH(CR4),1)&gt;DATE(YEAR(CR10),MONTH(CR10),1),DATEDIF(($AA$2),(CR4)+1,"D"),DATEDIF(CR10,CR4+1,"D"))))</f>
        <v/>
      </c>
      <c r="CS11" s="20" t="str">
        <f t="shared" si="18"/>
        <v/>
      </c>
      <c r="CT11" s="20" t="str">
        <f t="shared" si="18"/>
        <v/>
      </c>
      <c r="CU11" s="20" t="str">
        <f t="shared" si="18"/>
        <v/>
      </c>
      <c r="CV11" s="20" t="str">
        <f t="shared" si="18"/>
        <v/>
      </c>
      <c r="CW11" s="20" t="str">
        <f t="shared" si="18"/>
        <v/>
      </c>
      <c r="CX11" s="20" t="str">
        <f t="shared" si="18"/>
        <v/>
      </c>
      <c r="CY11" s="20" t="str">
        <f t="shared" si="18"/>
        <v/>
      </c>
      <c r="CZ11" s="20" t="str">
        <f t="shared" si="18"/>
        <v/>
      </c>
      <c r="DA11" s="20" t="str">
        <f t="shared" si="18"/>
        <v/>
      </c>
      <c r="DB11" s="20" t="str">
        <f t="shared" si="18"/>
        <v/>
      </c>
      <c r="DC11" s="20" t="str">
        <f t="shared" si="18"/>
        <v/>
      </c>
      <c r="DD11" s="20" t="str">
        <f t="shared" si="18"/>
        <v/>
      </c>
      <c r="DE11" s="20" t="str">
        <f t="shared" si="18"/>
        <v/>
      </c>
      <c r="DF11" s="20" t="str">
        <f t="shared" si="18"/>
        <v/>
      </c>
      <c r="DG11" s="20" t="str">
        <f t="shared" si="18"/>
        <v/>
      </c>
      <c r="DH11" s="20" t="str">
        <f t="shared" si="18"/>
        <v/>
      </c>
      <c r="DI11" s="20" t="str">
        <f t="shared" si="18"/>
        <v/>
      </c>
      <c r="DJ11" s="20" t="str">
        <f t="shared" si="18"/>
        <v/>
      </c>
      <c r="DK11" s="20" t="str">
        <f t="shared" si="18"/>
        <v/>
      </c>
      <c r="DL11" s="20" t="str">
        <f t="shared" si="18"/>
        <v/>
      </c>
      <c r="DM11" s="20" t="str">
        <f t="shared" si="18"/>
        <v/>
      </c>
      <c r="DN11" s="20" t="str">
        <f t="shared" si="18"/>
        <v/>
      </c>
      <c r="DO11" s="20" t="str">
        <f t="shared" si="18"/>
        <v/>
      </c>
      <c r="DP11" s="20" t="str">
        <f t="shared" si="18"/>
        <v/>
      </c>
      <c r="DQ11" s="20" t="str">
        <f t="shared" si="18"/>
        <v/>
      </c>
      <c r="DR11" s="20" t="str">
        <f t="shared" si="18"/>
        <v/>
      </c>
      <c r="DS11" s="20" t="str">
        <f t="shared" si="18"/>
        <v/>
      </c>
      <c r="DT11" s="20" t="str">
        <f t="shared" si="18"/>
        <v/>
      </c>
      <c r="DU11" s="20" t="str">
        <f t="shared" si="18"/>
        <v/>
      </c>
      <c r="DV11" s="20" t="str">
        <f t="shared" si="18"/>
        <v/>
      </c>
      <c r="DW11" s="20" t="str">
        <f t="shared" si="18"/>
        <v/>
      </c>
      <c r="DX11" s="20" t="str">
        <f t="shared" si="18"/>
        <v/>
      </c>
      <c r="DY11" s="20" t="str">
        <f t="shared" si="18"/>
        <v/>
      </c>
    </row>
    <row r="12" spans="2:129" ht="15" customHeight="1" thickBot="1">
      <c r="B12" s="222"/>
      <c r="C12" s="219"/>
      <c r="D12" s="219"/>
      <c r="E12" s="219"/>
      <c r="F12" s="219"/>
      <c r="G12" s="219"/>
      <c r="H12" s="225"/>
      <c r="I12" s="228"/>
      <c r="J12" s="225"/>
      <c r="K12" s="225"/>
      <c r="L12" s="228"/>
      <c r="M12" s="225"/>
      <c r="N12" s="225"/>
      <c r="O12" s="228"/>
      <c r="P12" s="225"/>
      <c r="Q12" s="228"/>
      <c r="R12" s="225"/>
      <c r="S12" s="225"/>
      <c r="T12" s="225"/>
      <c r="U12" s="219"/>
      <c r="V12" s="225"/>
      <c r="W12" s="219"/>
      <c r="X12" s="219"/>
      <c r="Y12" s="219"/>
      <c r="Z12" s="219"/>
      <c r="AA12" s="219"/>
      <c r="AB12" s="231"/>
      <c r="AC12" s="61" t="s">
        <v>8</v>
      </c>
      <c r="AD12" s="19" t="str">
        <f t="shared" ref="AD12:BI12" si="19">IFERROR(AD11*AD9*(INDEX($Y$13:$Y$377,MATCH(SUM(AD$13:AD$375),AD$13:AD$375,0),1)),"")</f>
        <v/>
      </c>
      <c r="AE12" s="19" t="str">
        <f t="shared" si="19"/>
        <v/>
      </c>
      <c r="AF12" s="19" t="str">
        <f t="shared" si="19"/>
        <v/>
      </c>
      <c r="AG12" s="19" t="str">
        <f t="shared" si="19"/>
        <v/>
      </c>
      <c r="AH12" s="19" t="str">
        <f t="shared" si="19"/>
        <v/>
      </c>
      <c r="AI12" s="19" t="str">
        <f t="shared" si="19"/>
        <v/>
      </c>
      <c r="AJ12" s="19" t="str">
        <f t="shared" si="19"/>
        <v/>
      </c>
      <c r="AK12" s="19" t="str">
        <f t="shared" si="19"/>
        <v/>
      </c>
      <c r="AL12" s="19" t="str">
        <f t="shared" si="19"/>
        <v/>
      </c>
      <c r="AM12" s="19" t="str">
        <f t="shared" si="19"/>
        <v/>
      </c>
      <c r="AN12" s="19" t="str">
        <f t="shared" si="19"/>
        <v/>
      </c>
      <c r="AO12" s="19" t="str">
        <f t="shared" si="19"/>
        <v/>
      </c>
      <c r="AP12" s="19" t="str">
        <f t="shared" si="19"/>
        <v/>
      </c>
      <c r="AQ12" s="19" t="str">
        <f t="shared" si="19"/>
        <v/>
      </c>
      <c r="AR12" s="19" t="str">
        <f t="shared" si="19"/>
        <v/>
      </c>
      <c r="AS12" s="19" t="str">
        <f t="shared" si="19"/>
        <v/>
      </c>
      <c r="AT12" s="19" t="str">
        <f t="shared" si="19"/>
        <v/>
      </c>
      <c r="AU12" s="19" t="str">
        <f t="shared" si="19"/>
        <v/>
      </c>
      <c r="AV12" s="19" t="str">
        <f t="shared" si="19"/>
        <v/>
      </c>
      <c r="AW12" s="19" t="str">
        <f t="shared" si="19"/>
        <v/>
      </c>
      <c r="AX12" s="19" t="str">
        <f t="shared" si="19"/>
        <v/>
      </c>
      <c r="AY12" s="19" t="str">
        <f t="shared" si="19"/>
        <v/>
      </c>
      <c r="AZ12" s="19" t="str">
        <f t="shared" si="19"/>
        <v/>
      </c>
      <c r="BA12" s="19" t="str">
        <f t="shared" si="19"/>
        <v/>
      </c>
      <c r="BB12" s="19" t="str">
        <f t="shared" si="19"/>
        <v/>
      </c>
      <c r="BC12" s="19" t="str">
        <f t="shared" si="19"/>
        <v/>
      </c>
      <c r="BD12" s="19" t="str">
        <f t="shared" si="19"/>
        <v/>
      </c>
      <c r="BE12" s="19" t="str">
        <f t="shared" si="19"/>
        <v/>
      </c>
      <c r="BF12" s="19" t="str">
        <f t="shared" si="19"/>
        <v/>
      </c>
      <c r="BG12" s="19" t="str">
        <f t="shared" si="19"/>
        <v/>
      </c>
      <c r="BH12" s="19" t="str">
        <f t="shared" si="19"/>
        <v/>
      </c>
      <c r="BI12" s="19" t="str">
        <f t="shared" si="19"/>
        <v/>
      </c>
      <c r="BJ12" s="19" t="str">
        <f t="shared" ref="BJ12:CO12" si="20">IFERROR(BJ11*BJ9*(INDEX($Y$13:$Y$377,MATCH(SUM(BJ$13:BJ$375),BJ$13:BJ$375,0),1)),"")</f>
        <v/>
      </c>
      <c r="BK12" s="19" t="str">
        <f t="shared" si="20"/>
        <v/>
      </c>
      <c r="BL12" s="19" t="str">
        <f t="shared" si="20"/>
        <v/>
      </c>
      <c r="BM12" s="19" t="str">
        <f t="shared" si="20"/>
        <v/>
      </c>
      <c r="BN12" s="19" t="str">
        <f t="shared" si="20"/>
        <v/>
      </c>
      <c r="BO12" s="19" t="str">
        <f t="shared" si="20"/>
        <v/>
      </c>
      <c r="BP12" s="19" t="str">
        <f t="shared" si="20"/>
        <v/>
      </c>
      <c r="BQ12" s="19" t="str">
        <f t="shared" si="20"/>
        <v/>
      </c>
      <c r="BR12" s="19" t="str">
        <f t="shared" si="20"/>
        <v/>
      </c>
      <c r="BS12" s="19" t="str">
        <f t="shared" si="20"/>
        <v/>
      </c>
      <c r="BT12" s="19" t="str">
        <f t="shared" si="20"/>
        <v/>
      </c>
      <c r="BU12" s="19" t="str">
        <f t="shared" si="20"/>
        <v/>
      </c>
      <c r="BV12" s="19" t="str">
        <f t="shared" si="20"/>
        <v/>
      </c>
      <c r="BW12" s="19" t="str">
        <f t="shared" si="20"/>
        <v/>
      </c>
      <c r="BX12" s="19" t="str">
        <f t="shared" si="20"/>
        <v/>
      </c>
      <c r="BY12" s="19" t="str">
        <f t="shared" si="20"/>
        <v/>
      </c>
      <c r="BZ12" s="19" t="str">
        <f t="shared" si="20"/>
        <v/>
      </c>
      <c r="CA12" s="19" t="str">
        <f t="shared" si="20"/>
        <v/>
      </c>
      <c r="CB12" s="19" t="str">
        <f t="shared" si="20"/>
        <v/>
      </c>
      <c r="CC12" s="19" t="str">
        <f t="shared" si="20"/>
        <v/>
      </c>
      <c r="CD12" s="19" t="str">
        <f t="shared" si="20"/>
        <v/>
      </c>
      <c r="CE12" s="19" t="str">
        <f t="shared" si="20"/>
        <v/>
      </c>
      <c r="CF12" s="19" t="str">
        <f t="shared" si="20"/>
        <v/>
      </c>
      <c r="CG12" s="19" t="str">
        <f t="shared" si="20"/>
        <v/>
      </c>
      <c r="CH12" s="19" t="str">
        <f t="shared" si="20"/>
        <v/>
      </c>
      <c r="CI12" s="19" t="str">
        <f t="shared" si="20"/>
        <v/>
      </c>
      <c r="CJ12" s="19" t="str">
        <f t="shared" si="20"/>
        <v/>
      </c>
      <c r="CK12" s="19" t="str">
        <f t="shared" si="20"/>
        <v/>
      </c>
      <c r="CL12" s="19" t="str">
        <f t="shared" si="20"/>
        <v/>
      </c>
      <c r="CM12" s="19" t="str">
        <f t="shared" si="20"/>
        <v/>
      </c>
      <c r="CN12" s="19" t="str">
        <f t="shared" si="20"/>
        <v/>
      </c>
      <c r="CO12" s="19" t="str">
        <f t="shared" si="20"/>
        <v/>
      </c>
      <c r="CP12" s="19" t="str">
        <f t="shared" ref="CP12:DU12" si="21">IFERROR(CP11*CP9*(INDEX($Y$13:$Y$377,MATCH(SUM(CP$13:CP$375),CP$13:CP$375,0),1)),"")</f>
        <v/>
      </c>
      <c r="CQ12" s="19" t="str">
        <f t="shared" si="21"/>
        <v/>
      </c>
      <c r="CR12" s="19" t="str">
        <f t="shared" si="21"/>
        <v/>
      </c>
      <c r="CS12" s="19" t="str">
        <f t="shared" si="21"/>
        <v/>
      </c>
      <c r="CT12" s="19" t="str">
        <f t="shared" si="21"/>
        <v/>
      </c>
      <c r="CU12" s="19" t="str">
        <f t="shared" si="21"/>
        <v/>
      </c>
      <c r="CV12" s="19" t="str">
        <f t="shared" si="21"/>
        <v/>
      </c>
      <c r="CW12" s="19" t="str">
        <f t="shared" si="21"/>
        <v/>
      </c>
      <c r="CX12" s="19" t="str">
        <f t="shared" si="21"/>
        <v/>
      </c>
      <c r="CY12" s="19" t="str">
        <f t="shared" si="21"/>
        <v/>
      </c>
      <c r="CZ12" s="19" t="str">
        <f t="shared" si="21"/>
        <v/>
      </c>
      <c r="DA12" s="19" t="str">
        <f t="shared" si="21"/>
        <v/>
      </c>
      <c r="DB12" s="19" t="str">
        <f t="shared" si="21"/>
        <v/>
      </c>
      <c r="DC12" s="19" t="str">
        <f t="shared" si="21"/>
        <v/>
      </c>
      <c r="DD12" s="19" t="str">
        <f t="shared" si="21"/>
        <v/>
      </c>
      <c r="DE12" s="19" t="str">
        <f t="shared" si="21"/>
        <v/>
      </c>
      <c r="DF12" s="19" t="str">
        <f t="shared" si="21"/>
        <v/>
      </c>
      <c r="DG12" s="19" t="str">
        <f t="shared" si="21"/>
        <v/>
      </c>
      <c r="DH12" s="19" t="str">
        <f t="shared" si="21"/>
        <v/>
      </c>
      <c r="DI12" s="19" t="str">
        <f t="shared" si="21"/>
        <v/>
      </c>
      <c r="DJ12" s="19" t="str">
        <f t="shared" si="21"/>
        <v/>
      </c>
      <c r="DK12" s="19" t="str">
        <f t="shared" si="21"/>
        <v/>
      </c>
      <c r="DL12" s="19" t="str">
        <f t="shared" si="21"/>
        <v/>
      </c>
      <c r="DM12" s="19" t="str">
        <f t="shared" si="21"/>
        <v/>
      </c>
      <c r="DN12" s="19" t="str">
        <f t="shared" si="21"/>
        <v/>
      </c>
      <c r="DO12" s="19" t="str">
        <f t="shared" si="21"/>
        <v/>
      </c>
      <c r="DP12" s="19" t="str">
        <f t="shared" si="21"/>
        <v/>
      </c>
      <c r="DQ12" s="19" t="str">
        <f t="shared" si="21"/>
        <v/>
      </c>
      <c r="DR12" s="19" t="str">
        <f t="shared" si="21"/>
        <v/>
      </c>
      <c r="DS12" s="19" t="str">
        <f t="shared" si="21"/>
        <v/>
      </c>
      <c r="DT12" s="19" t="str">
        <f t="shared" si="21"/>
        <v/>
      </c>
      <c r="DU12" s="19" t="str">
        <f t="shared" si="21"/>
        <v/>
      </c>
      <c r="DV12" s="19" t="str">
        <f t="shared" ref="DV12:DY12" si="22">IFERROR(DV11*DV9*(INDEX($Y$13:$Y$377,MATCH(SUM(DV$13:DV$375),DV$13:DV$375,0),1)),"")</f>
        <v/>
      </c>
      <c r="DW12" s="19" t="str">
        <f t="shared" si="22"/>
        <v/>
      </c>
      <c r="DX12" s="19" t="str">
        <f t="shared" si="22"/>
        <v/>
      </c>
      <c r="DY12" s="19" t="str">
        <f t="shared" si="22"/>
        <v/>
      </c>
    </row>
    <row r="13" spans="2:129" ht="30.75" customHeight="1" thickTop="1">
      <c r="B13" s="149">
        <v>46063</v>
      </c>
      <c r="C13" s="150" t="s">
        <v>292</v>
      </c>
      <c r="D13" s="151"/>
      <c r="E13" s="152"/>
      <c r="F13" s="92" t="s">
        <v>139</v>
      </c>
      <c r="G13" s="92" t="s">
        <v>293</v>
      </c>
      <c r="H13" s="27">
        <v>2</v>
      </c>
      <c r="I13" s="37">
        <f>ROUNDUP((H13/V13),0)-1</f>
        <v>0</v>
      </c>
      <c r="J13" s="27">
        <v>0</v>
      </c>
      <c r="K13" s="27">
        <v>2</v>
      </c>
      <c r="L13" s="37">
        <f t="shared" ref="L13" si="23">ROUNDUP((K13/V13),0)</f>
        <v>1</v>
      </c>
      <c r="M13" s="27">
        <v>0</v>
      </c>
      <c r="N13" s="45">
        <f t="shared" ref="N13" si="24">P13-K13</f>
        <v>0</v>
      </c>
      <c r="O13" s="46">
        <f t="shared" ref="O13" si="25">ROUNDUP((N13/V13),0)</f>
        <v>0</v>
      </c>
      <c r="P13" s="45">
        <f t="shared" ref="P13" si="26">H13-T13-J13</f>
        <v>2</v>
      </c>
      <c r="Q13" s="46">
        <f>L13+O13-1</f>
        <v>0</v>
      </c>
      <c r="R13" s="27">
        <v>0</v>
      </c>
      <c r="S13" s="27">
        <f t="shared" ref="S13" si="27">SUM(AD13:PR13)</f>
        <v>0</v>
      </c>
      <c r="T13" s="27">
        <f t="shared" ref="T13" si="28">R13+S13+M13</f>
        <v>0</v>
      </c>
      <c r="U13" s="28" t="s">
        <v>294</v>
      </c>
      <c r="V13" s="27">
        <v>72</v>
      </c>
      <c r="W13" s="3">
        <f t="shared" ref="W13" si="29">B13+X13</f>
        <v>46073</v>
      </c>
      <c r="X13" s="2">
        <v>10</v>
      </c>
      <c r="Y13" s="2">
        <v>400</v>
      </c>
      <c r="Z13" s="2" t="e">
        <f>SUMIF(#REF!,G13,#REF!)</f>
        <v>#REF!</v>
      </c>
      <c r="AA13" s="2">
        <f t="shared" ref="AA13" ca="1" si="30">IF(W13&gt;TODAY(),"프리타임기간중",Q13*Y13*IF(DATE(YEAR(W13),MONTH(W13),1)&lt;DATE(YEAR($AA$2),MONTH($AA$2),1),DATEDIF($AA$2,$AA$3,"D")+1,DATEDIF(W13,$AA$3+1,"d")))</f>
        <v>0</v>
      </c>
      <c r="AB13" s="93" t="str">
        <f t="shared" ref="AB13" ca="1" si="31">IFERROR(Z13+AA13,"")</f>
        <v/>
      </c>
    </row>
    <row r="14" spans="2:129" ht="30.75" customHeight="1">
      <c r="B14" s="149"/>
      <c r="C14" s="150"/>
      <c r="D14" s="151"/>
      <c r="E14" s="152"/>
      <c r="F14" s="92"/>
      <c r="G14" s="92"/>
      <c r="H14" s="27"/>
      <c r="I14" s="37">
        <f t="shared" ref="I14" si="32">ROUNDUP((H14/V14),0)</f>
        <v>0</v>
      </c>
      <c r="J14" s="27">
        <v>0</v>
      </c>
      <c r="K14" s="27">
        <v>0</v>
      </c>
      <c r="L14" s="37">
        <f t="shared" ref="L14" si="33">ROUNDUP((K14/V14),0)</f>
        <v>0</v>
      </c>
      <c r="M14" s="27">
        <v>0</v>
      </c>
      <c r="N14" s="45">
        <f t="shared" ref="N14" si="34">P14-K14</f>
        <v>0</v>
      </c>
      <c r="O14" s="46">
        <f t="shared" ref="O14" si="35">ROUNDUP((N14/V14),0)</f>
        <v>0</v>
      </c>
      <c r="P14" s="45">
        <f t="shared" ref="P14" si="36">H14-T14-J14</f>
        <v>0</v>
      </c>
      <c r="Q14" s="46">
        <f t="shared" ref="Q14" si="37">L14+O14</f>
        <v>0</v>
      </c>
      <c r="R14" s="27">
        <v>0</v>
      </c>
      <c r="S14" s="27">
        <f t="shared" ref="S14" si="38">SUM(AD14:PR14)</f>
        <v>0</v>
      </c>
      <c r="T14" s="27">
        <f t="shared" ref="T14" si="39">R14+S14+M14</f>
        <v>0</v>
      </c>
      <c r="U14" s="28"/>
      <c r="V14" s="27">
        <v>72</v>
      </c>
      <c r="W14" s="3">
        <f t="shared" ref="W14" si="40">B14+X14</f>
        <v>10</v>
      </c>
      <c r="X14" s="2">
        <v>10</v>
      </c>
      <c r="Y14" s="2">
        <v>400</v>
      </c>
      <c r="Z14" s="2" t="e">
        <f>SUMIF(#REF!,G14,#REF!)</f>
        <v>#REF!</v>
      </c>
      <c r="AA14" s="2">
        <f t="shared" ref="AA14" ca="1" si="41">IF(W14&gt;TODAY(),"프리타임기간중",Q14*Y14*IF(DATE(YEAR(W14),MONTH(W14),1)&lt;DATE(YEAR($AA$2),MONTH($AA$2),1),DATEDIF($AA$2,$AA$3,"D")+1,DATEDIF(W14,$AA$3+1,"d")))</f>
        <v>0</v>
      </c>
      <c r="AB14" s="93" t="str">
        <f t="shared" ref="AB14" ca="1" si="42">IFERROR(Z14+AA14,"")</f>
        <v/>
      </c>
    </row>
    <row r="15" spans="2:129" ht="15" customHeight="1"/>
    <row r="16" spans="2:129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</sheetData>
  <autoFilter ref="A12:AC13" xr:uid="{00000000-0009-0000-0000-000001000000}"/>
  <mergeCells count="27">
    <mergeCell ref="Z4:Z12"/>
    <mergeCell ref="AA4:AA12"/>
    <mergeCell ref="AB4:AB12"/>
    <mergeCell ref="T4:T12"/>
    <mergeCell ref="U4:U12"/>
    <mergeCell ref="V4:V12"/>
    <mergeCell ref="W4:W12"/>
    <mergeCell ref="X4:X12"/>
    <mergeCell ref="Y4:Y12"/>
    <mergeCell ref="S4:S12"/>
    <mergeCell ref="H4:H12"/>
    <mergeCell ref="I4:I12"/>
    <mergeCell ref="K4:K12"/>
    <mergeCell ref="L4:L12"/>
    <mergeCell ref="J4:J12"/>
    <mergeCell ref="M4:M12"/>
    <mergeCell ref="N4:N12"/>
    <mergeCell ref="O4:O12"/>
    <mergeCell ref="P4:P12"/>
    <mergeCell ref="Q4:Q12"/>
    <mergeCell ref="R4:R12"/>
    <mergeCell ref="G4:G12"/>
    <mergeCell ref="B4:B12"/>
    <mergeCell ref="C4:C12"/>
    <mergeCell ref="D4:D12"/>
    <mergeCell ref="E4:E12"/>
    <mergeCell ref="F4:F12"/>
  </mergeCells>
  <phoneticPr fontId="2" type="noConversion"/>
  <pageMargins left="0.2" right="0.2" top="0.27" bottom="0.2" header="0.31496062992125984" footer="0.2"/>
  <pageSetup paperSize="9" scale="90" orientation="landscape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621D3-72E7-4C76-8535-836DAC55349C}">
  <sheetPr codeName="Sheet7">
    <pageSetUpPr fitToPage="1"/>
  </sheetPr>
  <dimension ref="A1:BH28"/>
  <sheetViews>
    <sheetView zoomScaleNormal="100" workbookViewId="0">
      <pane xSplit="32" ySplit="12" topLeftCell="AG13" activePane="bottomRight" state="frozen"/>
      <selection activeCell="C17" sqref="C17"/>
      <selection pane="topRight" activeCell="C17" sqref="C17"/>
      <selection pane="bottomLeft" activeCell="C17" sqref="C17"/>
      <selection pane="bottomRight" activeCell="AF3" sqref="AF3:IH12"/>
    </sheetView>
  </sheetViews>
  <sheetFormatPr defaultColWidth="10" defaultRowHeight="11.25" outlineLevelCol="1"/>
  <cols>
    <col min="1" max="1" width="8.75" style="107" bestFit="1" customWidth="1"/>
    <col min="2" max="2" width="9.5" style="1" customWidth="1"/>
    <col min="3" max="3" width="16.875" style="1" customWidth="1"/>
    <col min="4" max="4" width="6.875" style="1" customWidth="1"/>
    <col min="5" max="5" width="6.5" style="1" customWidth="1"/>
    <col min="6" max="6" width="12.5" style="1" customWidth="1"/>
    <col min="7" max="7" width="3.625" style="1" customWidth="1" outlineLevel="1"/>
    <col min="8" max="8" width="9.875" style="1" customWidth="1" outlineLevel="1"/>
    <col min="9" max="9" width="7.875" style="1" customWidth="1" outlineLevel="1"/>
    <col min="10" max="10" width="4.75" style="1" customWidth="1" outlineLevel="1"/>
    <col min="11" max="11" width="6.75" style="4" customWidth="1" outlineLevel="1"/>
    <col min="12" max="12" width="6.75" style="38" customWidth="1" outlineLevel="1"/>
    <col min="13" max="14" width="6.75" style="4" customWidth="1" outlineLevel="1"/>
    <col min="15" max="15" width="6.75" style="38" customWidth="1" outlineLevel="1"/>
    <col min="16" max="16" width="6.75" style="4" customWidth="1" outlineLevel="1"/>
    <col min="17" max="17" width="6.75" style="4" customWidth="1"/>
    <col min="18" max="18" width="6.75" style="38" customWidth="1"/>
    <col min="19" max="19" width="6.75" style="4" customWidth="1"/>
    <col min="20" max="20" width="6.75" style="38" customWidth="1"/>
    <col min="21" max="23" width="6.75" style="4" customWidth="1" outlineLevel="1"/>
    <col min="24" max="24" width="13.875" style="1" customWidth="1" outlineLevel="1"/>
    <col min="25" max="25" width="4.625" style="4" customWidth="1" outlineLevel="1"/>
    <col min="26" max="26" width="9.25" style="1" customWidth="1" outlineLevel="1"/>
    <col min="27" max="27" width="5" style="1" customWidth="1" outlineLevel="1"/>
    <col min="28" max="28" width="4.5" style="1" customWidth="1" outlineLevel="1"/>
    <col min="29" max="29" width="9.125" style="1" customWidth="1" outlineLevel="1"/>
    <col min="30" max="31" width="7.25" style="1" customWidth="1" outlineLevel="1"/>
    <col min="32" max="32" width="14.125" style="57" customWidth="1"/>
    <col min="33" max="34" width="18.875" style="1" bestFit="1" customWidth="1"/>
    <col min="35" max="60" width="20.625" style="1" customWidth="1"/>
    <col min="61" max="16384" width="10" style="1"/>
  </cols>
  <sheetData>
    <row r="1" spans="1:60" s="23" customFormat="1" ht="20.100000000000001" customHeight="1">
      <c r="A1" s="53" t="s">
        <v>138</v>
      </c>
      <c r="K1" s="25"/>
      <c r="L1" s="36"/>
      <c r="M1" s="25"/>
      <c r="N1" s="25"/>
      <c r="O1" s="36"/>
      <c r="P1" s="25"/>
      <c r="Q1" s="25"/>
      <c r="R1" s="36"/>
      <c r="S1" s="25"/>
      <c r="T1" s="36"/>
      <c r="U1" s="25"/>
      <c r="V1" s="25"/>
      <c r="W1" s="25"/>
      <c r="Y1" s="25"/>
      <c r="AF1" s="54"/>
    </row>
    <row r="2" spans="1:60" s="23" customFormat="1" ht="20.100000000000001" customHeight="1">
      <c r="A2" s="53"/>
      <c r="F2" s="63"/>
      <c r="K2" s="25"/>
      <c r="L2" s="36"/>
      <c r="M2" s="25"/>
      <c r="N2" s="25"/>
      <c r="O2" s="36"/>
      <c r="P2" s="25"/>
      <c r="Q2" s="25"/>
      <c r="R2" s="36"/>
      <c r="S2" s="25"/>
      <c r="T2" s="36"/>
      <c r="U2" s="25"/>
      <c r="V2" s="25"/>
      <c r="W2" s="25"/>
      <c r="Y2" s="25"/>
      <c r="AC2" s="23" t="s">
        <v>87</v>
      </c>
      <c r="AD2" s="52">
        <v>46194</v>
      </c>
      <c r="AF2" s="54" t="s">
        <v>136</v>
      </c>
      <c r="AG2" s="106">
        <f t="shared" ref="AG2:AW2" si="0">IF(AG9="분할출고",0,_xlfn.SWITCH(IFERROR(INDEX($E$13:$E$270,MATCH(SUM(AG$13:AG$270),AG$13:AG$270,0),1),""),"아주",30,"kpp",40,0,0)*AG11*AG9)</f>
        <v>960</v>
      </c>
      <c r="AH2" s="106">
        <f t="shared" si="0"/>
        <v>960</v>
      </c>
      <c r="AI2" s="106">
        <f t="shared" si="0"/>
        <v>1440</v>
      </c>
      <c r="AJ2" s="106">
        <f t="shared" si="0"/>
        <v>810</v>
      </c>
      <c r="AK2" s="106">
        <f t="shared" si="0"/>
        <v>90</v>
      </c>
      <c r="AL2" s="106" t="e">
        <f t="shared" si="0"/>
        <v>#N/A</v>
      </c>
      <c r="AM2" s="106" t="e">
        <f t="shared" si="0"/>
        <v>#N/A</v>
      </c>
      <c r="AN2" s="106" t="e">
        <f t="shared" si="0"/>
        <v>#N/A</v>
      </c>
      <c r="AO2" s="106" t="e">
        <f t="shared" si="0"/>
        <v>#N/A</v>
      </c>
      <c r="AP2" s="106" t="e">
        <f t="shared" si="0"/>
        <v>#N/A</v>
      </c>
      <c r="AQ2" s="106" t="e">
        <f t="shared" si="0"/>
        <v>#N/A</v>
      </c>
      <c r="AR2" s="106" t="e">
        <f t="shared" si="0"/>
        <v>#N/A</v>
      </c>
      <c r="AS2" s="106" t="e">
        <f t="shared" si="0"/>
        <v>#N/A</v>
      </c>
      <c r="AT2" s="106" t="e">
        <f t="shared" si="0"/>
        <v>#N/A</v>
      </c>
      <c r="AU2" s="106" t="e">
        <f t="shared" si="0"/>
        <v>#N/A</v>
      </c>
      <c r="AV2" s="106" t="e">
        <f t="shared" si="0"/>
        <v>#N/A</v>
      </c>
      <c r="AW2" s="106" t="e">
        <f t="shared" si="0"/>
        <v>#N/A</v>
      </c>
      <c r="AX2" s="106" t="e">
        <f t="shared" ref="AX2:BH2" si="1">IF(AX9="분할출고",0,_xlfn.SWITCH(IFERROR(INDEX($E$13:$E$270,MATCH(SUM(AX$13:AX$270),AX$13:AX$270,0),1),""),"아주",30,"kpp",40,0,0)*AX11*AX9)</f>
        <v>#N/A</v>
      </c>
      <c r="AY2" s="106" t="e">
        <f t="shared" si="1"/>
        <v>#N/A</v>
      </c>
      <c r="AZ2" s="106" t="e">
        <f t="shared" si="1"/>
        <v>#N/A</v>
      </c>
      <c r="BA2" s="106" t="e">
        <f t="shared" si="1"/>
        <v>#N/A</v>
      </c>
      <c r="BB2" s="106" t="e">
        <f t="shared" si="1"/>
        <v>#N/A</v>
      </c>
      <c r="BC2" s="106" t="e">
        <f t="shared" si="1"/>
        <v>#N/A</v>
      </c>
      <c r="BD2" s="106" t="e">
        <f t="shared" si="1"/>
        <v>#N/A</v>
      </c>
      <c r="BE2" s="106" t="e">
        <f t="shared" si="1"/>
        <v>#N/A</v>
      </c>
      <c r="BF2" s="106" t="e">
        <f t="shared" si="1"/>
        <v>#N/A</v>
      </c>
      <c r="BG2" s="106" t="e">
        <f t="shared" si="1"/>
        <v>#N/A</v>
      </c>
      <c r="BH2" s="106" t="e">
        <f t="shared" si="1"/>
        <v>#N/A</v>
      </c>
    </row>
    <row r="3" spans="1:60" s="23" customFormat="1" ht="20.100000000000001" customHeight="1" thickBot="1">
      <c r="A3" s="53"/>
      <c r="K3" s="25"/>
      <c r="L3" s="36"/>
      <c r="M3" s="25"/>
      <c r="N3" s="25"/>
      <c r="O3" s="36"/>
      <c r="P3" s="25"/>
      <c r="Q3" s="25"/>
      <c r="R3" s="36"/>
      <c r="S3" s="25"/>
      <c r="T3" s="36"/>
      <c r="U3" s="25"/>
      <c r="V3" s="25"/>
      <c r="W3" s="25"/>
      <c r="Y3" s="25"/>
      <c r="AC3" s="23" t="s">
        <v>86</v>
      </c>
      <c r="AD3" s="52">
        <v>46223</v>
      </c>
      <c r="AE3" s="52"/>
      <c r="AF3" s="54" t="s">
        <v>135</v>
      </c>
      <c r="AG3" s="106" t="str">
        <f t="shared" ref="AG3:BH3" si="2">IFERROR(INDEX($E$13:$E$270,MATCH(SUM(AG$13:AG$270),AG$13:AG$270,0),1),"")</f>
        <v>아주</v>
      </c>
      <c r="AH3" s="106" t="str">
        <f t="shared" si="2"/>
        <v>아주</v>
      </c>
      <c r="AI3" s="106" t="str">
        <f t="shared" si="2"/>
        <v>아주</v>
      </c>
      <c r="AJ3" s="106" t="str">
        <f t="shared" si="2"/>
        <v>아주</v>
      </c>
      <c r="AK3" s="106" t="str">
        <f t="shared" si="2"/>
        <v>아주</v>
      </c>
      <c r="AL3" s="106" t="str">
        <f t="shared" si="2"/>
        <v/>
      </c>
      <c r="AM3" s="106" t="str">
        <f t="shared" si="2"/>
        <v/>
      </c>
      <c r="AN3" s="106" t="str">
        <f t="shared" si="2"/>
        <v/>
      </c>
      <c r="AO3" s="106" t="str">
        <f t="shared" si="2"/>
        <v/>
      </c>
      <c r="AP3" s="106" t="str">
        <f t="shared" si="2"/>
        <v/>
      </c>
      <c r="AQ3" s="106" t="str">
        <f t="shared" si="2"/>
        <v/>
      </c>
      <c r="AR3" s="106" t="str">
        <f t="shared" si="2"/>
        <v/>
      </c>
      <c r="AS3" s="106" t="str">
        <f t="shared" si="2"/>
        <v/>
      </c>
      <c r="AT3" s="106" t="str">
        <f t="shared" si="2"/>
        <v/>
      </c>
      <c r="AU3" s="106" t="str">
        <f t="shared" si="2"/>
        <v/>
      </c>
      <c r="AV3" s="106" t="str">
        <f t="shared" si="2"/>
        <v/>
      </c>
      <c r="AW3" s="106" t="str">
        <f t="shared" si="2"/>
        <v/>
      </c>
      <c r="AX3" s="106" t="str">
        <f t="shared" si="2"/>
        <v/>
      </c>
      <c r="AY3" s="106" t="str">
        <f t="shared" si="2"/>
        <v/>
      </c>
      <c r="AZ3" s="106" t="str">
        <f t="shared" si="2"/>
        <v/>
      </c>
      <c r="BA3" s="106" t="str">
        <f t="shared" si="2"/>
        <v/>
      </c>
      <c r="BB3" s="106" t="str">
        <f t="shared" si="2"/>
        <v/>
      </c>
      <c r="BC3" s="106" t="str">
        <f t="shared" si="2"/>
        <v/>
      </c>
      <c r="BD3" s="106" t="str">
        <f t="shared" si="2"/>
        <v/>
      </c>
      <c r="BE3" s="106" t="str">
        <f t="shared" si="2"/>
        <v/>
      </c>
      <c r="BF3" s="106" t="str">
        <f t="shared" si="2"/>
        <v/>
      </c>
      <c r="BG3" s="106" t="str">
        <f t="shared" si="2"/>
        <v/>
      </c>
      <c r="BH3" s="106" t="str">
        <f t="shared" si="2"/>
        <v/>
      </c>
    </row>
    <row r="4" spans="1:60" ht="22.5" customHeight="1">
      <c r="A4" s="206" t="s">
        <v>137</v>
      </c>
      <c r="B4" s="214" t="s">
        <v>16</v>
      </c>
      <c r="C4" s="203" t="s">
        <v>17</v>
      </c>
      <c r="D4" s="203" t="s">
        <v>18</v>
      </c>
      <c r="E4" s="203" t="s">
        <v>127</v>
      </c>
      <c r="F4" s="203" t="s">
        <v>20</v>
      </c>
      <c r="G4" s="203" t="s">
        <v>49</v>
      </c>
      <c r="H4" s="203" t="s">
        <v>125</v>
      </c>
      <c r="I4" s="203" t="s">
        <v>134</v>
      </c>
      <c r="J4" s="203" t="s">
        <v>126</v>
      </c>
      <c r="K4" s="190" t="s">
        <v>21</v>
      </c>
      <c r="L4" s="195" t="s">
        <v>22</v>
      </c>
      <c r="M4" s="190" t="s">
        <v>71</v>
      </c>
      <c r="N4" s="190" t="s">
        <v>23</v>
      </c>
      <c r="O4" s="195" t="s">
        <v>9</v>
      </c>
      <c r="P4" s="190" t="s">
        <v>24</v>
      </c>
      <c r="Q4" s="190" t="s">
        <v>25</v>
      </c>
      <c r="R4" s="195" t="s">
        <v>26</v>
      </c>
      <c r="S4" s="190" t="s">
        <v>27</v>
      </c>
      <c r="T4" s="195" t="s">
        <v>28</v>
      </c>
      <c r="U4" s="190" t="s">
        <v>10</v>
      </c>
      <c r="V4" s="190" t="s">
        <v>30</v>
      </c>
      <c r="W4" s="179" t="s">
        <v>31</v>
      </c>
      <c r="X4" s="203" t="s">
        <v>32</v>
      </c>
      <c r="Y4" s="190" t="s">
        <v>33</v>
      </c>
      <c r="Z4" s="203" t="s">
        <v>11</v>
      </c>
      <c r="AA4" s="203" t="s">
        <v>35</v>
      </c>
      <c r="AB4" s="203" t="s">
        <v>36</v>
      </c>
      <c r="AC4" s="204" t="s">
        <v>37</v>
      </c>
      <c r="AD4" s="204" t="s">
        <v>38</v>
      </c>
      <c r="AE4" s="198" t="s">
        <v>39</v>
      </c>
      <c r="AF4" s="69" t="s">
        <v>92</v>
      </c>
      <c r="AG4" s="76">
        <v>46195</v>
      </c>
      <c r="AH4" s="76">
        <v>46195</v>
      </c>
      <c r="AI4" s="76">
        <v>46196</v>
      </c>
      <c r="AJ4" s="76">
        <v>46196</v>
      </c>
      <c r="AK4" s="76">
        <v>46196</v>
      </c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  <c r="BG4" s="76"/>
      <c r="BH4" s="76"/>
    </row>
    <row r="5" spans="1:60" ht="20.100000000000001" customHeight="1">
      <c r="A5" s="207"/>
      <c r="B5" s="215"/>
      <c r="C5" s="191"/>
      <c r="D5" s="191"/>
      <c r="E5" s="191"/>
      <c r="F5" s="191"/>
      <c r="G5" s="191"/>
      <c r="H5" s="212"/>
      <c r="I5" s="212"/>
      <c r="J5" s="212"/>
      <c r="K5" s="193"/>
      <c r="L5" s="196"/>
      <c r="M5" s="193"/>
      <c r="N5" s="191"/>
      <c r="O5" s="191"/>
      <c r="P5" s="191"/>
      <c r="Q5" s="191"/>
      <c r="R5" s="191"/>
      <c r="S5" s="191"/>
      <c r="T5" s="191"/>
      <c r="U5" s="191"/>
      <c r="V5" s="191"/>
      <c r="W5" s="180"/>
      <c r="X5" s="191"/>
      <c r="Y5" s="191"/>
      <c r="Z5" s="191"/>
      <c r="AA5" s="191"/>
      <c r="AB5" s="191"/>
      <c r="AC5" s="205"/>
      <c r="AD5" s="205"/>
      <c r="AE5" s="199"/>
      <c r="AF5" s="69" t="s">
        <v>1</v>
      </c>
      <c r="AG5" s="77" t="s">
        <v>254</v>
      </c>
      <c r="AH5" s="77" t="s">
        <v>348</v>
      </c>
      <c r="AI5" s="77" t="s">
        <v>254</v>
      </c>
      <c r="AJ5" s="77" t="s">
        <v>348</v>
      </c>
      <c r="AK5" s="77" t="s">
        <v>348</v>
      </c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  <c r="AW5" s="77"/>
      <c r="AX5" s="77"/>
      <c r="AY5" s="77"/>
      <c r="AZ5" s="77"/>
      <c r="BA5" s="77"/>
      <c r="BB5" s="77"/>
      <c r="BC5" s="77"/>
      <c r="BD5" s="77"/>
      <c r="BE5" s="77"/>
      <c r="BF5" s="77"/>
      <c r="BG5" s="77"/>
      <c r="BH5" s="77"/>
    </row>
    <row r="6" spans="1:60" ht="20.100000000000001" customHeight="1">
      <c r="A6" s="207"/>
      <c r="B6" s="215"/>
      <c r="C6" s="191"/>
      <c r="D6" s="191"/>
      <c r="E6" s="191"/>
      <c r="F6" s="191"/>
      <c r="G6" s="191"/>
      <c r="H6" s="212"/>
      <c r="I6" s="212"/>
      <c r="J6" s="212"/>
      <c r="K6" s="193"/>
      <c r="L6" s="196"/>
      <c r="M6" s="193"/>
      <c r="N6" s="191"/>
      <c r="O6" s="191"/>
      <c r="P6" s="191"/>
      <c r="Q6" s="191"/>
      <c r="R6" s="191"/>
      <c r="S6" s="191"/>
      <c r="T6" s="191"/>
      <c r="U6" s="191"/>
      <c r="V6" s="191"/>
      <c r="W6" s="180"/>
      <c r="X6" s="191"/>
      <c r="Y6" s="191"/>
      <c r="Z6" s="191"/>
      <c r="AA6" s="191"/>
      <c r="AB6" s="191"/>
      <c r="AC6" s="191"/>
      <c r="AD6" s="191"/>
      <c r="AE6" s="200"/>
      <c r="AF6" s="55" t="s">
        <v>115</v>
      </c>
      <c r="AG6" s="17" t="str">
        <f t="shared" ref="AG6:BH6" si="3">IFERROR(INDEX($C$13:$C$270,MATCH(SUM(AG$13:AG$270),AG$13:AG$270,0),1),"")</f>
        <v>SMLMBKK6A1642100(본사)</v>
      </c>
      <c r="AH6" s="17" t="str">
        <f t="shared" si="3"/>
        <v>SMLMBKK6A1642100(본사)</v>
      </c>
      <c r="AI6" s="17" t="str">
        <f t="shared" si="3"/>
        <v>SMLMBKK6A1642100(본사)</v>
      </c>
      <c r="AJ6" s="17" t="str">
        <f t="shared" si="3"/>
        <v>SMLMBKK6A1642100(본사)</v>
      </c>
      <c r="AK6" s="17" t="str">
        <f t="shared" si="3"/>
        <v>SMLMBKK6A1642100(본사)</v>
      </c>
      <c r="AL6" s="17" t="str">
        <f t="shared" si="3"/>
        <v/>
      </c>
      <c r="AM6" s="17" t="str">
        <f t="shared" si="3"/>
        <v/>
      </c>
      <c r="AN6" s="17" t="str">
        <f t="shared" si="3"/>
        <v/>
      </c>
      <c r="AO6" s="17" t="str">
        <f t="shared" si="3"/>
        <v/>
      </c>
      <c r="AP6" s="17" t="str">
        <f t="shared" si="3"/>
        <v/>
      </c>
      <c r="AQ6" s="17" t="str">
        <f t="shared" si="3"/>
        <v/>
      </c>
      <c r="AR6" s="17" t="str">
        <f t="shared" si="3"/>
        <v/>
      </c>
      <c r="AS6" s="17" t="str">
        <f t="shared" si="3"/>
        <v/>
      </c>
      <c r="AT6" s="17" t="str">
        <f t="shared" si="3"/>
        <v/>
      </c>
      <c r="AU6" s="17" t="str">
        <f t="shared" si="3"/>
        <v/>
      </c>
      <c r="AV6" s="17" t="str">
        <f t="shared" si="3"/>
        <v/>
      </c>
      <c r="AW6" s="17" t="str">
        <f t="shared" si="3"/>
        <v/>
      </c>
      <c r="AX6" s="17" t="str">
        <f t="shared" si="3"/>
        <v/>
      </c>
      <c r="AY6" s="17" t="str">
        <f t="shared" si="3"/>
        <v/>
      </c>
      <c r="AZ6" s="17" t="str">
        <f t="shared" si="3"/>
        <v/>
      </c>
      <c r="BA6" s="17" t="str">
        <f t="shared" si="3"/>
        <v/>
      </c>
      <c r="BB6" s="17" t="str">
        <f t="shared" si="3"/>
        <v/>
      </c>
      <c r="BC6" s="17" t="str">
        <f t="shared" si="3"/>
        <v/>
      </c>
      <c r="BD6" s="17" t="str">
        <f t="shared" si="3"/>
        <v/>
      </c>
      <c r="BE6" s="17" t="str">
        <f t="shared" si="3"/>
        <v/>
      </c>
      <c r="BF6" s="17" t="str">
        <f t="shared" si="3"/>
        <v/>
      </c>
      <c r="BG6" s="17" t="str">
        <f t="shared" si="3"/>
        <v/>
      </c>
      <c r="BH6" s="17" t="str">
        <f t="shared" si="3"/>
        <v/>
      </c>
    </row>
    <row r="7" spans="1:60" ht="15" customHeight="1">
      <c r="A7" s="207"/>
      <c r="B7" s="215"/>
      <c r="C7" s="191"/>
      <c r="D7" s="191"/>
      <c r="E7" s="191"/>
      <c r="F7" s="191"/>
      <c r="G7" s="191"/>
      <c r="H7" s="212"/>
      <c r="I7" s="212"/>
      <c r="J7" s="212"/>
      <c r="K7" s="193"/>
      <c r="L7" s="196"/>
      <c r="M7" s="193"/>
      <c r="N7" s="191"/>
      <c r="O7" s="191"/>
      <c r="P7" s="191"/>
      <c r="Q7" s="191"/>
      <c r="R7" s="191"/>
      <c r="S7" s="191"/>
      <c r="T7" s="191"/>
      <c r="U7" s="191"/>
      <c r="V7" s="191"/>
      <c r="W7" s="180"/>
      <c r="X7" s="191"/>
      <c r="Y7" s="191"/>
      <c r="Z7" s="191"/>
      <c r="AA7" s="191"/>
      <c r="AB7" s="191"/>
      <c r="AC7" s="191"/>
      <c r="AD7" s="191"/>
      <c r="AE7" s="200"/>
      <c r="AF7" s="55" t="s">
        <v>3</v>
      </c>
      <c r="AG7" s="18" t="str">
        <f t="shared" ref="AG7:BH7" si="4">IFERROR(INDEX($F$13:$F$270,MATCH(SUM(AG$13:AG$270),AG$13:AG$270,0),1),"")</f>
        <v>15KG설탕</v>
      </c>
      <c r="AH7" s="18" t="str">
        <f t="shared" si="4"/>
        <v>15KG설탕</v>
      </c>
      <c r="AI7" s="18" t="str">
        <f t="shared" si="4"/>
        <v>15KG설탕</v>
      </c>
      <c r="AJ7" s="18" t="str">
        <f t="shared" si="4"/>
        <v>15KG설탕</v>
      </c>
      <c r="AK7" s="18" t="str">
        <f t="shared" si="4"/>
        <v>15KG설탕</v>
      </c>
      <c r="AL7" s="18" t="str">
        <f t="shared" si="4"/>
        <v/>
      </c>
      <c r="AM7" s="18" t="str">
        <f t="shared" si="4"/>
        <v/>
      </c>
      <c r="AN7" s="18" t="str">
        <f t="shared" si="4"/>
        <v/>
      </c>
      <c r="AO7" s="18" t="str">
        <f t="shared" si="4"/>
        <v/>
      </c>
      <c r="AP7" s="18" t="str">
        <f t="shared" si="4"/>
        <v/>
      </c>
      <c r="AQ7" s="18" t="str">
        <f t="shared" si="4"/>
        <v/>
      </c>
      <c r="AR7" s="18" t="str">
        <f t="shared" si="4"/>
        <v/>
      </c>
      <c r="AS7" s="18" t="str">
        <f t="shared" si="4"/>
        <v/>
      </c>
      <c r="AT7" s="18" t="str">
        <f t="shared" si="4"/>
        <v/>
      </c>
      <c r="AU7" s="18" t="str">
        <f t="shared" si="4"/>
        <v/>
      </c>
      <c r="AV7" s="18" t="str">
        <f t="shared" si="4"/>
        <v/>
      </c>
      <c r="AW7" s="18" t="str">
        <f t="shared" si="4"/>
        <v/>
      </c>
      <c r="AX7" s="18" t="str">
        <f t="shared" si="4"/>
        <v/>
      </c>
      <c r="AY7" s="18" t="str">
        <f t="shared" si="4"/>
        <v/>
      </c>
      <c r="AZ7" s="18" t="str">
        <f t="shared" si="4"/>
        <v/>
      </c>
      <c r="BA7" s="18" t="str">
        <f t="shared" si="4"/>
        <v/>
      </c>
      <c r="BB7" s="18" t="str">
        <f t="shared" si="4"/>
        <v/>
      </c>
      <c r="BC7" s="18" t="str">
        <f t="shared" si="4"/>
        <v/>
      </c>
      <c r="BD7" s="18" t="str">
        <f t="shared" si="4"/>
        <v/>
      </c>
      <c r="BE7" s="18" t="str">
        <f t="shared" si="4"/>
        <v/>
      </c>
      <c r="BF7" s="18" t="str">
        <f t="shared" si="4"/>
        <v/>
      </c>
      <c r="BG7" s="18" t="str">
        <f t="shared" si="4"/>
        <v/>
      </c>
      <c r="BH7" s="18" t="str">
        <f t="shared" si="4"/>
        <v/>
      </c>
    </row>
    <row r="8" spans="1:60" ht="15" customHeight="1">
      <c r="A8" s="207"/>
      <c r="B8" s="215"/>
      <c r="C8" s="191"/>
      <c r="D8" s="191"/>
      <c r="E8" s="191"/>
      <c r="F8" s="191"/>
      <c r="G8" s="191"/>
      <c r="H8" s="212"/>
      <c r="I8" s="212"/>
      <c r="J8" s="212"/>
      <c r="K8" s="193"/>
      <c r="L8" s="196"/>
      <c r="M8" s="193"/>
      <c r="N8" s="191"/>
      <c r="O8" s="191"/>
      <c r="P8" s="191"/>
      <c r="Q8" s="191"/>
      <c r="R8" s="191"/>
      <c r="S8" s="191"/>
      <c r="T8" s="191"/>
      <c r="U8" s="191"/>
      <c r="V8" s="191"/>
      <c r="W8" s="180"/>
      <c r="X8" s="191"/>
      <c r="Y8" s="191"/>
      <c r="Z8" s="191"/>
      <c r="AA8" s="191"/>
      <c r="AB8" s="191"/>
      <c r="AC8" s="191"/>
      <c r="AD8" s="191"/>
      <c r="AE8" s="200"/>
      <c r="AF8" s="55" t="s">
        <v>4</v>
      </c>
      <c r="AG8" s="47">
        <f t="shared" ref="AG8:BH8" si="5">IFERROR(SUM(AG$13:AG$270),"")</f>
        <v>1152</v>
      </c>
      <c r="AH8" s="47">
        <f t="shared" si="5"/>
        <v>1152</v>
      </c>
      <c r="AI8" s="47">
        <f t="shared" si="5"/>
        <v>1152</v>
      </c>
      <c r="AJ8" s="47">
        <f t="shared" si="5"/>
        <v>648</v>
      </c>
      <c r="AK8" s="47">
        <f t="shared" si="5"/>
        <v>24</v>
      </c>
      <c r="AL8" s="47">
        <f t="shared" si="5"/>
        <v>0</v>
      </c>
      <c r="AM8" s="47">
        <f t="shared" si="5"/>
        <v>0</v>
      </c>
      <c r="AN8" s="47">
        <f t="shared" si="5"/>
        <v>0</v>
      </c>
      <c r="AO8" s="47">
        <f t="shared" si="5"/>
        <v>0</v>
      </c>
      <c r="AP8" s="47">
        <f t="shared" si="5"/>
        <v>0</v>
      </c>
      <c r="AQ8" s="47">
        <f t="shared" si="5"/>
        <v>0</v>
      </c>
      <c r="AR8" s="47">
        <f t="shared" si="5"/>
        <v>0</v>
      </c>
      <c r="AS8" s="47">
        <f t="shared" si="5"/>
        <v>0</v>
      </c>
      <c r="AT8" s="47">
        <f t="shared" si="5"/>
        <v>0</v>
      </c>
      <c r="AU8" s="47">
        <f t="shared" si="5"/>
        <v>0</v>
      </c>
      <c r="AV8" s="47">
        <f t="shared" si="5"/>
        <v>0</v>
      </c>
      <c r="AW8" s="47">
        <f t="shared" si="5"/>
        <v>0</v>
      </c>
      <c r="AX8" s="47">
        <f t="shared" si="5"/>
        <v>0</v>
      </c>
      <c r="AY8" s="47">
        <f t="shared" si="5"/>
        <v>0</v>
      </c>
      <c r="AZ8" s="47">
        <f t="shared" si="5"/>
        <v>0</v>
      </c>
      <c r="BA8" s="47">
        <f t="shared" si="5"/>
        <v>0</v>
      </c>
      <c r="BB8" s="47">
        <f t="shared" si="5"/>
        <v>0</v>
      </c>
      <c r="BC8" s="47">
        <f t="shared" si="5"/>
        <v>0</v>
      </c>
      <c r="BD8" s="47">
        <f t="shared" si="5"/>
        <v>0</v>
      </c>
      <c r="BE8" s="47">
        <f t="shared" si="5"/>
        <v>0</v>
      </c>
      <c r="BF8" s="47">
        <f t="shared" si="5"/>
        <v>0</v>
      </c>
      <c r="BG8" s="47">
        <f t="shared" si="5"/>
        <v>0</v>
      </c>
      <c r="BH8" s="47">
        <f t="shared" si="5"/>
        <v>0</v>
      </c>
    </row>
    <row r="9" spans="1:60" ht="15" customHeight="1">
      <c r="A9" s="207"/>
      <c r="B9" s="215"/>
      <c r="C9" s="191"/>
      <c r="D9" s="191"/>
      <c r="E9" s="191"/>
      <c r="F9" s="191"/>
      <c r="G9" s="191"/>
      <c r="H9" s="212"/>
      <c r="I9" s="212"/>
      <c r="J9" s="212"/>
      <c r="K9" s="193"/>
      <c r="L9" s="196"/>
      <c r="M9" s="193"/>
      <c r="N9" s="191"/>
      <c r="O9" s="191"/>
      <c r="P9" s="191"/>
      <c r="Q9" s="191"/>
      <c r="R9" s="191"/>
      <c r="S9" s="191"/>
      <c r="T9" s="191"/>
      <c r="U9" s="191"/>
      <c r="V9" s="191"/>
      <c r="W9" s="180"/>
      <c r="X9" s="191"/>
      <c r="Y9" s="191"/>
      <c r="Z9" s="191"/>
      <c r="AA9" s="191"/>
      <c r="AB9" s="191"/>
      <c r="AC9" s="191"/>
      <c r="AD9" s="191"/>
      <c r="AE9" s="200"/>
      <c r="AF9" s="56" t="s">
        <v>12</v>
      </c>
      <c r="AG9" s="49">
        <f t="shared" ref="AG9:AW9" si="6">IFERROR(IF(AG8&lt;INDEX($Y$13:$Y$290,MATCH(SUM(AG$13:AG$290),AG$13:AG$290,0),1),"분할출고",
ROUNDUP((SUM(AG13:AG290)/IFERROR(INDEX($Y$13:$Y$290,MATCH(SUM(AG$13:AG$290),AG$13:AG$290,0),1),"")),0)),"")</f>
        <v>16</v>
      </c>
      <c r="AH9" s="49">
        <f t="shared" si="6"/>
        <v>16</v>
      </c>
      <c r="AI9" s="49">
        <f t="shared" si="6"/>
        <v>16</v>
      </c>
      <c r="AJ9" s="49">
        <f t="shared" si="6"/>
        <v>9</v>
      </c>
      <c r="AK9" s="49">
        <v>1</v>
      </c>
      <c r="AL9" s="49" t="str">
        <f t="shared" si="6"/>
        <v/>
      </c>
      <c r="AM9" s="49" t="str">
        <f t="shared" si="6"/>
        <v/>
      </c>
      <c r="AN9" s="49" t="str">
        <f t="shared" si="6"/>
        <v/>
      </c>
      <c r="AO9" s="49" t="str">
        <f t="shared" si="6"/>
        <v/>
      </c>
      <c r="AP9" s="49" t="str">
        <f t="shared" si="6"/>
        <v/>
      </c>
      <c r="AQ9" s="49" t="str">
        <f t="shared" si="6"/>
        <v/>
      </c>
      <c r="AR9" s="49" t="str">
        <f t="shared" si="6"/>
        <v/>
      </c>
      <c r="AS9" s="49" t="str">
        <f t="shared" si="6"/>
        <v/>
      </c>
      <c r="AT9" s="49" t="str">
        <f t="shared" si="6"/>
        <v/>
      </c>
      <c r="AU9" s="49" t="str">
        <f t="shared" si="6"/>
        <v/>
      </c>
      <c r="AV9" s="49" t="str">
        <f t="shared" si="6"/>
        <v/>
      </c>
      <c r="AW9" s="49" t="str">
        <f t="shared" si="6"/>
        <v/>
      </c>
      <c r="AX9" s="49" t="str">
        <f t="shared" ref="AX9:BH9" si="7">IFERROR(IF(AX8&lt;INDEX($Y$13:$Y$290,MATCH(SUM(AX$13:AX$290),AX$13:AX$290,0),1),"분할출고",
ROUNDUP((SUM(AX13:AX290)/IFERROR(INDEX($Y$13:$Y$290,MATCH(SUM(AX$13:AX$290),AX$13:AX$290,0),1),"")),0)),"")</f>
        <v/>
      </c>
      <c r="AY9" s="49" t="str">
        <f t="shared" si="7"/>
        <v/>
      </c>
      <c r="AZ9" s="49" t="str">
        <f t="shared" si="7"/>
        <v/>
      </c>
      <c r="BA9" s="49" t="str">
        <f t="shared" si="7"/>
        <v/>
      </c>
      <c r="BB9" s="49" t="str">
        <f t="shared" si="7"/>
        <v/>
      </c>
      <c r="BC9" s="49" t="str">
        <f t="shared" si="7"/>
        <v/>
      </c>
      <c r="BD9" s="49" t="str">
        <f t="shared" si="7"/>
        <v/>
      </c>
      <c r="BE9" s="49" t="str">
        <f t="shared" si="7"/>
        <v/>
      </c>
      <c r="BF9" s="49" t="str">
        <f t="shared" si="7"/>
        <v/>
      </c>
      <c r="BG9" s="49" t="str">
        <f t="shared" si="7"/>
        <v/>
      </c>
      <c r="BH9" s="49" t="str">
        <f t="shared" si="7"/>
        <v/>
      </c>
    </row>
    <row r="10" spans="1:60" ht="15" customHeight="1">
      <c r="A10" s="207"/>
      <c r="B10" s="215"/>
      <c r="C10" s="191"/>
      <c r="D10" s="191"/>
      <c r="E10" s="191"/>
      <c r="F10" s="191"/>
      <c r="G10" s="191"/>
      <c r="H10" s="212"/>
      <c r="I10" s="212"/>
      <c r="J10" s="212"/>
      <c r="K10" s="193"/>
      <c r="L10" s="196"/>
      <c r="M10" s="193"/>
      <c r="N10" s="191"/>
      <c r="O10" s="191"/>
      <c r="P10" s="191"/>
      <c r="Q10" s="191"/>
      <c r="R10" s="191"/>
      <c r="S10" s="191"/>
      <c r="T10" s="191"/>
      <c r="U10" s="191"/>
      <c r="V10" s="191"/>
      <c r="W10" s="180"/>
      <c r="X10" s="191"/>
      <c r="Y10" s="191"/>
      <c r="Z10" s="191"/>
      <c r="AA10" s="191"/>
      <c r="AB10" s="191"/>
      <c r="AC10" s="191"/>
      <c r="AD10" s="191"/>
      <c r="AE10" s="200"/>
      <c r="AF10" s="55" t="s">
        <v>11</v>
      </c>
      <c r="AG10" s="17">
        <f t="shared" ref="AG10:BH10" si="8">IFERROR(INDEX($Z$13:$Z$270,MATCH(SUM(AG$13:AG$270),AG$13:AG$270,0),1),"")</f>
        <v>46181</v>
      </c>
      <c r="AH10" s="17">
        <f t="shared" si="8"/>
        <v>46181</v>
      </c>
      <c r="AI10" s="17">
        <f t="shared" si="8"/>
        <v>46181</v>
      </c>
      <c r="AJ10" s="17">
        <f t="shared" si="8"/>
        <v>46181</v>
      </c>
      <c r="AK10" s="17">
        <f t="shared" si="8"/>
        <v>46181</v>
      </c>
      <c r="AL10" s="17" t="str">
        <f t="shared" si="8"/>
        <v/>
      </c>
      <c r="AM10" s="17" t="str">
        <f t="shared" si="8"/>
        <v/>
      </c>
      <c r="AN10" s="17" t="str">
        <f t="shared" si="8"/>
        <v/>
      </c>
      <c r="AO10" s="17" t="str">
        <f t="shared" si="8"/>
        <v/>
      </c>
      <c r="AP10" s="17" t="str">
        <f t="shared" si="8"/>
        <v/>
      </c>
      <c r="AQ10" s="17" t="str">
        <f t="shared" si="8"/>
        <v/>
      </c>
      <c r="AR10" s="17" t="str">
        <f t="shared" si="8"/>
        <v/>
      </c>
      <c r="AS10" s="17" t="str">
        <f t="shared" si="8"/>
        <v/>
      </c>
      <c r="AT10" s="17" t="str">
        <f t="shared" si="8"/>
        <v/>
      </c>
      <c r="AU10" s="17" t="str">
        <f t="shared" si="8"/>
        <v/>
      </c>
      <c r="AV10" s="17" t="str">
        <f t="shared" si="8"/>
        <v/>
      </c>
      <c r="AW10" s="17" t="str">
        <f t="shared" si="8"/>
        <v/>
      </c>
      <c r="AX10" s="17" t="str">
        <f t="shared" si="8"/>
        <v/>
      </c>
      <c r="AY10" s="17" t="str">
        <f t="shared" si="8"/>
        <v/>
      </c>
      <c r="AZ10" s="17" t="str">
        <f t="shared" si="8"/>
        <v/>
      </c>
      <c r="BA10" s="17" t="str">
        <f t="shared" si="8"/>
        <v/>
      </c>
      <c r="BB10" s="17" t="str">
        <f t="shared" si="8"/>
        <v/>
      </c>
      <c r="BC10" s="17" t="str">
        <f t="shared" si="8"/>
        <v/>
      </c>
      <c r="BD10" s="17" t="str">
        <f t="shared" si="8"/>
        <v/>
      </c>
      <c r="BE10" s="17" t="str">
        <f t="shared" si="8"/>
        <v/>
      </c>
      <c r="BF10" s="17" t="str">
        <f t="shared" si="8"/>
        <v/>
      </c>
      <c r="BG10" s="17" t="str">
        <f t="shared" si="8"/>
        <v/>
      </c>
      <c r="BH10" s="17" t="str">
        <f t="shared" si="8"/>
        <v/>
      </c>
    </row>
    <row r="11" spans="1:60" ht="15" customHeight="1">
      <c r="A11" s="207"/>
      <c r="B11" s="215"/>
      <c r="C11" s="191"/>
      <c r="D11" s="191"/>
      <c r="E11" s="191"/>
      <c r="F11" s="191"/>
      <c r="G11" s="191"/>
      <c r="H11" s="212"/>
      <c r="I11" s="212"/>
      <c r="J11" s="212"/>
      <c r="K11" s="193"/>
      <c r="L11" s="196"/>
      <c r="M11" s="193"/>
      <c r="N11" s="191"/>
      <c r="O11" s="191"/>
      <c r="P11" s="191"/>
      <c r="Q11" s="191"/>
      <c r="R11" s="191"/>
      <c r="S11" s="191"/>
      <c r="T11" s="191"/>
      <c r="U11" s="191"/>
      <c r="V11" s="191"/>
      <c r="W11" s="180"/>
      <c r="X11" s="191"/>
      <c r="Y11" s="191"/>
      <c r="Z11" s="191"/>
      <c r="AA11" s="191"/>
      <c r="AB11" s="191"/>
      <c r="AC11" s="191"/>
      <c r="AD11" s="191"/>
      <c r="AE11" s="200"/>
      <c r="AF11" s="55" t="s">
        <v>13</v>
      </c>
      <c r="AG11" s="20">
        <f t="shared" ref="AG11:AW11" si="9">IF(AG5="","",IF(AG10&gt;AG4,"프리타임기간내출고",IF(DATE(YEAR(AG4),MONTH(AG4),1)&gt;=DATE(YEAR(AG10),MONTH(AG10),1),DATEDIF(($AD$2),(AG4)+1,"D"),DATEDIF(AG10,AG4+1,"D"))))</f>
        <v>2</v>
      </c>
      <c r="AH11" s="20">
        <f t="shared" si="9"/>
        <v>2</v>
      </c>
      <c r="AI11" s="20">
        <f t="shared" si="9"/>
        <v>3</v>
      </c>
      <c r="AJ11" s="20">
        <f t="shared" si="9"/>
        <v>3</v>
      </c>
      <c r="AK11" s="20">
        <f t="shared" si="9"/>
        <v>3</v>
      </c>
      <c r="AL11" s="20" t="str">
        <f t="shared" si="9"/>
        <v/>
      </c>
      <c r="AM11" s="20" t="str">
        <f t="shared" si="9"/>
        <v/>
      </c>
      <c r="AN11" s="20" t="str">
        <f t="shared" si="9"/>
        <v/>
      </c>
      <c r="AO11" s="20" t="str">
        <f t="shared" si="9"/>
        <v/>
      </c>
      <c r="AP11" s="20" t="str">
        <f t="shared" si="9"/>
        <v/>
      </c>
      <c r="AQ11" s="20" t="str">
        <f t="shared" si="9"/>
        <v/>
      </c>
      <c r="AR11" s="20" t="str">
        <f t="shared" si="9"/>
        <v/>
      </c>
      <c r="AS11" s="20" t="str">
        <f t="shared" si="9"/>
        <v/>
      </c>
      <c r="AT11" s="20" t="str">
        <f t="shared" si="9"/>
        <v/>
      </c>
      <c r="AU11" s="20" t="str">
        <f t="shared" si="9"/>
        <v/>
      </c>
      <c r="AV11" s="20" t="str">
        <f t="shared" si="9"/>
        <v/>
      </c>
      <c r="AW11" s="20" t="str">
        <f t="shared" si="9"/>
        <v/>
      </c>
      <c r="AX11" s="20" t="str">
        <f t="shared" ref="AX11:BH11" si="10">IF(AX5="","",IF(AX10&gt;AX4,"프리타임기간내출고",IF(DATE(YEAR(AX4),MONTH(AX4),1)&gt;=DATE(YEAR(AX10),MONTH(AX10),1),DATEDIF(($AD$2),(AX4)+1,"D"),DATEDIF(AX10,AX4+1,"D"))))</f>
        <v/>
      </c>
      <c r="AY11" s="20" t="str">
        <f t="shared" si="10"/>
        <v/>
      </c>
      <c r="AZ11" s="20" t="str">
        <f t="shared" si="10"/>
        <v/>
      </c>
      <c r="BA11" s="20" t="str">
        <f t="shared" si="10"/>
        <v/>
      </c>
      <c r="BB11" s="20" t="str">
        <f t="shared" si="10"/>
        <v/>
      </c>
      <c r="BC11" s="20" t="str">
        <f t="shared" si="10"/>
        <v/>
      </c>
      <c r="BD11" s="20" t="str">
        <f t="shared" si="10"/>
        <v/>
      </c>
      <c r="BE11" s="20" t="str">
        <f t="shared" si="10"/>
        <v/>
      </c>
      <c r="BF11" s="20" t="str">
        <f t="shared" si="10"/>
        <v/>
      </c>
      <c r="BG11" s="20" t="str">
        <f t="shared" si="10"/>
        <v/>
      </c>
      <c r="BH11" s="20" t="str">
        <f t="shared" si="10"/>
        <v/>
      </c>
    </row>
    <row r="12" spans="1:60" ht="15" customHeight="1" thickBot="1">
      <c r="A12" s="208"/>
      <c r="B12" s="216"/>
      <c r="C12" s="192"/>
      <c r="D12" s="192"/>
      <c r="E12" s="192"/>
      <c r="F12" s="192"/>
      <c r="G12" s="192"/>
      <c r="H12" s="213"/>
      <c r="I12" s="213"/>
      <c r="J12" s="213"/>
      <c r="K12" s="194"/>
      <c r="L12" s="197"/>
      <c r="M12" s="194"/>
      <c r="N12" s="192"/>
      <c r="O12" s="192"/>
      <c r="P12" s="192"/>
      <c r="Q12" s="192"/>
      <c r="R12" s="192"/>
      <c r="S12" s="192"/>
      <c r="T12" s="192"/>
      <c r="U12" s="192"/>
      <c r="V12" s="192"/>
      <c r="W12" s="202"/>
      <c r="X12" s="192"/>
      <c r="Y12" s="192"/>
      <c r="Z12" s="192"/>
      <c r="AA12" s="192"/>
      <c r="AB12" s="192"/>
      <c r="AC12" s="191"/>
      <c r="AD12" s="192"/>
      <c r="AE12" s="201"/>
      <c r="AF12" s="55" t="s">
        <v>14</v>
      </c>
      <c r="AG12" s="19">
        <f t="shared" ref="AG12:AW12" si="11">IFERROR(AG11*AG9*(INDEX($AB$13:$AB$270,MATCH(SUM(AG$13:AG$270),AG$13:AG$270,0),1)),"")</f>
        <v>13440</v>
      </c>
      <c r="AH12" s="19">
        <f t="shared" si="11"/>
        <v>13440</v>
      </c>
      <c r="AI12" s="19">
        <f t="shared" si="11"/>
        <v>20160</v>
      </c>
      <c r="AJ12" s="19">
        <f t="shared" si="11"/>
        <v>11340</v>
      </c>
      <c r="AK12" s="19">
        <f t="shared" si="11"/>
        <v>1260</v>
      </c>
      <c r="AL12" s="19" t="str">
        <f t="shared" si="11"/>
        <v/>
      </c>
      <c r="AM12" s="19" t="str">
        <f t="shared" si="11"/>
        <v/>
      </c>
      <c r="AN12" s="19" t="str">
        <f t="shared" si="11"/>
        <v/>
      </c>
      <c r="AO12" s="19" t="str">
        <f t="shared" si="11"/>
        <v/>
      </c>
      <c r="AP12" s="19" t="str">
        <f t="shared" si="11"/>
        <v/>
      </c>
      <c r="AQ12" s="19" t="str">
        <f t="shared" si="11"/>
        <v/>
      </c>
      <c r="AR12" s="19" t="str">
        <f t="shared" si="11"/>
        <v/>
      </c>
      <c r="AS12" s="19" t="str">
        <f t="shared" si="11"/>
        <v/>
      </c>
      <c r="AT12" s="19" t="str">
        <f t="shared" si="11"/>
        <v/>
      </c>
      <c r="AU12" s="19" t="str">
        <f t="shared" si="11"/>
        <v/>
      </c>
      <c r="AV12" s="19" t="str">
        <f t="shared" si="11"/>
        <v/>
      </c>
      <c r="AW12" s="19" t="str">
        <f t="shared" si="11"/>
        <v/>
      </c>
      <c r="AX12" s="19" t="str">
        <f t="shared" ref="AX12:BH12" si="12">IFERROR(AX11*AX9*(INDEX($AB$13:$AB$270,MATCH(SUM(AX$13:AX$270),AX$13:AX$270,0),1)),"")</f>
        <v/>
      </c>
      <c r="AY12" s="19" t="str">
        <f t="shared" si="12"/>
        <v/>
      </c>
      <c r="AZ12" s="19" t="str">
        <f t="shared" si="12"/>
        <v/>
      </c>
      <c r="BA12" s="19" t="str">
        <f t="shared" si="12"/>
        <v/>
      </c>
      <c r="BB12" s="19" t="str">
        <f t="shared" si="12"/>
        <v/>
      </c>
      <c r="BC12" s="19" t="str">
        <f t="shared" si="12"/>
        <v/>
      </c>
      <c r="BD12" s="19" t="str">
        <f t="shared" si="12"/>
        <v/>
      </c>
      <c r="BE12" s="19" t="str">
        <f t="shared" si="12"/>
        <v/>
      </c>
      <c r="BF12" s="19" t="str">
        <f t="shared" si="12"/>
        <v/>
      </c>
      <c r="BG12" s="19" t="str">
        <f t="shared" si="12"/>
        <v/>
      </c>
      <c r="BH12" s="19" t="str">
        <f t="shared" si="12"/>
        <v/>
      </c>
    </row>
    <row r="13" spans="1:60" ht="24.95" customHeight="1">
      <c r="A13" s="118">
        <v>46136</v>
      </c>
      <c r="B13" s="90">
        <v>46134</v>
      </c>
      <c r="C13" s="131" t="s">
        <v>399</v>
      </c>
      <c r="D13" s="91"/>
      <c r="E13" s="88" t="s">
        <v>132</v>
      </c>
      <c r="F13" s="89" t="s">
        <v>139</v>
      </c>
      <c r="G13" s="5" t="str">
        <f t="shared" ref="G13:G15" si="13">C13&amp;F13</f>
        <v>KMTCLCH5575781(본사)15KG설탕</v>
      </c>
      <c r="H13" s="117">
        <v>46834</v>
      </c>
      <c r="I13" s="105">
        <f>(T13*_xlfn.SWITCH(E13,"아주",30,"kpp",40,0)*IF(DATE(YEAR(A13),MONTH(A13),1)&lt;DATE(YEAR($AD$2),MONTH($AD$2),1),DATEDIF($AD$2,$AD$3,"D")+1,DATEDIF(A13,$AD$3+1,"d")))+SUMIF($AG$6:$DC$6,G13,$AG$2:$DC$2)</f>
        <v>900</v>
      </c>
      <c r="J13" s="105">
        <f>71+72+72</f>
        <v>215</v>
      </c>
      <c r="K13" s="27">
        <v>15400</v>
      </c>
      <c r="L13" s="37">
        <f>ROUNDUP((K13/Y13),0)+1</f>
        <v>215</v>
      </c>
      <c r="M13" s="27">
        <v>1</v>
      </c>
      <c r="N13" s="27">
        <v>51</v>
      </c>
      <c r="O13" s="37">
        <f>ROUNDUP((N13/Y13),0)</f>
        <v>1</v>
      </c>
      <c r="P13" s="27">
        <v>0</v>
      </c>
      <c r="Q13" s="24">
        <f t="shared" ref="Q13" si="14">S13-N13</f>
        <v>0</v>
      </c>
      <c r="R13" s="39">
        <f>ROUNDUP((Q13/Y13),0)</f>
        <v>0</v>
      </c>
      <c r="S13" s="24">
        <f t="shared" ref="S13" si="15">K13-W13-M13</f>
        <v>51</v>
      </c>
      <c r="T13" s="39">
        <f t="shared" ref="T13" si="16">O13+R13</f>
        <v>1</v>
      </c>
      <c r="U13" s="27">
        <v>15348</v>
      </c>
      <c r="V13" s="26">
        <f>SUM(AG13:BL13)</f>
        <v>0</v>
      </c>
      <c r="W13" s="27">
        <f t="shared" ref="W13" si="17">U13+V13+P13</f>
        <v>15348</v>
      </c>
      <c r="X13" s="28"/>
      <c r="Y13" s="27">
        <v>72</v>
      </c>
      <c r="Z13" s="108">
        <f>B13+AA13</f>
        <v>46139</v>
      </c>
      <c r="AA13" s="2">
        <v>5</v>
      </c>
      <c r="AB13" s="2">
        <v>420</v>
      </c>
      <c r="AC13" s="82">
        <f>SUMIF($AG$6:$DC$6,G13,$AG$12:$DC$12)</f>
        <v>0</v>
      </c>
      <c r="AD13" s="2">
        <f t="shared" ref="AD13" ca="1" si="18">IF(A13&gt;TODAY(),"프리타임기간중",T13*AB13*IF(DATE(YEAR(Z13),MONTH(A13),1)&lt;DATE(YEAR($AD$2),MONTH($AD$2),1),DATEDIF($AD$2,$AD$3,"D")+1,DATEDIF(A13,$AD$3+1,"d")))</f>
        <v>12600</v>
      </c>
      <c r="AE13" s="2">
        <f t="shared" ref="AE13" ca="1" si="19">IFERROR(AC13+AD13,"")</f>
        <v>12600</v>
      </c>
    </row>
    <row r="14" spans="1:60" ht="24.95" customHeight="1">
      <c r="A14" s="118">
        <v>46181</v>
      </c>
      <c r="B14" s="90">
        <v>46168</v>
      </c>
      <c r="C14" s="131" t="s">
        <v>460</v>
      </c>
      <c r="D14" s="91"/>
      <c r="E14" s="88" t="s">
        <v>132</v>
      </c>
      <c r="F14" s="89" t="s">
        <v>139</v>
      </c>
      <c r="G14" s="5" t="str">
        <f t="shared" si="13"/>
        <v>SMLMBKK6A1642100(본사)15KG설탕</v>
      </c>
      <c r="H14" s="117">
        <v>47911</v>
      </c>
      <c r="I14" s="105">
        <f>(T14*_xlfn.SWITCH(E14,"아주",30,"kpp",40,0)*IF(DATE(YEAR(A14),MONTH(A14),1)&lt;DATE(YEAR($AD$2),MONTH($AD$2),1),DATEDIF($AD$2,$AD$3,"D")+1,DATEDIF(A14,$AD$3+1,"d")))+SUMIF($AG$6:$DC$6,G14,$AG$2:$DC$2)</f>
        <v>1290</v>
      </c>
      <c r="J14" s="105">
        <f>72+72+71</f>
        <v>215</v>
      </c>
      <c r="K14" s="27">
        <v>15400</v>
      </c>
      <c r="L14" s="37">
        <f>ROUNDUP((K14/Y14),0)</f>
        <v>214</v>
      </c>
      <c r="M14" s="27">
        <v>0</v>
      </c>
      <c r="N14" s="27">
        <v>40</v>
      </c>
      <c r="O14" s="37">
        <f>ROUNDUP((N14/Y14),0)</f>
        <v>1</v>
      </c>
      <c r="P14" s="27">
        <v>0</v>
      </c>
      <c r="Q14" s="24">
        <f t="shared" ref="Q14" si="20">S14-N14</f>
        <v>0</v>
      </c>
      <c r="R14" s="39">
        <f>ROUNDUP((Q14/Y14),0)</f>
        <v>0</v>
      </c>
      <c r="S14" s="24">
        <f t="shared" ref="S14" si="21">K14-W14-M14</f>
        <v>40</v>
      </c>
      <c r="T14" s="39">
        <f t="shared" ref="T14" si="22">O14+R14</f>
        <v>1</v>
      </c>
      <c r="U14" s="27">
        <v>11232</v>
      </c>
      <c r="V14" s="26">
        <f>SUM(AG14:BL14)</f>
        <v>4128</v>
      </c>
      <c r="W14" s="27">
        <f t="shared" ref="W14" si="23">U14+V14+P14</f>
        <v>15360</v>
      </c>
      <c r="X14" s="139"/>
      <c r="Y14" s="27">
        <v>72</v>
      </c>
      <c r="Z14" s="119">
        <v>46181</v>
      </c>
      <c r="AA14" s="2">
        <v>5</v>
      </c>
      <c r="AB14" s="2">
        <v>420</v>
      </c>
      <c r="AC14" s="82">
        <f>SUMIF($AG$6:$DC$6,G14,$AG$12:$DC$12)</f>
        <v>0</v>
      </c>
      <c r="AD14" s="2">
        <f t="shared" ref="AD14" ca="1" si="24">IF(A14&gt;TODAY(),"프리타임기간중",T14*AB14*IF(DATE(YEAR(Z14),MONTH(A14),1)&lt;DATE(YEAR($AD$2),MONTH($AD$2),1),DATEDIF($AD$2,$AD$3,"D")+1,DATEDIF(A14,$AD$3+1,"d")))</f>
        <v>18060</v>
      </c>
      <c r="AE14" s="2">
        <f t="shared" ref="AE14" ca="1" si="25">IFERROR(AC14+AD14,"")</f>
        <v>18060</v>
      </c>
      <c r="AG14" s="121">
        <v>1152</v>
      </c>
      <c r="AH14" s="121">
        <v>1152</v>
      </c>
      <c r="AI14" s="121">
        <v>1152</v>
      </c>
      <c r="AJ14" s="121">
        <v>648</v>
      </c>
      <c r="AK14" s="121">
        <v>24</v>
      </c>
    </row>
    <row r="15" spans="1:60" ht="24.95" customHeight="1">
      <c r="A15" s="118">
        <v>46218</v>
      </c>
      <c r="B15" s="90">
        <v>46203</v>
      </c>
      <c r="C15" s="131" t="s">
        <v>773</v>
      </c>
      <c r="D15" s="91"/>
      <c r="E15" s="88" t="s">
        <v>132</v>
      </c>
      <c r="F15" s="89" t="s">
        <v>139</v>
      </c>
      <c r="G15" s="5" t="str">
        <f t="shared" si="13"/>
        <v>KMTCLCH5667484(본사)15KG설탕</v>
      </c>
      <c r="H15" s="117">
        <v>46903</v>
      </c>
      <c r="I15" s="105">
        <f>(T15*_xlfn.SWITCH(E15,"아주",30,"kpp",40,0)*IF(DATE(YEAR(A15),MONTH(A15),1)&lt;DATE(YEAR($AD$2),MONTH($AD$2),1),DATEDIF($AD$2,$AD$3,"D")+1,DATEDIF(A15,$AD$3+1,"d")))+SUMIF($AG$6:$DC$6,G15,$AG$2:$DC$2)</f>
        <v>38520</v>
      </c>
      <c r="J15" s="105">
        <v>214</v>
      </c>
      <c r="K15" s="27">
        <v>15400</v>
      </c>
      <c r="L15" s="37">
        <f>ROUNDUP((K15/Y15),0)</f>
        <v>214</v>
      </c>
      <c r="M15" s="27">
        <v>0</v>
      </c>
      <c r="N15" s="27">
        <v>68</v>
      </c>
      <c r="O15" s="37">
        <f>ROUNDUP((N15/Y15),0)</f>
        <v>1</v>
      </c>
      <c r="P15" s="27">
        <v>0</v>
      </c>
      <c r="Q15" s="24">
        <f t="shared" ref="Q15" si="26">S15-N15</f>
        <v>15332</v>
      </c>
      <c r="R15" s="39">
        <f>ROUNDUP((Q15/Y15),0)</f>
        <v>213</v>
      </c>
      <c r="S15" s="24">
        <f t="shared" ref="S15" si="27">K15-W15-M15</f>
        <v>15400</v>
      </c>
      <c r="T15" s="39">
        <f t="shared" ref="T15" si="28">O15+R15</f>
        <v>214</v>
      </c>
      <c r="U15" s="27">
        <v>0</v>
      </c>
      <c r="V15" s="26">
        <f>SUM(AG15:BL15)</f>
        <v>0</v>
      </c>
      <c r="W15" s="27">
        <f t="shared" ref="W15" si="29">U15+V15+P15</f>
        <v>0</v>
      </c>
      <c r="X15" s="139"/>
      <c r="Y15" s="27">
        <v>72</v>
      </c>
      <c r="Z15" s="158">
        <v>46218</v>
      </c>
      <c r="AA15" s="2">
        <v>5</v>
      </c>
      <c r="AB15" s="2">
        <v>420</v>
      </c>
      <c r="AC15" s="82">
        <f>SUMIF($AG$6:$DC$6,G15,$AG$12:$DC$12)</f>
        <v>0</v>
      </c>
      <c r="AD15" s="2">
        <f t="shared" ref="AD15" ca="1" si="30">IF(A15&gt;TODAY(),"프리타임기간중",T15*AB15*IF(DATE(YEAR(Z15),MONTH(A15),1)&lt;DATE(YEAR($AD$2),MONTH($AD$2),1),DATEDIF($AD$2,$AD$3,"D")+1,DATEDIF(A15,$AD$3+1,"d")))</f>
        <v>539280</v>
      </c>
      <c r="AE15" s="2">
        <f t="shared" ref="AE15" ca="1" si="31">IFERROR(AC15+AD15,"")</f>
        <v>539280</v>
      </c>
    </row>
    <row r="16" spans="1:60" ht="24.95" customHeight="1">
      <c r="A16" s="3"/>
      <c r="B16" s="149"/>
      <c r="C16" s="150"/>
      <c r="D16" s="151"/>
      <c r="E16" s="152"/>
      <c r="F16" s="92"/>
      <c r="G16" s="5"/>
      <c r="H16" s="117"/>
      <c r="I16" s="105">
        <f>(T16*_xlfn.SWITCH(E16,"아주",30,"kpp",40,0)*IF(DATE(YEAR(A16),MONTH(A16),1)&lt;DATE(YEAR($AD$2),MONTH($AD$2),1),DATEDIF($AD$2,$AD$3,"D")+1,DATEDIF(A16,$AD$3+1,"d")))+SUMIF($AG$6:$DC$6,G16,$AG$2:$DC$2)</f>
        <v>0</v>
      </c>
      <c r="J16" s="105">
        <v>0</v>
      </c>
      <c r="K16" s="27">
        <v>0</v>
      </c>
      <c r="L16" s="37">
        <f>ROUNDUP((K16/Y16),0)</f>
        <v>0</v>
      </c>
      <c r="M16" s="27">
        <v>0</v>
      </c>
      <c r="N16" s="27">
        <v>0</v>
      </c>
      <c r="O16" s="37">
        <f>ROUNDUP((N16/Y16),0)</f>
        <v>0</v>
      </c>
      <c r="P16" s="27">
        <v>0</v>
      </c>
      <c r="Q16" s="24">
        <f t="shared" ref="Q16" si="32">S16-N16</f>
        <v>0</v>
      </c>
      <c r="R16" s="39">
        <f>ROUNDUP((Q16/Y16),0)</f>
        <v>0</v>
      </c>
      <c r="S16" s="24">
        <f t="shared" ref="S16" si="33">K16-W16-M16</f>
        <v>0</v>
      </c>
      <c r="T16" s="39">
        <f t="shared" ref="T16" si="34">O16+R16</f>
        <v>0</v>
      </c>
      <c r="U16" s="27">
        <v>0</v>
      </c>
      <c r="V16" s="26">
        <f>SUM(AG16:BL16)</f>
        <v>0</v>
      </c>
      <c r="W16" s="27">
        <f t="shared" ref="W16" si="35">U16+V16+P16</f>
        <v>0</v>
      </c>
      <c r="X16" s="139"/>
      <c r="Y16" s="27">
        <v>1</v>
      </c>
      <c r="Z16" s="119">
        <v>45842</v>
      </c>
      <c r="AA16" s="2">
        <v>5</v>
      </c>
      <c r="AB16" s="2">
        <v>420</v>
      </c>
      <c r="AC16" s="82">
        <f>SUMIF($AG$6:$DC$6,G16,$AG$12:$DC$12)</f>
        <v>0</v>
      </c>
      <c r="AD16" s="2">
        <f t="shared" ref="AD16" ca="1" si="36">IF(A16&gt;TODAY(),"프리타임기간중",T16*AB16*IF(DATE(YEAR(Z16),MONTH(A16),1)&lt;DATE(YEAR($AD$2),MONTH($AD$2),1),DATEDIF($AD$2,$AD$3,"D")+1,DATEDIF(A16,$AD$3+1,"d")))</f>
        <v>0</v>
      </c>
      <c r="AE16" s="2">
        <f t="shared" ref="AE16" ca="1" si="37">IFERROR(AC16+AD16,"")</f>
        <v>0</v>
      </c>
    </row>
    <row r="17" ht="24.95" customHeight="1"/>
    <row r="18" ht="24.95" customHeight="1"/>
    <row r="19" ht="24.95" customHeight="1"/>
    <row r="20" ht="24.95" customHeight="1"/>
    <row r="21" ht="24.95" customHeight="1"/>
    <row r="22" ht="24.95" customHeight="1"/>
    <row r="23" ht="24.95" customHeight="1"/>
    <row r="24" ht="24.95" customHeight="1"/>
    <row r="25" ht="24.95" customHeight="1"/>
    <row r="26" ht="24.95" customHeight="1"/>
    <row r="27" ht="24.95" customHeight="1"/>
    <row r="28" ht="24.95" customHeight="1"/>
  </sheetData>
  <autoFilter ref="A12:AF13" xr:uid="{00000000-0009-0000-0000-000000000000}"/>
  <mergeCells count="31">
    <mergeCell ref="I4:I12"/>
    <mergeCell ref="S4:S12"/>
    <mergeCell ref="L4:L12"/>
    <mergeCell ref="A4:A12"/>
    <mergeCell ref="B4:B12"/>
    <mergeCell ref="C4:C12"/>
    <mergeCell ref="D4:D12"/>
    <mergeCell ref="E4:E12"/>
    <mergeCell ref="F4:F12"/>
    <mergeCell ref="G4:G12"/>
    <mergeCell ref="H4:H12"/>
    <mergeCell ref="J4:J12"/>
    <mergeCell ref="K4:K12"/>
    <mergeCell ref="X4:X12"/>
    <mergeCell ref="M4:M12"/>
    <mergeCell ref="N4:N12"/>
    <mergeCell ref="O4:O12"/>
    <mergeCell ref="P4:P12"/>
    <mergeCell ref="Q4:Q12"/>
    <mergeCell ref="R4:R12"/>
    <mergeCell ref="T4:T12"/>
    <mergeCell ref="U4:U12"/>
    <mergeCell ref="V4:V12"/>
    <mergeCell ref="W4:W12"/>
    <mergeCell ref="AC4:AC12"/>
    <mergeCell ref="AE4:AE12"/>
    <mergeCell ref="Y4:Y12"/>
    <mergeCell ref="Z4:Z12"/>
    <mergeCell ref="AA4:AA12"/>
    <mergeCell ref="AB4:AB12"/>
    <mergeCell ref="AD4:AD12"/>
  </mergeCells>
  <phoneticPr fontId="2" type="noConversion"/>
  <conditionalFormatting sqref="S13:S16">
    <cfRule type="cellIs" dxfId="23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52" fitToHeight="0" orientation="landscape" verticalDpi="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58313-BA9C-454C-B670-E7C6BFC22EAA}">
  <sheetPr codeName="Sheet9">
    <pageSetUpPr fitToPage="1"/>
  </sheetPr>
  <dimension ref="A1:CJ26"/>
  <sheetViews>
    <sheetView zoomScaleNormal="100" workbookViewId="0">
      <pane xSplit="32" ySplit="12" topLeftCell="AM13" activePane="bottomRight" state="frozen"/>
      <selection activeCell="C17" sqref="C17"/>
      <selection pane="topRight" activeCell="C17" sqref="C17"/>
      <selection pane="bottomLeft" activeCell="C17" sqref="C17"/>
      <selection pane="bottomRight" activeCell="AF3" sqref="AF3:IH12"/>
    </sheetView>
  </sheetViews>
  <sheetFormatPr defaultColWidth="10" defaultRowHeight="11.25" outlineLevelCol="1"/>
  <cols>
    <col min="1" max="1" width="8.75" style="107" bestFit="1" customWidth="1"/>
    <col min="2" max="2" width="9.5" style="1" customWidth="1"/>
    <col min="3" max="3" width="16.875" style="1" customWidth="1"/>
    <col min="4" max="4" width="6.875" style="1" customWidth="1"/>
    <col min="5" max="5" width="6.5" style="1" customWidth="1"/>
    <col min="6" max="6" width="12.5" style="1" customWidth="1"/>
    <col min="7" max="7" width="3.625" style="1" hidden="1" customWidth="1" outlineLevel="1"/>
    <col min="8" max="8" width="9.875" style="1" hidden="1" customWidth="1" outlineLevel="1"/>
    <col min="9" max="9" width="7.875" style="1" hidden="1" customWidth="1" outlineLevel="1"/>
    <col min="10" max="10" width="4.75" style="1" hidden="1" customWidth="1" outlineLevel="1"/>
    <col min="11" max="11" width="6.75" style="4" hidden="1" customWidth="1" outlineLevel="1"/>
    <col min="12" max="12" width="6.75" style="38" hidden="1" customWidth="1" outlineLevel="1"/>
    <col min="13" max="14" width="6.75" style="4" hidden="1" customWidth="1" outlineLevel="1"/>
    <col min="15" max="15" width="6.75" style="38" hidden="1" customWidth="1" outlineLevel="1"/>
    <col min="16" max="16" width="6.75" style="4" hidden="1" customWidth="1" outlineLevel="1"/>
    <col min="17" max="17" width="6.75" style="4" customWidth="1" collapsed="1"/>
    <col min="18" max="18" width="6.75" style="38" customWidth="1"/>
    <col min="19" max="19" width="6.75" style="4" customWidth="1"/>
    <col min="20" max="20" width="6.75" style="38" customWidth="1"/>
    <col min="21" max="23" width="6.75" style="4" hidden="1" customWidth="1" outlineLevel="1"/>
    <col min="24" max="24" width="13.875" style="1" hidden="1" customWidth="1" outlineLevel="1"/>
    <col min="25" max="25" width="4.625" style="4" hidden="1" customWidth="1" outlineLevel="1"/>
    <col min="26" max="26" width="9.25" style="1" hidden="1" customWidth="1" outlineLevel="1"/>
    <col min="27" max="27" width="5" style="1" hidden="1" customWidth="1" outlineLevel="1"/>
    <col min="28" max="28" width="4.5" style="1" hidden="1" customWidth="1" outlineLevel="1"/>
    <col min="29" max="29" width="9.125" style="1" hidden="1" customWidth="1" outlineLevel="1"/>
    <col min="30" max="31" width="7.25" style="1" hidden="1" customWidth="1" outlineLevel="1"/>
    <col min="32" max="32" width="14.125" style="57" hidden="1" customWidth="1" collapsed="1"/>
    <col min="33" max="38" width="20.625" style="1" hidden="1" customWidth="1"/>
    <col min="39" max="41" width="20.625" style="1" customWidth="1"/>
    <col min="42" max="16384" width="10" style="1"/>
  </cols>
  <sheetData>
    <row r="1" spans="1:88" s="23" customFormat="1" ht="20.100000000000001" customHeight="1">
      <c r="A1" s="53" t="s">
        <v>138</v>
      </c>
      <c r="K1" s="25"/>
      <c r="L1" s="36"/>
      <c r="M1" s="25"/>
      <c r="N1" s="25"/>
      <c r="O1" s="36"/>
      <c r="P1" s="25"/>
      <c r="Q1" s="25"/>
      <c r="R1" s="36"/>
      <c r="S1" s="25"/>
      <c r="T1" s="36"/>
      <c r="U1" s="25"/>
      <c r="V1" s="25"/>
      <c r="W1" s="25"/>
      <c r="Y1" s="25"/>
      <c r="AF1" s="54"/>
    </row>
    <row r="2" spans="1:88" s="23" customFormat="1" ht="20.100000000000001" customHeight="1">
      <c r="A2" s="53"/>
      <c r="F2" s="63"/>
      <c r="K2" s="25"/>
      <c r="L2" s="36"/>
      <c r="M2" s="25"/>
      <c r="N2" s="25"/>
      <c r="O2" s="36"/>
      <c r="P2" s="25"/>
      <c r="Q2" s="25"/>
      <c r="R2" s="36"/>
      <c r="S2" s="25"/>
      <c r="T2" s="36"/>
      <c r="U2" s="25"/>
      <c r="V2" s="25"/>
      <c r="W2" s="25"/>
      <c r="Y2" s="25"/>
      <c r="AC2" s="23" t="s">
        <v>87</v>
      </c>
      <c r="AD2" s="52">
        <v>46194</v>
      </c>
      <c r="AF2" s="54" t="s">
        <v>136</v>
      </c>
      <c r="AG2" s="106">
        <f t="shared" ref="AG2:AO2" si="0">IF(AG9="분할출고",0,_xlfn.SWITCH(IFERROR(INDEX($E$13:$E$268,MATCH(SUM(AG$13:AG$268),AG$13:AG$268,0),1),""),"아주",30,"kpp",40,0,0)*AG11*AG9)</f>
        <v>1560</v>
      </c>
      <c r="AH2" s="106">
        <f t="shared" si="0"/>
        <v>4860</v>
      </c>
      <c r="AI2" s="106">
        <f t="shared" si="0"/>
        <v>4500</v>
      </c>
      <c r="AJ2" s="106">
        <f t="shared" si="0"/>
        <v>3720</v>
      </c>
      <c r="AK2" s="106">
        <f t="shared" si="0"/>
        <v>3840</v>
      </c>
      <c r="AL2" s="106">
        <f t="shared" si="0"/>
        <v>4950</v>
      </c>
      <c r="AM2" s="106">
        <f t="shared" si="0"/>
        <v>5550</v>
      </c>
      <c r="AN2" s="106">
        <f t="shared" si="0"/>
        <v>4560</v>
      </c>
      <c r="AO2" s="106">
        <f t="shared" si="0"/>
        <v>6000</v>
      </c>
      <c r="AP2" s="106" t="e">
        <f t="shared" ref="AP2:AS2" si="1">IF(AP9="분할출고",0,_xlfn.SWITCH(IFERROR(INDEX($E$13:$E$268,MATCH(SUM(AP$13:AP$268),AP$13:AP$268,0),1),""),"아주",30,"kpp",40,0,0)*AP11*AP9)</f>
        <v>#N/A</v>
      </c>
      <c r="AQ2" s="106" t="e">
        <f t="shared" si="1"/>
        <v>#N/A</v>
      </c>
      <c r="AR2" s="106" t="e">
        <f t="shared" si="1"/>
        <v>#N/A</v>
      </c>
      <c r="AS2" s="106" t="e">
        <f t="shared" si="1"/>
        <v>#N/A</v>
      </c>
      <c r="AT2" s="106" t="e">
        <f t="shared" ref="AT2:BV2" si="2">IF(AT9="분할출고",0,_xlfn.SWITCH(IFERROR(INDEX($E$13:$E$268,MATCH(SUM(AT$13:AT$268),AT$13:AT$268,0),1),""),"아주",30,"kpp",40,0,0)*AT11*AT9)</f>
        <v>#N/A</v>
      </c>
      <c r="AU2" s="106" t="e">
        <f t="shared" si="2"/>
        <v>#N/A</v>
      </c>
      <c r="AV2" s="106" t="e">
        <f t="shared" si="2"/>
        <v>#N/A</v>
      </c>
      <c r="AW2" s="106" t="e">
        <f t="shared" si="2"/>
        <v>#N/A</v>
      </c>
      <c r="AX2" s="106" t="e">
        <f t="shared" si="2"/>
        <v>#N/A</v>
      </c>
      <c r="AY2" s="106" t="e">
        <f t="shared" si="2"/>
        <v>#N/A</v>
      </c>
      <c r="AZ2" s="106" t="e">
        <f t="shared" si="2"/>
        <v>#N/A</v>
      </c>
      <c r="BA2" s="106" t="e">
        <f t="shared" si="2"/>
        <v>#N/A</v>
      </c>
      <c r="BB2" s="106" t="e">
        <f t="shared" si="2"/>
        <v>#N/A</v>
      </c>
      <c r="BC2" s="106" t="e">
        <f t="shared" si="2"/>
        <v>#N/A</v>
      </c>
      <c r="BD2" s="106" t="e">
        <f t="shared" si="2"/>
        <v>#N/A</v>
      </c>
      <c r="BE2" s="106" t="e">
        <f t="shared" si="2"/>
        <v>#N/A</v>
      </c>
      <c r="BF2" s="106" t="e">
        <f t="shared" si="2"/>
        <v>#N/A</v>
      </c>
      <c r="BG2" s="106" t="e">
        <f t="shared" si="2"/>
        <v>#N/A</v>
      </c>
      <c r="BH2" s="106" t="e">
        <f t="shared" si="2"/>
        <v>#N/A</v>
      </c>
      <c r="BI2" s="106" t="e">
        <f t="shared" si="2"/>
        <v>#N/A</v>
      </c>
      <c r="BJ2" s="106" t="e">
        <f t="shared" si="2"/>
        <v>#N/A</v>
      </c>
      <c r="BK2" s="106" t="e">
        <f t="shared" si="2"/>
        <v>#N/A</v>
      </c>
      <c r="BL2" s="106" t="e">
        <f t="shared" si="2"/>
        <v>#N/A</v>
      </c>
      <c r="BM2" s="106" t="e">
        <f t="shared" si="2"/>
        <v>#N/A</v>
      </c>
      <c r="BN2" s="106" t="e">
        <f t="shared" si="2"/>
        <v>#N/A</v>
      </c>
      <c r="BO2" s="106" t="e">
        <f t="shared" si="2"/>
        <v>#N/A</v>
      </c>
      <c r="BP2" s="106" t="e">
        <f t="shared" si="2"/>
        <v>#N/A</v>
      </c>
      <c r="BQ2" s="106" t="e">
        <f t="shared" si="2"/>
        <v>#N/A</v>
      </c>
      <c r="BR2" s="106" t="e">
        <f t="shared" si="2"/>
        <v>#N/A</v>
      </c>
      <c r="BS2" s="106" t="e">
        <f t="shared" si="2"/>
        <v>#N/A</v>
      </c>
      <c r="BT2" s="106" t="e">
        <f t="shared" si="2"/>
        <v>#N/A</v>
      </c>
      <c r="BU2" s="106" t="e">
        <f t="shared" si="2"/>
        <v>#N/A</v>
      </c>
      <c r="BV2" s="106" t="e">
        <f t="shared" si="2"/>
        <v>#N/A</v>
      </c>
    </row>
    <row r="3" spans="1:88" s="23" customFormat="1" ht="20.100000000000001" customHeight="1" thickBot="1">
      <c r="A3" s="53"/>
      <c r="K3" s="25"/>
      <c r="L3" s="36"/>
      <c r="M3" s="25"/>
      <c r="N3" s="25"/>
      <c r="O3" s="36"/>
      <c r="P3" s="25"/>
      <c r="Q3" s="25"/>
      <c r="R3" s="36"/>
      <c r="S3" s="25"/>
      <c r="T3" s="36"/>
      <c r="U3" s="25"/>
      <c r="V3" s="25"/>
      <c r="W3" s="25"/>
      <c r="Y3" s="25"/>
      <c r="AC3" s="23" t="s">
        <v>86</v>
      </c>
      <c r="AD3" s="52">
        <v>46223</v>
      </c>
      <c r="AE3" s="52"/>
      <c r="AF3" s="54" t="s">
        <v>135</v>
      </c>
      <c r="AG3" s="106" t="str">
        <f t="shared" ref="AG3:BV3" si="3">IFERROR(INDEX($E$13:$E$268,MATCH(SUM(AG$13:AG$268),AG$13:AG$268,0),1),"")</f>
        <v>아주</v>
      </c>
      <c r="AH3" s="106" t="str">
        <f t="shared" si="3"/>
        <v>아주</v>
      </c>
      <c r="AI3" s="106" t="str">
        <f t="shared" si="3"/>
        <v>아주</v>
      </c>
      <c r="AJ3" s="106" t="str">
        <f t="shared" si="3"/>
        <v>아주</v>
      </c>
      <c r="AK3" s="106" t="str">
        <f t="shared" si="3"/>
        <v>아주</v>
      </c>
      <c r="AL3" s="106" t="str">
        <f t="shared" si="3"/>
        <v>아주</v>
      </c>
      <c r="AM3" s="106" t="str">
        <f t="shared" si="3"/>
        <v>아주</v>
      </c>
      <c r="AN3" s="106" t="str">
        <f t="shared" si="3"/>
        <v>아주</v>
      </c>
      <c r="AO3" s="106" t="str">
        <f t="shared" si="3"/>
        <v>아주</v>
      </c>
      <c r="AP3" s="106" t="str">
        <f t="shared" si="3"/>
        <v/>
      </c>
      <c r="AQ3" s="106" t="str">
        <f t="shared" si="3"/>
        <v/>
      </c>
      <c r="AR3" s="106" t="str">
        <f t="shared" si="3"/>
        <v/>
      </c>
      <c r="AS3" s="106" t="str">
        <f t="shared" si="3"/>
        <v/>
      </c>
      <c r="AT3" s="106" t="str">
        <f t="shared" si="3"/>
        <v/>
      </c>
      <c r="AU3" s="106" t="str">
        <f t="shared" si="3"/>
        <v/>
      </c>
      <c r="AV3" s="106" t="str">
        <f t="shared" si="3"/>
        <v/>
      </c>
      <c r="AW3" s="106" t="str">
        <f t="shared" si="3"/>
        <v/>
      </c>
      <c r="AX3" s="106" t="str">
        <f t="shared" si="3"/>
        <v/>
      </c>
      <c r="AY3" s="106" t="str">
        <f t="shared" si="3"/>
        <v/>
      </c>
      <c r="AZ3" s="106" t="str">
        <f t="shared" si="3"/>
        <v/>
      </c>
      <c r="BA3" s="106" t="str">
        <f t="shared" si="3"/>
        <v/>
      </c>
      <c r="BB3" s="106" t="str">
        <f t="shared" si="3"/>
        <v/>
      </c>
      <c r="BC3" s="106" t="str">
        <f t="shared" si="3"/>
        <v/>
      </c>
      <c r="BD3" s="106" t="str">
        <f t="shared" si="3"/>
        <v/>
      </c>
      <c r="BE3" s="106" t="str">
        <f t="shared" si="3"/>
        <v/>
      </c>
      <c r="BF3" s="106" t="str">
        <f t="shared" si="3"/>
        <v/>
      </c>
      <c r="BG3" s="106" t="str">
        <f t="shared" si="3"/>
        <v/>
      </c>
      <c r="BH3" s="106" t="str">
        <f t="shared" si="3"/>
        <v/>
      </c>
      <c r="BI3" s="106" t="str">
        <f t="shared" si="3"/>
        <v/>
      </c>
      <c r="BJ3" s="106" t="str">
        <f t="shared" si="3"/>
        <v/>
      </c>
      <c r="BK3" s="106" t="str">
        <f t="shared" si="3"/>
        <v/>
      </c>
      <c r="BL3" s="106" t="str">
        <f t="shared" si="3"/>
        <v/>
      </c>
      <c r="BM3" s="106" t="str">
        <f t="shared" si="3"/>
        <v/>
      </c>
      <c r="BN3" s="106" t="str">
        <f t="shared" si="3"/>
        <v/>
      </c>
      <c r="BO3" s="106" t="str">
        <f t="shared" si="3"/>
        <v/>
      </c>
      <c r="BP3" s="106" t="str">
        <f t="shared" si="3"/>
        <v/>
      </c>
      <c r="BQ3" s="106" t="str">
        <f t="shared" si="3"/>
        <v/>
      </c>
      <c r="BR3" s="106" t="str">
        <f t="shared" si="3"/>
        <v/>
      </c>
      <c r="BS3" s="106" t="str">
        <f t="shared" si="3"/>
        <v/>
      </c>
      <c r="BT3" s="106" t="str">
        <f t="shared" si="3"/>
        <v/>
      </c>
      <c r="BU3" s="106" t="str">
        <f t="shared" si="3"/>
        <v/>
      </c>
      <c r="BV3" s="106" t="str">
        <f t="shared" si="3"/>
        <v/>
      </c>
    </row>
    <row r="4" spans="1:88" ht="22.5" customHeight="1">
      <c r="A4" s="206" t="s">
        <v>137</v>
      </c>
      <c r="B4" s="214" t="s">
        <v>16</v>
      </c>
      <c r="C4" s="203" t="s">
        <v>17</v>
      </c>
      <c r="D4" s="203" t="s">
        <v>18</v>
      </c>
      <c r="E4" s="203" t="s">
        <v>127</v>
      </c>
      <c r="F4" s="203" t="s">
        <v>20</v>
      </c>
      <c r="G4" s="203" t="s">
        <v>49</v>
      </c>
      <c r="H4" s="203" t="s">
        <v>125</v>
      </c>
      <c r="I4" s="203" t="s">
        <v>134</v>
      </c>
      <c r="J4" s="203" t="s">
        <v>126</v>
      </c>
      <c r="K4" s="190" t="s">
        <v>21</v>
      </c>
      <c r="L4" s="195" t="s">
        <v>22</v>
      </c>
      <c r="M4" s="190" t="s">
        <v>71</v>
      </c>
      <c r="N4" s="190" t="s">
        <v>23</v>
      </c>
      <c r="O4" s="195" t="s">
        <v>9</v>
      </c>
      <c r="P4" s="190" t="s">
        <v>24</v>
      </c>
      <c r="Q4" s="190" t="s">
        <v>25</v>
      </c>
      <c r="R4" s="195" t="s">
        <v>26</v>
      </c>
      <c r="S4" s="190" t="s">
        <v>27</v>
      </c>
      <c r="T4" s="195" t="s">
        <v>28</v>
      </c>
      <c r="U4" s="190" t="s">
        <v>10</v>
      </c>
      <c r="V4" s="190" t="s">
        <v>30</v>
      </c>
      <c r="W4" s="179" t="s">
        <v>31</v>
      </c>
      <c r="X4" s="203" t="s">
        <v>32</v>
      </c>
      <c r="Y4" s="190" t="s">
        <v>33</v>
      </c>
      <c r="Z4" s="203" t="s">
        <v>11</v>
      </c>
      <c r="AA4" s="203" t="s">
        <v>35</v>
      </c>
      <c r="AB4" s="203" t="s">
        <v>36</v>
      </c>
      <c r="AC4" s="204" t="s">
        <v>37</v>
      </c>
      <c r="AD4" s="204" t="s">
        <v>38</v>
      </c>
      <c r="AE4" s="198" t="s">
        <v>39</v>
      </c>
      <c r="AF4" s="69" t="s">
        <v>92</v>
      </c>
      <c r="AG4" s="76">
        <v>46219</v>
      </c>
      <c r="AH4" s="76">
        <v>46220</v>
      </c>
      <c r="AI4" s="76">
        <v>46223</v>
      </c>
      <c r="AJ4" s="76">
        <v>46224</v>
      </c>
      <c r="AK4" s="76">
        <v>46225</v>
      </c>
      <c r="AL4" s="76">
        <v>46226</v>
      </c>
      <c r="AM4" s="76">
        <v>46230</v>
      </c>
      <c r="AN4" s="76">
        <v>46231</v>
      </c>
      <c r="AO4" s="76">
        <v>46233</v>
      </c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  <c r="BG4" s="76"/>
      <c r="BH4" s="76"/>
      <c r="BI4" s="76"/>
      <c r="BJ4" s="76"/>
      <c r="BK4" s="76"/>
      <c r="BL4" s="76"/>
      <c r="BM4" s="76"/>
      <c r="BN4" s="76"/>
      <c r="BO4" s="76"/>
      <c r="BP4" s="76"/>
      <c r="BQ4" s="76"/>
      <c r="BR4" s="76"/>
      <c r="BS4" s="76"/>
      <c r="BT4" s="76"/>
      <c r="BU4" s="76"/>
      <c r="BV4" s="76"/>
    </row>
    <row r="5" spans="1:88" ht="20.100000000000001" customHeight="1">
      <c r="A5" s="207"/>
      <c r="B5" s="215"/>
      <c r="C5" s="191"/>
      <c r="D5" s="191"/>
      <c r="E5" s="191"/>
      <c r="F5" s="191"/>
      <c r="G5" s="191"/>
      <c r="H5" s="212"/>
      <c r="I5" s="212"/>
      <c r="J5" s="212"/>
      <c r="K5" s="193"/>
      <c r="L5" s="196"/>
      <c r="M5" s="193"/>
      <c r="N5" s="191"/>
      <c r="O5" s="191"/>
      <c r="P5" s="191"/>
      <c r="Q5" s="191"/>
      <c r="R5" s="191"/>
      <c r="S5" s="191"/>
      <c r="T5" s="191"/>
      <c r="U5" s="191"/>
      <c r="V5" s="191"/>
      <c r="W5" s="180"/>
      <c r="X5" s="191"/>
      <c r="Y5" s="191"/>
      <c r="Z5" s="191"/>
      <c r="AA5" s="191"/>
      <c r="AB5" s="191"/>
      <c r="AC5" s="205"/>
      <c r="AD5" s="205"/>
      <c r="AE5" s="199"/>
      <c r="AF5" s="69" t="s">
        <v>1</v>
      </c>
      <c r="AG5" s="77" t="s">
        <v>254</v>
      </c>
      <c r="AH5" s="77" t="s">
        <v>254</v>
      </c>
      <c r="AI5" s="77" t="s">
        <v>254</v>
      </c>
      <c r="AJ5" s="77" t="s">
        <v>254</v>
      </c>
      <c r="AK5" s="77" t="s">
        <v>254</v>
      </c>
      <c r="AL5" s="77" t="s">
        <v>254</v>
      </c>
      <c r="AM5" s="77" t="s">
        <v>254</v>
      </c>
      <c r="AN5" s="77" t="s">
        <v>254</v>
      </c>
      <c r="AO5" s="77" t="s">
        <v>254</v>
      </c>
      <c r="AP5" s="77"/>
      <c r="AQ5" s="77"/>
      <c r="AR5" s="77"/>
      <c r="AS5" s="77"/>
      <c r="AT5" s="77"/>
      <c r="AU5" s="77"/>
      <c r="AV5" s="77"/>
      <c r="AW5" s="77"/>
      <c r="AX5" s="77"/>
      <c r="AY5" s="77"/>
      <c r="AZ5" s="77"/>
      <c r="BA5" s="77"/>
      <c r="BB5" s="77"/>
      <c r="BC5" s="77"/>
      <c r="BD5" s="77"/>
      <c r="BE5" s="77"/>
      <c r="BF5" s="77"/>
      <c r="BG5" s="77"/>
      <c r="BH5" s="77"/>
      <c r="BI5" s="77"/>
      <c r="BJ5" s="77"/>
      <c r="BK5" s="77"/>
      <c r="BL5" s="77"/>
      <c r="BM5" s="77"/>
      <c r="BN5" s="77"/>
      <c r="BO5" s="77"/>
      <c r="BP5" s="77"/>
      <c r="BQ5" s="77"/>
      <c r="BR5" s="77"/>
      <c r="BS5" s="77"/>
      <c r="BT5" s="77"/>
      <c r="BU5" s="77"/>
      <c r="BV5" s="77"/>
    </row>
    <row r="6" spans="1:88" ht="20.100000000000001" customHeight="1">
      <c r="A6" s="207"/>
      <c r="B6" s="215"/>
      <c r="C6" s="191"/>
      <c r="D6" s="191"/>
      <c r="E6" s="191"/>
      <c r="F6" s="191"/>
      <c r="G6" s="191"/>
      <c r="H6" s="212"/>
      <c r="I6" s="212"/>
      <c r="J6" s="212"/>
      <c r="K6" s="193"/>
      <c r="L6" s="196"/>
      <c r="M6" s="193"/>
      <c r="N6" s="191"/>
      <c r="O6" s="191"/>
      <c r="P6" s="191"/>
      <c r="Q6" s="191"/>
      <c r="R6" s="191"/>
      <c r="S6" s="191"/>
      <c r="T6" s="191"/>
      <c r="U6" s="191"/>
      <c r="V6" s="191"/>
      <c r="W6" s="180"/>
      <c r="X6" s="191"/>
      <c r="Y6" s="191"/>
      <c r="Z6" s="191"/>
      <c r="AA6" s="191"/>
      <c r="AB6" s="191"/>
      <c r="AC6" s="191"/>
      <c r="AD6" s="191"/>
      <c r="AE6" s="200"/>
      <c r="AF6" s="55" t="s">
        <v>115</v>
      </c>
      <c r="AG6" s="17" t="str">
        <f t="shared" ref="AG6:BV6" si="4">IFERROR(INDEX($C$13:$C$268,MATCH(SUM(AG$13:AG$268),AG$13:AG$268,0),1),"")</f>
        <v>G3S6626050140(1물류)</v>
      </c>
      <c r="AH6" s="17" t="str">
        <f t="shared" si="4"/>
        <v>G3S6626050140(1물류)</v>
      </c>
      <c r="AI6" s="17" t="str">
        <f t="shared" si="4"/>
        <v>G3S6626050140(1물류)</v>
      </c>
      <c r="AJ6" s="17" t="str">
        <f t="shared" si="4"/>
        <v>G3S6626050140(1물류)</v>
      </c>
      <c r="AK6" s="17" t="str">
        <f t="shared" si="4"/>
        <v>G3S6626050140(1물류)</v>
      </c>
      <c r="AL6" s="17" t="str">
        <f t="shared" si="4"/>
        <v>G3S6626050140(1물류)</v>
      </c>
      <c r="AM6" s="17" t="str">
        <f t="shared" si="4"/>
        <v>G3S6626050140(1물류)</v>
      </c>
      <c r="AN6" s="17" t="str">
        <f t="shared" si="4"/>
        <v>G3S6626050140(1물류)</v>
      </c>
      <c r="AO6" s="17" t="str">
        <f t="shared" si="4"/>
        <v>G3S6626050140(1물류)</v>
      </c>
      <c r="AP6" s="17" t="str">
        <f t="shared" si="4"/>
        <v/>
      </c>
      <c r="AQ6" s="17" t="str">
        <f t="shared" si="4"/>
        <v/>
      </c>
      <c r="AR6" s="17" t="str">
        <f t="shared" si="4"/>
        <v/>
      </c>
      <c r="AS6" s="17" t="str">
        <f t="shared" si="4"/>
        <v/>
      </c>
      <c r="AT6" s="17" t="str">
        <f t="shared" si="4"/>
        <v/>
      </c>
      <c r="AU6" s="17" t="str">
        <f t="shared" si="4"/>
        <v/>
      </c>
      <c r="AV6" s="17" t="str">
        <f t="shared" si="4"/>
        <v/>
      </c>
      <c r="AW6" s="17" t="str">
        <f t="shared" si="4"/>
        <v/>
      </c>
      <c r="AX6" s="17" t="str">
        <f t="shared" si="4"/>
        <v/>
      </c>
      <c r="AY6" s="17" t="str">
        <f t="shared" si="4"/>
        <v/>
      </c>
      <c r="AZ6" s="17" t="str">
        <f t="shared" si="4"/>
        <v/>
      </c>
      <c r="BA6" s="17" t="str">
        <f t="shared" si="4"/>
        <v/>
      </c>
      <c r="BB6" s="17" t="str">
        <f t="shared" si="4"/>
        <v/>
      </c>
      <c r="BC6" s="17" t="str">
        <f t="shared" si="4"/>
        <v/>
      </c>
      <c r="BD6" s="17" t="str">
        <f t="shared" si="4"/>
        <v/>
      </c>
      <c r="BE6" s="17" t="str">
        <f t="shared" si="4"/>
        <v/>
      </c>
      <c r="BF6" s="17" t="str">
        <f t="shared" si="4"/>
        <v/>
      </c>
      <c r="BG6" s="17" t="str">
        <f t="shared" si="4"/>
        <v/>
      </c>
      <c r="BH6" s="17" t="str">
        <f t="shared" si="4"/>
        <v/>
      </c>
      <c r="BI6" s="17" t="str">
        <f t="shared" si="4"/>
        <v/>
      </c>
      <c r="BJ6" s="17" t="str">
        <f t="shared" si="4"/>
        <v/>
      </c>
      <c r="BK6" s="17" t="str">
        <f t="shared" si="4"/>
        <v/>
      </c>
      <c r="BL6" s="17" t="str">
        <f t="shared" si="4"/>
        <v/>
      </c>
      <c r="BM6" s="17" t="str">
        <f t="shared" si="4"/>
        <v/>
      </c>
      <c r="BN6" s="17" t="str">
        <f t="shared" si="4"/>
        <v/>
      </c>
      <c r="BO6" s="17" t="str">
        <f t="shared" si="4"/>
        <v/>
      </c>
      <c r="BP6" s="17" t="str">
        <f t="shared" si="4"/>
        <v/>
      </c>
      <c r="BQ6" s="17" t="str">
        <f t="shared" si="4"/>
        <v/>
      </c>
      <c r="BR6" s="17" t="str">
        <f t="shared" si="4"/>
        <v/>
      </c>
      <c r="BS6" s="17" t="str">
        <f t="shared" si="4"/>
        <v/>
      </c>
      <c r="BT6" s="17" t="str">
        <f t="shared" si="4"/>
        <v/>
      </c>
      <c r="BU6" s="17" t="str">
        <f t="shared" si="4"/>
        <v/>
      </c>
      <c r="BV6" s="17" t="str">
        <f t="shared" si="4"/>
        <v/>
      </c>
    </row>
    <row r="7" spans="1:88" ht="15" customHeight="1">
      <c r="A7" s="207"/>
      <c r="B7" s="215"/>
      <c r="C7" s="191"/>
      <c r="D7" s="191"/>
      <c r="E7" s="191"/>
      <c r="F7" s="191"/>
      <c r="G7" s="191"/>
      <c r="H7" s="212"/>
      <c r="I7" s="212"/>
      <c r="J7" s="212"/>
      <c r="K7" s="193"/>
      <c r="L7" s="196"/>
      <c r="M7" s="193"/>
      <c r="N7" s="191"/>
      <c r="O7" s="191"/>
      <c r="P7" s="191"/>
      <c r="Q7" s="191"/>
      <c r="R7" s="191"/>
      <c r="S7" s="191"/>
      <c r="T7" s="191"/>
      <c r="U7" s="191"/>
      <c r="V7" s="191"/>
      <c r="W7" s="180"/>
      <c r="X7" s="191"/>
      <c r="Y7" s="191"/>
      <c r="Z7" s="191"/>
      <c r="AA7" s="191"/>
      <c r="AB7" s="191"/>
      <c r="AC7" s="191"/>
      <c r="AD7" s="191"/>
      <c r="AE7" s="200"/>
      <c r="AF7" s="55" t="s">
        <v>3</v>
      </c>
      <c r="AG7" s="18" t="str">
        <f t="shared" ref="AG7:BV7" si="5">IFERROR(INDEX($F$13:$F$268,MATCH(SUM(AG$13:AG$268),AG$13:AG$268,0),1),"")</f>
        <v>톤백설탕</v>
      </c>
      <c r="AH7" s="18" t="str">
        <f t="shared" si="5"/>
        <v>톤백설탕</v>
      </c>
      <c r="AI7" s="18" t="str">
        <f t="shared" si="5"/>
        <v>톤백설탕</v>
      </c>
      <c r="AJ7" s="18" t="str">
        <f t="shared" si="5"/>
        <v>톤백설탕</v>
      </c>
      <c r="AK7" s="18" t="str">
        <f t="shared" si="5"/>
        <v>톤백설탕</v>
      </c>
      <c r="AL7" s="18" t="str">
        <f t="shared" si="5"/>
        <v>톤백설탕</v>
      </c>
      <c r="AM7" s="18" t="str">
        <f t="shared" si="5"/>
        <v>톤백설탕</v>
      </c>
      <c r="AN7" s="18" t="str">
        <f t="shared" si="5"/>
        <v>톤백설탕</v>
      </c>
      <c r="AO7" s="18" t="str">
        <f t="shared" si="5"/>
        <v>톤백설탕</v>
      </c>
      <c r="AP7" s="18" t="str">
        <f t="shared" si="5"/>
        <v/>
      </c>
      <c r="AQ7" s="18" t="str">
        <f t="shared" si="5"/>
        <v/>
      </c>
      <c r="AR7" s="18" t="str">
        <f t="shared" si="5"/>
        <v/>
      </c>
      <c r="AS7" s="18" t="str">
        <f t="shared" si="5"/>
        <v/>
      </c>
      <c r="AT7" s="18" t="str">
        <f t="shared" si="5"/>
        <v/>
      </c>
      <c r="AU7" s="18" t="str">
        <f t="shared" si="5"/>
        <v/>
      </c>
      <c r="AV7" s="18" t="str">
        <f t="shared" si="5"/>
        <v/>
      </c>
      <c r="AW7" s="18" t="str">
        <f t="shared" si="5"/>
        <v/>
      </c>
      <c r="AX7" s="18" t="str">
        <f t="shared" si="5"/>
        <v/>
      </c>
      <c r="AY7" s="18" t="str">
        <f t="shared" si="5"/>
        <v/>
      </c>
      <c r="AZ7" s="18" t="str">
        <f t="shared" si="5"/>
        <v/>
      </c>
      <c r="BA7" s="18" t="str">
        <f t="shared" si="5"/>
        <v/>
      </c>
      <c r="BB7" s="18" t="str">
        <f t="shared" si="5"/>
        <v/>
      </c>
      <c r="BC7" s="18" t="str">
        <f t="shared" si="5"/>
        <v/>
      </c>
      <c r="BD7" s="18" t="str">
        <f t="shared" si="5"/>
        <v/>
      </c>
      <c r="BE7" s="18" t="str">
        <f t="shared" si="5"/>
        <v/>
      </c>
      <c r="BF7" s="18" t="str">
        <f t="shared" si="5"/>
        <v/>
      </c>
      <c r="BG7" s="18" t="str">
        <f t="shared" si="5"/>
        <v/>
      </c>
      <c r="BH7" s="18" t="str">
        <f t="shared" si="5"/>
        <v/>
      </c>
      <c r="BI7" s="18" t="str">
        <f t="shared" si="5"/>
        <v/>
      </c>
      <c r="BJ7" s="18" t="str">
        <f t="shared" si="5"/>
        <v/>
      </c>
      <c r="BK7" s="18" t="str">
        <f t="shared" si="5"/>
        <v/>
      </c>
      <c r="BL7" s="18" t="str">
        <f t="shared" si="5"/>
        <v/>
      </c>
      <c r="BM7" s="18" t="str">
        <f t="shared" si="5"/>
        <v/>
      </c>
      <c r="BN7" s="18" t="str">
        <f t="shared" si="5"/>
        <v/>
      </c>
      <c r="BO7" s="18" t="str">
        <f t="shared" si="5"/>
        <v/>
      </c>
      <c r="BP7" s="18" t="str">
        <f t="shared" si="5"/>
        <v/>
      </c>
      <c r="BQ7" s="18" t="str">
        <f t="shared" si="5"/>
        <v/>
      </c>
      <c r="BR7" s="18" t="str">
        <f t="shared" si="5"/>
        <v/>
      </c>
      <c r="BS7" s="18" t="str">
        <f t="shared" si="5"/>
        <v/>
      </c>
      <c r="BT7" s="18" t="str">
        <f t="shared" si="5"/>
        <v/>
      </c>
      <c r="BU7" s="18" t="str">
        <f t="shared" si="5"/>
        <v/>
      </c>
      <c r="BV7" s="18" t="str">
        <f t="shared" si="5"/>
        <v/>
      </c>
    </row>
    <row r="8" spans="1:88" ht="15" customHeight="1">
      <c r="A8" s="207"/>
      <c r="B8" s="215"/>
      <c r="C8" s="191"/>
      <c r="D8" s="191"/>
      <c r="E8" s="191"/>
      <c r="F8" s="191"/>
      <c r="G8" s="191"/>
      <c r="H8" s="212"/>
      <c r="I8" s="212"/>
      <c r="J8" s="212"/>
      <c r="K8" s="193"/>
      <c r="L8" s="196"/>
      <c r="M8" s="193"/>
      <c r="N8" s="191"/>
      <c r="O8" s="191"/>
      <c r="P8" s="191"/>
      <c r="Q8" s="191"/>
      <c r="R8" s="191"/>
      <c r="S8" s="191"/>
      <c r="T8" s="191"/>
      <c r="U8" s="191"/>
      <c r="V8" s="191"/>
      <c r="W8" s="180"/>
      <c r="X8" s="191"/>
      <c r="Y8" s="191"/>
      <c r="Z8" s="191"/>
      <c r="AA8" s="191"/>
      <c r="AB8" s="191"/>
      <c r="AC8" s="191"/>
      <c r="AD8" s="191"/>
      <c r="AE8" s="200"/>
      <c r="AF8" s="55" t="s">
        <v>4</v>
      </c>
      <c r="AG8" s="47">
        <f t="shared" ref="AG8:BV8" si="6">IFERROR(SUM(AG$13:AG$268),"")</f>
        <v>2</v>
      </c>
      <c r="AH8" s="47">
        <f t="shared" si="6"/>
        <v>6</v>
      </c>
      <c r="AI8" s="47">
        <f t="shared" si="6"/>
        <v>5</v>
      </c>
      <c r="AJ8" s="47">
        <f t="shared" si="6"/>
        <v>4</v>
      </c>
      <c r="AK8" s="47">
        <f t="shared" si="6"/>
        <v>4</v>
      </c>
      <c r="AL8" s="47">
        <f t="shared" si="6"/>
        <v>5</v>
      </c>
      <c r="AM8" s="47">
        <f t="shared" si="6"/>
        <v>5</v>
      </c>
      <c r="AN8" s="47">
        <f t="shared" si="6"/>
        <v>4</v>
      </c>
      <c r="AO8" s="47">
        <f t="shared" si="6"/>
        <v>5</v>
      </c>
      <c r="AP8" s="47">
        <f t="shared" si="6"/>
        <v>0</v>
      </c>
      <c r="AQ8" s="47">
        <f t="shared" si="6"/>
        <v>0</v>
      </c>
      <c r="AR8" s="47">
        <f t="shared" si="6"/>
        <v>0</v>
      </c>
      <c r="AS8" s="47">
        <f t="shared" si="6"/>
        <v>0</v>
      </c>
      <c r="AT8" s="47">
        <f t="shared" si="6"/>
        <v>0</v>
      </c>
      <c r="AU8" s="47">
        <f t="shared" si="6"/>
        <v>0</v>
      </c>
      <c r="AV8" s="47">
        <f t="shared" si="6"/>
        <v>0</v>
      </c>
      <c r="AW8" s="47">
        <f t="shared" si="6"/>
        <v>0</v>
      </c>
      <c r="AX8" s="47">
        <f t="shared" si="6"/>
        <v>0</v>
      </c>
      <c r="AY8" s="47">
        <f t="shared" si="6"/>
        <v>0</v>
      </c>
      <c r="AZ8" s="47">
        <f t="shared" si="6"/>
        <v>0</v>
      </c>
      <c r="BA8" s="47">
        <f t="shared" si="6"/>
        <v>0</v>
      </c>
      <c r="BB8" s="47">
        <f t="shared" si="6"/>
        <v>0</v>
      </c>
      <c r="BC8" s="47">
        <f t="shared" si="6"/>
        <v>0</v>
      </c>
      <c r="BD8" s="47">
        <f t="shared" si="6"/>
        <v>0</v>
      </c>
      <c r="BE8" s="47">
        <f t="shared" si="6"/>
        <v>0</v>
      </c>
      <c r="BF8" s="47">
        <f t="shared" si="6"/>
        <v>0</v>
      </c>
      <c r="BG8" s="47">
        <f t="shared" si="6"/>
        <v>0</v>
      </c>
      <c r="BH8" s="47">
        <f t="shared" si="6"/>
        <v>0</v>
      </c>
      <c r="BI8" s="47">
        <f t="shared" si="6"/>
        <v>0</v>
      </c>
      <c r="BJ8" s="47">
        <f t="shared" si="6"/>
        <v>0</v>
      </c>
      <c r="BK8" s="47">
        <f t="shared" si="6"/>
        <v>0</v>
      </c>
      <c r="BL8" s="47">
        <f t="shared" si="6"/>
        <v>0</v>
      </c>
      <c r="BM8" s="47">
        <f t="shared" si="6"/>
        <v>0</v>
      </c>
      <c r="BN8" s="47">
        <f t="shared" si="6"/>
        <v>0</v>
      </c>
      <c r="BO8" s="47">
        <f t="shared" si="6"/>
        <v>0</v>
      </c>
      <c r="BP8" s="47">
        <f t="shared" si="6"/>
        <v>0</v>
      </c>
      <c r="BQ8" s="47">
        <f t="shared" si="6"/>
        <v>0</v>
      </c>
      <c r="BR8" s="47">
        <f t="shared" si="6"/>
        <v>0</v>
      </c>
      <c r="BS8" s="47">
        <f t="shared" si="6"/>
        <v>0</v>
      </c>
      <c r="BT8" s="47">
        <f t="shared" si="6"/>
        <v>0</v>
      </c>
      <c r="BU8" s="47">
        <f t="shared" si="6"/>
        <v>0</v>
      </c>
      <c r="BV8" s="47">
        <f t="shared" si="6"/>
        <v>0</v>
      </c>
    </row>
    <row r="9" spans="1:88" ht="15" customHeight="1">
      <c r="A9" s="207"/>
      <c r="B9" s="215"/>
      <c r="C9" s="191"/>
      <c r="D9" s="191"/>
      <c r="E9" s="191"/>
      <c r="F9" s="191"/>
      <c r="G9" s="191"/>
      <c r="H9" s="212"/>
      <c r="I9" s="212"/>
      <c r="J9" s="212"/>
      <c r="K9" s="193"/>
      <c r="L9" s="196"/>
      <c r="M9" s="193"/>
      <c r="N9" s="191"/>
      <c r="O9" s="191"/>
      <c r="P9" s="191"/>
      <c r="Q9" s="191"/>
      <c r="R9" s="191"/>
      <c r="S9" s="191"/>
      <c r="T9" s="191"/>
      <c r="U9" s="191"/>
      <c r="V9" s="191"/>
      <c r="W9" s="180"/>
      <c r="X9" s="191"/>
      <c r="Y9" s="191"/>
      <c r="Z9" s="191"/>
      <c r="AA9" s="191"/>
      <c r="AB9" s="191"/>
      <c r="AC9" s="191"/>
      <c r="AD9" s="191"/>
      <c r="AE9" s="200"/>
      <c r="AF9" s="56" t="s">
        <v>12</v>
      </c>
      <c r="AG9" s="49">
        <f t="shared" ref="AG9:AO9" si="7">IFERROR(IF(AG8&lt;INDEX($Y$13:$Y$288,MATCH(SUM(AG$13:AG$288),AG$13:AG$288,0),1),"분할출고",
ROUNDUP((SUM(AG13:AG288)/IFERROR(INDEX($Y$13:$Y$288,MATCH(SUM(AG$13:AG$288),AG$13:AG$288,0),1),"")),0)),"")</f>
        <v>2</v>
      </c>
      <c r="AH9" s="49">
        <f t="shared" si="7"/>
        <v>6</v>
      </c>
      <c r="AI9" s="49">
        <f t="shared" si="7"/>
        <v>5</v>
      </c>
      <c r="AJ9" s="49">
        <f t="shared" si="7"/>
        <v>4</v>
      </c>
      <c r="AK9" s="49">
        <f t="shared" si="7"/>
        <v>4</v>
      </c>
      <c r="AL9" s="49">
        <f t="shared" si="7"/>
        <v>5</v>
      </c>
      <c r="AM9" s="49">
        <f t="shared" si="7"/>
        <v>5</v>
      </c>
      <c r="AN9" s="49">
        <f t="shared" si="7"/>
        <v>4</v>
      </c>
      <c r="AO9" s="49">
        <f t="shared" si="7"/>
        <v>5</v>
      </c>
      <c r="AP9" s="49" t="str">
        <f t="shared" ref="AP9:AS9" si="8">IFERROR(IF(AP8&lt;INDEX($Y$13:$Y$288,MATCH(SUM(AP$13:AP$288),AP$13:AP$288,0),1),"분할출고",
ROUNDUP((SUM(AP13:AP288)/IFERROR(INDEX($Y$13:$Y$288,MATCH(SUM(AP$13:AP$288),AP$13:AP$288,0),1),"")),0)),"")</f>
        <v/>
      </c>
      <c r="AQ9" s="49" t="str">
        <f t="shared" si="8"/>
        <v/>
      </c>
      <c r="AR9" s="49" t="str">
        <f t="shared" si="8"/>
        <v/>
      </c>
      <c r="AS9" s="49" t="str">
        <f t="shared" si="8"/>
        <v/>
      </c>
      <c r="AT9" s="49" t="str">
        <f t="shared" ref="AT9:BV9" si="9">IFERROR(IF(AT8&lt;INDEX($Y$13:$Y$288,MATCH(SUM(AT$13:AT$288),AT$13:AT$288,0),1),"분할출고",
ROUNDUP((SUM(AT13:AT288)/IFERROR(INDEX($Y$13:$Y$288,MATCH(SUM(AT$13:AT$288),AT$13:AT$288,0),1),"")),0)),"")</f>
        <v/>
      </c>
      <c r="AU9" s="49" t="str">
        <f t="shared" si="9"/>
        <v/>
      </c>
      <c r="AV9" s="49" t="str">
        <f t="shared" si="9"/>
        <v/>
      </c>
      <c r="AW9" s="49" t="str">
        <f t="shared" si="9"/>
        <v/>
      </c>
      <c r="AX9" s="49" t="str">
        <f t="shared" si="9"/>
        <v/>
      </c>
      <c r="AY9" s="49" t="str">
        <f t="shared" si="9"/>
        <v/>
      </c>
      <c r="AZ9" s="49" t="str">
        <f t="shared" si="9"/>
        <v/>
      </c>
      <c r="BA9" s="49" t="str">
        <f t="shared" si="9"/>
        <v/>
      </c>
      <c r="BB9" s="49" t="str">
        <f t="shared" si="9"/>
        <v/>
      </c>
      <c r="BC9" s="49" t="str">
        <f t="shared" si="9"/>
        <v/>
      </c>
      <c r="BD9" s="49" t="str">
        <f t="shared" si="9"/>
        <v/>
      </c>
      <c r="BE9" s="49" t="str">
        <f t="shared" si="9"/>
        <v/>
      </c>
      <c r="BF9" s="49" t="str">
        <f t="shared" si="9"/>
        <v/>
      </c>
      <c r="BG9" s="49" t="str">
        <f t="shared" si="9"/>
        <v/>
      </c>
      <c r="BH9" s="49" t="str">
        <f t="shared" si="9"/>
        <v/>
      </c>
      <c r="BI9" s="49" t="str">
        <f t="shared" si="9"/>
        <v/>
      </c>
      <c r="BJ9" s="49" t="str">
        <f t="shared" si="9"/>
        <v/>
      </c>
      <c r="BK9" s="49" t="str">
        <f t="shared" si="9"/>
        <v/>
      </c>
      <c r="BL9" s="49" t="str">
        <f t="shared" si="9"/>
        <v/>
      </c>
      <c r="BM9" s="49" t="str">
        <f t="shared" si="9"/>
        <v/>
      </c>
      <c r="BN9" s="49" t="str">
        <f t="shared" si="9"/>
        <v/>
      </c>
      <c r="BO9" s="49" t="str">
        <f t="shared" si="9"/>
        <v/>
      </c>
      <c r="BP9" s="49" t="str">
        <f t="shared" si="9"/>
        <v/>
      </c>
      <c r="BQ9" s="49" t="str">
        <f t="shared" si="9"/>
        <v/>
      </c>
      <c r="BR9" s="49" t="str">
        <f t="shared" si="9"/>
        <v/>
      </c>
      <c r="BS9" s="49" t="str">
        <f t="shared" si="9"/>
        <v/>
      </c>
      <c r="BT9" s="49" t="str">
        <f t="shared" si="9"/>
        <v/>
      </c>
      <c r="BU9" s="49" t="str">
        <f t="shared" si="9"/>
        <v/>
      </c>
      <c r="BV9" s="49" t="str">
        <f t="shared" si="9"/>
        <v/>
      </c>
    </row>
    <row r="10" spans="1:88" ht="15" customHeight="1">
      <c r="A10" s="207"/>
      <c r="B10" s="215"/>
      <c r="C10" s="191"/>
      <c r="D10" s="191"/>
      <c r="E10" s="191"/>
      <c r="F10" s="191"/>
      <c r="G10" s="191"/>
      <c r="H10" s="212"/>
      <c r="I10" s="212"/>
      <c r="J10" s="212"/>
      <c r="K10" s="193"/>
      <c r="L10" s="196"/>
      <c r="M10" s="193"/>
      <c r="N10" s="191"/>
      <c r="O10" s="191"/>
      <c r="P10" s="191"/>
      <c r="Q10" s="191"/>
      <c r="R10" s="191"/>
      <c r="S10" s="191"/>
      <c r="T10" s="191"/>
      <c r="U10" s="191"/>
      <c r="V10" s="191"/>
      <c r="W10" s="180"/>
      <c r="X10" s="191"/>
      <c r="Y10" s="191"/>
      <c r="Z10" s="191"/>
      <c r="AA10" s="191"/>
      <c r="AB10" s="191"/>
      <c r="AC10" s="191"/>
      <c r="AD10" s="191"/>
      <c r="AE10" s="200"/>
      <c r="AF10" s="55" t="s">
        <v>11</v>
      </c>
      <c r="AG10" s="17">
        <f t="shared" ref="AG10:BV10" si="10">IFERROR(INDEX($Z$13:$Z$268,MATCH(SUM(AG$13:AG$268),AG$13:AG$268,0),1),"")</f>
        <v>46195</v>
      </c>
      <c r="AH10" s="17">
        <f t="shared" si="10"/>
        <v>46195</v>
      </c>
      <c r="AI10" s="17">
        <f t="shared" si="10"/>
        <v>46195</v>
      </c>
      <c r="AJ10" s="17">
        <f t="shared" si="10"/>
        <v>46195</v>
      </c>
      <c r="AK10" s="17">
        <f t="shared" si="10"/>
        <v>46195</v>
      </c>
      <c r="AL10" s="17">
        <f t="shared" si="10"/>
        <v>46195</v>
      </c>
      <c r="AM10" s="17">
        <f t="shared" si="10"/>
        <v>46195</v>
      </c>
      <c r="AN10" s="17">
        <f t="shared" si="10"/>
        <v>46195</v>
      </c>
      <c r="AO10" s="17">
        <f t="shared" si="10"/>
        <v>46195</v>
      </c>
      <c r="AP10" s="17" t="str">
        <f t="shared" si="10"/>
        <v/>
      </c>
      <c r="AQ10" s="17" t="str">
        <f t="shared" si="10"/>
        <v/>
      </c>
      <c r="AR10" s="17" t="str">
        <f t="shared" si="10"/>
        <v/>
      </c>
      <c r="AS10" s="17" t="str">
        <f t="shared" si="10"/>
        <v/>
      </c>
      <c r="AT10" s="17" t="str">
        <f t="shared" si="10"/>
        <v/>
      </c>
      <c r="AU10" s="17" t="str">
        <f t="shared" si="10"/>
        <v/>
      </c>
      <c r="AV10" s="17" t="str">
        <f t="shared" si="10"/>
        <v/>
      </c>
      <c r="AW10" s="17" t="str">
        <f t="shared" si="10"/>
        <v/>
      </c>
      <c r="AX10" s="17" t="str">
        <f t="shared" si="10"/>
        <v/>
      </c>
      <c r="AY10" s="17" t="str">
        <f t="shared" si="10"/>
        <v/>
      </c>
      <c r="AZ10" s="17" t="str">
        <f t="shared" si="10"/>
        <v/>
      </c>
      <c r="BA10" s="17" t="str">
        <f t="shared" si="10"/>
        <v/>
      </c>
      <c r="BB10" s="17" t="str">
        <f t="shared" si="10"/>
        <v/>
      </c>
      <c r="BC10" s="17" t="str">
        <f t="shared" si="10"/>
        <v/>
      </c>
      <c r="BD10" s="17" t="str">
        <f t="shared" si="10"/>
        <v/>
      </c>
      <c r="BE10" s="17" t="str">
        <f t="shared" si="10"/>
        <v/>
      </c>
      <c r="BF10" s="17" t="str">
        <f t="shared" si="10"/>
        <v/>
      </c>
      <c r="BG10" s="17" t="str">
        <f t="shared" si="10"/>
        <v/>
      </c>
      <c r="BH10" s="17" t="str">
        <f t="shared" si="10"/>
        <v/>
      </c>
      <c r="BI10" s="17" t="str">
        <f t="shared" si="10"/>
        <v/>
      </c>
      <c r="BJ10" s="17" t="str">
        <f t="shared" si="10"/>
        <v/>
      </c>
      <c r="BK10" s="17" t="str">
        <f t="shared" si="10"/>
        <v/>
      </c>
      <c r="BL10" s="17" t="str">
        <f t="shared" si="10"/>
        <v/>
      </c>
      <c r="BM10" s="17" t="str">
        <f t="shared" si="10"/>
        <v/>
      </c>
      <c r="BN10" s="17" t="str">
        <f t="shared" si="10"/>
        <v/>
      </c>
      <c r="BO10" s="17" t="str">
        <f t="shared" si="10"/>
        <v/>
      </c>
      <c r="BP10" s="17" t="str">
        <f t="shared" si="10"/>
        <v/>
      </c>
      <c r="BQ10" s="17" t="str">
        <f t="shared" si="10"/>
        <v/>
      </c>
      <c r="BR10" s="17" t="str">
        <f t="shared" si="10"/>
        <v/>
      </c>
      <c r="BS10" s="17" t="str">
        <f t="shared" si="10"/>
        <v/>
      </c>
      <c r="BT10" s="17" t="str">
        <f t="shared" si="10"/>
        <v/>
      </c>
      <c r="BU10" s="17" t="str">
        <f t="shared" si="10"/>
        <v/>
      </c>
      <c r="BV10" s="17" t="str">
        <f t="shared" si="10"/>
        <v/>
      </c>
    </row>
    <row r="11" spans="1:88" ht="15" customHeight="1">
      <c r="A11" s="207"/>
      <c r="B11" s="215"/>
      <c r="C11" s="191"/>
      <c r="D11" s="191"/>
      <c r="E11" s="191"/>
      <c r="F11" s="191"/>
      <c r="G11" s="191"/>
      <c r="H11" s="212"/>
      <c r="I11" s="212"/>
      <c r="J11" s="212"/>
      <c r="K11" s="193"/>
      <c r="L11" s="196"/>
      <c r="M11" s="193"/>
      <c r="N11" s="191"/>
      <c r="O11" s="191"/>
      <c r="P11" s="191"/>
      <c r="Q11" s="191"/>
      <c r="R11" s="191"/>
      <c r="S11" s="191"/>
      <c r="T11" s="191"/>
      <c r="U11" s="191"/>
      <c r="V11" s="191"/>
      <c r="W11" s="180"/>
      <c r="X11" s="191"/>
      <c r="Y11" s="191"/>
      <c r="Z11" s="191"/>
      <c r="AA11" s="191"/>
      <c r="AB11" s="191"/>
      <c r="AC11" s="191"/>
      <c r="AD11" s="191"/>
      <c r="AE11" s="200"/>
      <c r="AF11" s="55" t="s">
        <v>13</v>
      </c>
      <c r="AG11" s="20">
        <f t="shared" ref="AG11:AO11" si="11">IF(AG5="","",IF(AG10&gt;AG4,"프리타임기간내출고",IF(DATE(YEAR(AG4),MONTH(AG4),1)&gt;=DATE(YEAR(AG10),MONTH(AG10),1),DATEDIF(($AD$2),(AG4)+1,"D"),DATEDIF(AG10,AG4+1,"D"))))</f>
        <v>26</v>
      </c>
      <c r="AH11" s="20">
        <f t="shared" si="11"/>
        <v>27</v>
      </c>
      <c r="AI11" s="20">
        <f t="shared" si="11"/>
        <v>30</v>
      </c>
      <c r="AJ11" s="20">
        <f t="shared" si="11"/>
        <v>31</v>
      </c>
      <c r="AK11" s="20">
        <f t="shared" si="11"/>
        <v>32</v>
      </c>
      <c r="AL11" s="20">
        <f t="shared" si="11"/>
        <v>33</v>
      </c>
      <c r="AM11" s="20">
        <f t="shared" si="11"/>
        <v>37</v>
      </c>
      <c r="AN11" s="20">
        <f t="shared" si="11"/>
        <v>38</v>
      </c>
      <c r="AO11" s="20">
        <f t="shared" si="11"/>
        <v>40</v>
      </c>
      <c r="AP11" s="20" t="str">
        <f t="shared" ref="AP11:AS11" si="12">IF(AP5="","",IF(AP10&gt;AP4,"프리타임기간내출고",IF(DATE(YEAR(AP4),MONTH(AP4),1)&gt;=DATE(YEAR(AP10),MONTH(AP10),1),DATEDIF(($AD$2),(AP4)+1,"D"),DATEDIF(AP10,AP4+1,"D"))))</f>
        <v/>
      </c>
      <c r="AQ11" s="20" t="str">
        <f t="shared" si="12"/>
        <v/>
      </c>
      <c r="AR11" s="20" t="str">
        <f t="shared" si="12"/>
        <v/>
      </c>
      <c r="AS11" s="20" t="str">
        <f t="shared" si="12"/>
        <v/>
      </c>
      <c r="AT11" s="20" t="str">
        <f t="shared" ref="AT11:BV11" si="13">IF(AT5="","",IF(AT10&gt;AT4,"프리타임기간내출고",IF(DATE(YEAR(AT4),MONTH(AT4),1)&gt;=DATE(YEAR(AT10),MONTH(AT10),1),DATEDIF(($AD$2),(AT4)+1,"D"),DATEDIF(AT10,AT4+1,"D"))))</f>
        <v/>
      </c>
      <c r="AU11" s="20" t="str">
        <f t="shared" si="13"/>
        <v/>
      </c>
      <c r="AV11" s="20" t="str">
        <f t="shared" si="13"/>
        <v/>
      </c>
      <c r="AW11" s="20" t="str">
        <f t="shared" si="13"/>
        <v/>
      </c>
      <c r="AX11" s="20" t="str">
        <f t="shared" si="13"/>
        <v/>
      </c>
      <c r="AY11" s="20" t="str">
        <f t="shared" si="13"/>
        <v/>
      </c>
      <c r="AZ11" s="20" t="str">
        <f t="shared" si="13"/>
        <v/>
      </c>
      <c r="BA11" s="20" t="str">
        <f t="shared" si="13"/>
        <v/>
      </c>
      <c r="BB11" s="20" t="str">
        <f t="shared" si="13"/>
        <v/>
      </c>
      <c r="BC11" s="20" t="str">
        <f t="shared" si="13"/>
        <v/>
      </c>
      <c r="BD11" s="20" t="str">
        <f t="shared" si="13"/>
        <v/>
      </c>
      <c r="BE11" s="20" t="str">
        <f t="shared" si="13"/>
        <v/>
      </c>
      <c r="BF11" s="20" t="str">
        <f t="shared" si="13"/>
        <v/>
      </c>
      <c r="BG11" s="20" t="str">
        <f t="shared" si="13"/>
        <v/>
      </c>
      <c r="BH11" s="20" t="str">
        <f t="shared" si="13"/>
        <v/>
      </c>
      <c r="BI11" s="20" t="str">
        <f t="shared" si="13"/>
        <v/>
      </c>
      <c r="BJ11" s="20" t="str">
        <f t="shared" si="13"/>
        <v/>
      </c>
      <c r="BK11" s="20" t="str">
        <f t="shared" si="13"/>
        <v/>
      </c>
      <c r="BL11" s="20" t="str">
        <f t="shared" si="13"/>
        <v/>
      </c>
      <c r="BM11" s="20" t="str">
        <f t="shared" si="13"/>
        <v/>
      </c>
      <c r="BN11" s="20" t="str">
        <f t="shared" si="13"/>
        <v/>
      </c>
      <c r="BO11" s="20" t="str">
        <f t="shared" si="13"/>
        <v/>
      </c>
      <c r="BP11" s="20" t="str">
        <f t="shared" si="13"/>
        <v/>
      </c>
      <c r="BQ11" s="20" t="str">
        <f t="shared" si="13"/>
        <v/>
      </c>
      <c r="BR11" s="20" t="str">
        <f t="shared" si="13"/>
        <v/>
      </c>
      <c r="BS11" s="20" t="str">
        <f t="shared" si="13"/>
        <v/>
      </c>
      <c r="BT11" s="20" t="str">
        <f t="shared" si="13"/>
        <v/>
      </c>
      <c r="BU11" s="20" t="str">
        <f t="shared" si="13"/>
        <v/>
      </c>
      <c r="BV11" s="20" t="str">
        <f t="shared" si="13"/>
        <v/>
      </c>
    </row>
    <row r="12" spans="1:88" ht="15" customHeight="1" thickBot="1">
      <c r="A12" s="208"/>
      <c r="B12" s="216"/>
      <c r="C12" s="192"/>
      <c r="D12" s="192"/>
      <c r="E12" s="192"/>
      <c r="F12" s="192"/>
      <c r="G12" s="192"/>
      <c r="H12" s="213"/>
      <c r="I12" s="213"/>
      <c r="J12" s="213"/>
      <c r="K12" s="194"/>
      <c r="L12" s="197"/>
      <c r="M12" s="194"/>
      <c r="N12" s="192"/>
      <c r="O12" s="192"/>
      <c r="P12" s="192"/>
      <c r="Q12" s="192"/>
      <c r="R12" s="192"/>
      <c r="S12" s="192"/>
      <c r="T12" s="192"/>
      <c r="U12" s="192"/>
      <c r="V12" s="192"/>
      <c r="W12" s="202"/>
      <c r="X12" s="192"/>
      <c r="Y12" s="192"/>
      <c r="Z12" s="192"/>
      <c r="AA12" s="192"/>
      <c r="AB12" s="192"/>
      <c r="AC12" s="191"/>
      <c r="AD12" s="192"/>
      <c r="AE12" s="201"/>
      <c r="AF12" s="55" t="s">
        <v>14</v>
      </c>
      <c r="AG12" s="19">
        <f t="shared" ref="AG12:AO12" si="14">IFERROR(AG11*AG9*(INDEX($AB$13:$AB$268,MATCH(SUM(AG$13:AG$268),AG$13:AG$268,0),1)),"")</f>
        <v>21840</v>
      </c>
      <c r="AH12" s="19">
        <f t="shared" si="14"/>
        <v>68040</v>
      </c>
      <c r="AI12" s="19">
        <f t="shared" si="14"/>
        <v>63000</v>
      </c>
      <c r="AJ12" s="19">
        <f t="shared" si="14"/>
        <v>52080</v>
      </c>
      <c r="AK12" s="19">
        <f t="shared" si="14"/>
        <v>53760</v>
      </c>
      <c r="AL12" s="19">
        <f t="shared" si="14"/>
        <v>69300</v>
      </c>
      <c r="AM12" s="19">
        <f t="shared" si="14"/>
        <v>77700</v>
      </c>
      <c r="AN12" s="19">
        <f t="shared" si="14"/>
        <v>63840</v>
      </c>
      <c r="AO12" s="19">
        <f t="shared" si="14"/>
        <v>84000</v>
      </c>
      <c r="AP12" s="19" t="str">
        <f t="shared" ref="AP12:AS12" si="15">IFERROR(AP11*AP9*(INDEX($AB$13:$AB$268,MATCH(SUM(AP$13:AP$268),AP$13:AP$268,0),1)),"")</f>
        <v/>
      </c>
      <c r="AQ12" s="19" t="str">
        <f t="shared" si="15"/>
        <v/>
      </c>
      <c r="AR12" s="19" t="str">
        <f t="shared" si="15"/>
        <v/>
      </c>
      <c r="AS12" s="19" t="str">
        <f t="shared" si="15"/>
        <v/>
      </c>
      <c r="AT12" s="19" t="str">
        <f t="shared" ref="AT12:BV12" si="16">IFERROR(AT11*AT9*(INDEX($AB$13:$AB$268,MATCH(SUM(AT$13:AT$268),AT$13:AT$268,0),1)),"")</f>
        <v/>
      </c>
      <c r="AU12" s="19" t="str">
        <f t="shared" si="16"/>
        <v/>
      </c>
      <c r="AV12" s="19" t="str">
        <f t="shared" si="16"/>
        <v/>
      </c>
      <c r="AW12" s="19" t="str">
        <f t="shared" si="16"/>
        <v/>
      </c>
      <c r="AX12" s="19" t="str">
        <f t="shared" si="16"/>
        <v/>
      </c>
      <c r="AY12" s="19" t="str">
        <f t="shared" si="16"/>
        <v/>
      </c>
      <c r="AZ12" s="19" t="str">
        <f t="shared" si="16"/>
        <v/>
      </c>
      <c r="BA12" s="19" t="str">
        <f t="shared" si="16"/>
        <v/>
      </c>
      <c r="BB12" s="19" t="str">
        <f t="shared" si="16"/>
        <v/>
      </c>
      <c r="BC12" s="19" t="str">
        <f t="shared" si="16"/>
        <v/>
      </c>
      <c r="BD12" s="19" t="str">
        <f t="shared" si="16"/>
        <v/>
      </c>
      <c r="BE12" s="19" t="str">
        <f t="shared" si="16"/>
        <v/>
      </c>
      <c r="BF12" s="19" t="str">
        <f t="shared" si="16"/>
        <v/>
      </c>
      <c r="BG12" s="19" t="str">
        <f t="shared" si="16"/>
        <v/>
      </c>
      <c r="BH12" s="19" t="str">
        <f t="shared" si="16"/>
        <v/>
      </c>
      <c r="BI12" s="19" t="str">
        <f t="shared" si="16"/>
        <v/>
      </c>
      <c r="BJ12" s="19" t="str">
        <f t="shared" si="16"/>
        <v/>
      </c>
      <c r="BK12" s="19" t="str">
        <f t="shared" si="16"/>
        <v/>
      </c>
      <c r="BL12" s="19" t="str">
        <f t="shared" si="16"/>
        <v/>
      </c>
      <c r="BM12" s="19" t="str">
        <f t="shared" si="16"/>
        <v/>
      </c>
      <c r="BN12" s="19" t="str">
        <f t="shared" si="16"/>
        <v/>
      </c>
      <c r="BO12" s="19" t="str">
        <f t="shared" si="16"/>
        <v/>
      </c>
      <c r="BP12" s="19" t="str">
        <f t="shared" si="16"/>
        <v/>
      </c>
      <c r="BQ12" s="19" t="str">
        <f t="shared" si="16"/>
        <v/>
      </c>
      <c r="BR12" s="19" t="str">
        <f t="shared" si="16"/>
        <v/>
      </c>
      <c r="BS12" s="19" t="str">
        <f t="shared" si="16"/>
        <v/>
      </c>
      <c r="BT12" s="19" t="str">
        <f t="shared" si="16"/>
        <v/>
      </c>
      <c r="BU12" s="19" t="str">
        <f t="shared" si="16"/>
        <v/>
      </c>
      <c r="BV12" s="19" t="str">
        <f t="shared" si="16"/>
        <v/>
      </c>
    </row>
    <row r="13" spans="1:88" ht="24.95" customHeight="1">
      <c r="A13" s="3">
        <v>46195</v>
      </c>
      <c r="B13" s="90">
        <v>46188</v>
      </c>
      <c r="C13" s="131" t="s">
        <v>740</v>
      </c>
      <c r="D13" s="91"/>
      <c r="E13" s="88" t="s">
        <v>132</v>
      </c>
      <c r="F13" s="89" t="s">
        <v>150</v>
      </c>
      <c r="G13" s="5" t="str">
        <f t="shared" ref="G13" si="17">C13&amp;F13</f>
        <v>G3S6626050140(1물류)톤백설탕</v>
      </c>
      <c r="H13" s="117">
        <v>47222</v>
      </c>
      <c r="I13" s="105">
        <f>(T13*_xlfn.SWITCH(E13,"아주",30,"kpp",40,0)*IF(DATE(YEAR(A13),MONTH(A13),1)&lt;DATE(YEAR($AD$2),MONTH($AD$2),1),DATEDIF($AD$2,$AD$3,"D")+1,DATEDIF(A13,$AD$3+1,"d")))+SUMIF($AG$6:$CJ$6,G13,$AG$2:$CJ$2)</f>
        <v>139200</v>
      </c>
      <c r="J13" s="105">
        <f>72+72+56</f>
        <v>200</v>
      </c>
      <c r="K13" s="27">
        <v>200</v>
      </c>
      <c r="L13" s="37">
        <f>ROUNDUP((K13/Y13),0)</f>
        <v>200</v>
      </c>
      <c r="M13" s="27">
        <v>0</v>
      </c>
      <c r="N13" s="27">
        <v>0</v>
      </c>
      <c r="O13" s="37">
        <f>ROUNDUP((N13/Y13),0)</f>
        <v>0</v>
      </c>
      <c r="P13" s="27">
        <v>0</v>
      </c>
      <c r="Q13" s="24">
        <f t="shared" ref="Q13" si="18">S13-N13</f>
        <v>160</v>
      </c>
      <c r="R13" s="39">
        <f>ROUNDUP((Q13/Y13),0)</f>
        <v>160</v>
      </c>
      <c r="S13" s="24">
        <f t="shared" ref="S13" si="19">K13-W13-M13</f>
        <v>160</v>
      </c>
      <c r="T13" s="39">
        <f t="shared" ref="T13" si="20">O13+R13</f>
        <v>160</v>
      </c>
      <c r="U13" s="27">
        <v>0</v>
      </c>
      <c r="V13" s="26">
        <f>SUM(AG13:AS13)</f>
        <v>40</v>
      </c>
      <c r="W13" s="27">
        <f t="shared" ref="W13" si="21">U13+V13+P13</f>
        <v>40</v>
      </c>
      <c r="X13" s="139"/>
      <c r="Y13" s="27">
        <v>1</v>
      </c>
      <c r="Z13" s="119">
        <v>46195</v>
      </c>
      <c r="AA13" s="2">
        <v>5</v>
      </c>
      <c r="AB13" s="2">
        <v>420</v>
      </c>
      <c r="AC13" s="82">
        <f>SUMIF($AG$6:$CJ$6,G13,$AG$12:$CJ$12)</f>
        <v>0</v>
      </c>
      <c r="AD13" s="2">
        <f t="shared" ref="AD13" ca="1" si="22">IF(A13&gt;TODAY(),"프리타임기간중",T13*AB13*IF(DATE(YEAR(Z13),MONTH(A13),1)&lt;DATE(YEAR($AD$2),MONTH($AD$2),1),DATEDIF($AD$2,$AD$3,"D")+1,DATEDIF(A13,$AD$3+1,"d")))</f>
        <v>1948800</v>
      </c>
      <c r="AE13" s="2">
        <f t="shared" ref="AE13" ca="1" si="23">IFERROR(AC13+AD13,"")</f>
        <v>1948800</v>
      </c>
      <c r="AG13" s="1">
        <v>2</v>
      </c>
      <c r="AH13" s="121">
        <v>6</v>
      </c>
      <c r="AI13" s="121">
        <v>5</v>
      </c>
      <c r="AJ13" s="121">
        <v>4</v>
      </c>
      <c r="AK13" s="121">
        <v>4</v>
      </c>
      <c r="AL13" s="121">
        <v>5</v>
      </c>
      <c r="AM13" s="121">
        <v>5</v>
      </c>
      <c r="AN13" s="121">
        <v>4</v>
      </c>
      <c r="AO13" s="121">
        <v>5</v>
      </c>
    </row>
    <row r="14" spans="1:88" ht="24.95" customHeight="1">
      <c r="A14" s="3"/>
      <c r="B14" s="149"/>
      <c r="C14" s="150"/>
      <c r="D14" s="151"/>
      <c r="E14" s="152"/>
      <c r="F14" s="92"/>
      <c r="G14" s="5"/>
      <c r="H14" s="117"/>
      <c r="I14" s="105">
        <f>(T14*_xlfn.SWITCH(E14,"아주",30,"kpp",40,0)*IF(DATE(YEAR(A14),MONTH(A14),1)&lt;DATE(YEAR($AD$2),MONTH($AD$2),1),DATEDIF($AD$2,$AD$3,"D")+1,DATEDIF(A14,$AD$3+1,"d")))+SUMIF($AG$6:$CJ$6,G14,$AG$2:$CJ$2)</f>
        <v>0</v>
      </c>
      <c r="J14" s="105">
        <v>0</v>
      </c>
      <c r="K14" s="27">
        <v>0</v>
      </c>
      <c r="L14" s="37">
        <f>ROUNDUP((K14/Y14),0)</f>
        <v>0</v>
      </c>
      <c r="M14" s="27">
        <v>0</v>
      </c>
      <c r="N14" s="27">
        <v>0</v>
      </c>
      <c r="O14" s="37">
        <f>ROUNDUP((N14/Y14),0)</f>
        <v>0</v>
      </c>
      <c r="P14" s="27">
        <v>0</v>
      </c>
      <c r="Q14" s="24">
        <f t="shared" ref="Q14" si="24">S14-N14</f>
        <v>0</v>
      </c>
      <c r="R14" s="39">
        <f>ROUNDUP((Q14/Y14),0)</f>
        <v>0</v>
      </c>
      <c r="S14" s="24">
        <f t="shared" ref="S14" si="25">K14-W14-M14</f>
        <v>0</v>
      </c>
      <c r="T14" s="39">
        <f t="shared" ref="T14" si="26">O14+R14</f>
        <v>0</v>
      </c>
      <c r="U14" s="27">
        <v>0</v>
      </c>
      <c r="V14" s="26">
        <f>SUM(AG14:AS14)</f>
        <v>0</v>
      </c>
      <c r="W14" s="27">
        <f t="shared" ref="W14" si="27">U14+V14+P14</f>
        <v>0</v>
      </c>
      <c r="X14" s="139"/>
      <c r="Y14" s="27">
        <v>1</v>
      </c>
      <c r="Z14" s="119">
        <v>45842</v>
      </c>
      <c r="AA14" s="2">
        <v>5</v>
      </c>
      <c r="AB14" s="2">
        <v>420</v>
      </c>
      <c r="AC14" s="82">
        <f>SUMIF($AG$6:$CJ$6,G14,$AG$12:$CJ$12)</f>
        <v>0</v>
      </c>
      <c r="AD14" s="2">
        <f t="shared" ref="AD14" ca="1" si="28">IF(A14&gt;TODAY(),"프리타임기간중",T14*AB14*IF(DATE(YEAR(Z14),MONTH(A14),1)&lt;DATE(YEAR($AD$2),MONTH($AD$2),1),DATEDIF($AD$2,$AD$3,"D")+1,DATEDIF(A14,$AD$3+1,"d")))</f>
        <v>0</v>
      </c>
      <c r="AE14" s="2">
        <f t="shared" ref="AE14" ca="1" si="29">IFERROR(AC14+AD14,"")</f>
        <v>0</v>
      </c>
    </row>
    <row r="15" spans="1:88" ht="24.95" customHeight="1"/>
    <row r="16" spans="1:88" s="107" customFormat="1" ht="24.95" customHeight="1">
      <c r="B16" s="1"/>
      <c r="C16" s="1"/>
      <c r="D16" s="1"/>
      <c r="E16" s="1"/>
      <c r="F16" s="1"/>
      <c r="G16" s="1"/>
      <c r="H16" s="1"/>
      <c r="I16" s="1"/>
      <c r="J16" s="1"/>
      <c r="K16" s="4"/>
      <c r="L16" s="38"/>
      <c r="M16" s="4"/>
      <c r="N16" s="4"/>
      <c r="O16" s="38"/>
      <c r="P16" s="4"/>
      <c r="Q16" s="4"/>
      <c r="R16" s="38"/>
      <c r="S16" s="4"/>
      <c r="T16" s="38"/>
      <c r="U16" s="4"/>
      <c r="V16" s="4"/>
      <c r="W16" s="4"/>
      <c r="X16" s="1"/>
      <c r="Y16" s="4"/>
      <c r="Z16" s="1"/>
      <c r="AA16" s="1"/>
      <c r="AB16" s="1"/>
      <c r="AC16" s="1"/>
      <c r="AD16" s="1"/>
      <c r="AE16" s="1"/>
      <c r="AF16" s="57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</row>
    <row r="17" spans="2:88" s="107" customFormat="1" ht="24.95" customHeight="1">
      <c r="B17" s="1"/>
      <c r="C17" s="1"/>
      <c r="D17" s="1"/>
      <c r="E17" s="1"/>
      <c r="F17" s="1"/>
      <c r="G17" s="1"/>
      <c r="H17" s="1"/>
      <c r="I17" s="1"/>
      <c r="J17" s="1"/>
      <c r="K17" s="4"/>
      <c r="L17" s="38"/>
      <c r="M17" s="4"/>
      <c r="N17" s="4"/>
      <c r="O17" s="38"/>
      <c r="P17" s="4"/>
      <c r="Q17" s="4"/>
      <c r="R17" s="38"/>
      <c r="S17" s="4"/>
      <c r="T17" s="38"/>
      <c r="U17" s="4"/>
      <c r="V17" s="4"/>
      <c r="W17" s="4"/>
      <c r="X17" s="1"/>
      <c r="Y17" s="4"/>
      <c r="Z17" s="1"/>
      <c r="AA17" s="1"/>
      <c r="AB17" s="1"/>
      <c r="AC17" s="1"/>
      <c r="AD17" s="1"/>
      <c r="AE17" s="1"/>
      <c r="AF17" s="57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</row>
    <row r="18" spans="2:88" s="107" customFormat="1" ht="24.95" customHeight="1">
      <c r="B18" s="1"/>
      <c r="C18" s="1"/>
      <c r="D18" s="1"/>
      <c r="E18" s="1"/>
      <c r="F18" s="1"/>
      <c r="G18" s="1"/>
      <c r="H18" s="1"/>
      <c r="I18" s="1"/>
      <c r="J18" s="1"/>
      <c r="K18" s="4"/>
      <c r="L18" s="38"/>
      <c r="M18" s="4"/>
      <c r="N18" s="4"/>
      <c r="O18" s="38"/>
      <c r="P18" s="4"/>
      <c r="Q18" s="4"/>
      <c r="R18" s="38"/>
      <c r="S18" s="4"/>
      <c r="T18" s="38"/>
      <c r="U18" s="4"/>
      <c r="V18" s="4"/>
      <c r="W18" s="4"/>
      <c r="X18" s="1"/>
      <c r="Y18" s="4"/>
      <c r="Z18" s="1"/>
      <c r="AA18" s="1"/>
      <c r="AB18" s="1"/>
      <c r="AC18" s="1"/>
      <c r="AD18" s="1"/>
      <c r="AE18" s="1"/>
      <c r="AF18" s="57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</row>
    <row r="19" spans="2:88" s="107" customFormat="1" ht="24.95" customHeight="1">
      <c r="B19" s="1"/>
      <c r="C19" s="1"/>
      <c r="D19" s="1"/>
      <c r="E19" s="1"/>
      <c r="F19" s="1"/>
      <c r="G19" s="1"/>
      <c r="H19" s="1"/>
      <c r="I19" s="1"/>
      <c r="J19" s="1"/>
      <c r="K19" s="4"/>
      <c r="L19" s="38"/>
      <c r="M19" s="4"/>
      <c r="N19" s="4"/>
      <c r="O19" s="38"/>
      <c r="P19" s="4"/>
      <c r="Q19" s="4"/>
      <c r="R19" s="38"/>
      <c r="S19" s="4"/>
      <c r="T19" s="38"/>
      <c r="U19" s="4"/>
      <c r="V19" s="4"/>
      <c r="W19" s="4"/>
      <c r="X19" s="1"/>
      <c r="Y19" s="4"/>
      <c r="Z19" s="1"/>
      <c r="AA19" s="1"/>
      <c r="AB19" s="1"/>
      <c r="AC19" s="1"/>
      <c r="AD19" s="1"/>
      <c r="AE19" s="1"/>
      <c r="AF19" s="57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</row>
    <row r="20" spans="2:88" s="107" customFormat="1" ht="24.95" customHeight="1">
      <c r="B20" s="1"/>
      <c r="C20" s="1"/>
      <c r="D20" s="1"/>
      <c r="E20" s="1"/>
      <c r="F20" s="1"/>
      <c r="G20" s="1"/>
      <c r="H20" s="1"/>
      <c r="I20" s="1"/>
      <c r="J20" s="1"/>
      <c r="K20" s="4"/>
      <c r="L20" s="38"/>
      <c r="M20" s="4"/>
      <c r="N20" s="4"/>
      <c r="O20" s="38"/>
      <c r="P20" s="4"/>
      <c r="Q20" s="4"/>
      <c r="R20" s="38"/>
      <c r="S20" s="4"/>
      <c r="T20" s="38"/>
      <c r="U20" s="4"/>
      <c r="V20" s="4"/>
      <c r="W20" s="4"/>
      <c r="X20" s="1"/>
      <c r="Y20" s="4"/>
      <c r="Z20" s="1"/>
      <c r="AA20" s="1"/>
      <c r="AB20" s="1"/>
      <c r="AC20" s="1"/>
      <c r="AD20" s="1"/>
      <c r="AE20" s="1"/>
      <c r="AF20" s="57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</row>
    <row r="21" spans="2:88" s="107" customFormat="1" ht="24.95" customHeight="1">
      <c r="B21" s="1"/>
      <c r="C21" s="1"/>
      <c r="D21" s="1"/>
      <c r="E21" s="1"/>
      <c r="F21" s="1"/>
      <c r="G21" s="1"/>
      <c r="H21" s="1"/>
      <c r="I21" s="1"/>
      <c r="J21" s="1"/>
      <c r="K21" s="4"/>
      <c r="L21" s="38"/>
      <c r="M21" s="4"/>
      <c r="N21" s="4"/>
      <c r="O21" s="38"/>
      <c r="P21" s="4"/>
      <c r="Q21" s="4"/>
      <c r="R21" s="38"/>
      <c r="S21" s="4"/>
      <c r="T21" s="38"/>
      <c r="U21" s="4"/>
      <c r="V21" s="4"/>
      <c r="W21" s="4"/>
      <c r="X21" s="1"/>
      <c r="Y21" s="4"/>
      <c r="Z21" s="1"/>
      <c r="AA21" s="1"/>
      <c r="AB21" s="1"/>
      <c r="AC21" s="1"/>
      <c r="AD21" s="1"/>
      <c r="AE21" s="1"/>
      <c r="AF21" s="57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</row>
    <row r="22" spans="2:88" s="107" customFormat="1" ht="24.95" customHeight="1">
      <c r="B22" s="1"/>
      <c r="C22" s="1"/>
      <c r="D22" s="1"/>
      <c r="E22" s="1"/>
      <c r="F22" s="1"/>
      <c r="G22" s="1"/>
      <c r="H22" s="1"/>
      <c r="I22" s="1"/>
      <c r="J22" s="1"/>
      <c r="K22" s="4"/>
      <c r="L22" s="38"/>
      <c r="M22" s="4"/>
      <c r="N22" s="4"/>
      <c r="O22" s="38"/>
      <c r="P22" s="4"/>
      <c r="Q22" s="4"/>
      <c r="R22" s="38"/>
      <c r="S22" s="4"/>
      <c r="T22" s="38"/>
      <c r="U22" s="4"/>
      <c r="V22" s="4"/>
      <c r="W22" s="4"/>
      <c r="X22" s="1"/>
      <c r="Y22" s="4"/>
      <c r="Z22" s="1"/>
      <c r="AA22" s="1"/>
      <c r="AB22" s="1"/>
      <c r="AC22" s="1"/>
      <c r="AD22" s="1"/>
      <c r="AE22" s="1"/>
      <c r="AF22" s="57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</row>
    <row r="23" spans="2:88" s="107" customFormat="1" ht="24.95" customHeight="1">
      <c r="B23" s="1"/>
      <c r="C23" s="1"/>
      <c r="D23" s="1"/>
      <c r="E23" s="1"/>
      <c r="F23" s="1"/>
      <c r="G23" s="1"/>
      <c r="H23" s="1"/>
      <c r="I23" s="1"/>
      <c r="J23" s="1"/>
      <c r="K23" s="4"/>
      <c r="L23" s="38"/>
      <c r="M23" s="4"/>
      <c r="N23" s="4"/>
      <c r="O23" s="38"/>
      <c r="P23" s="4"/>
      <c r="Q23" s="4"/>
      <c r="R23" s="38"/>
      <c r="S23" s="4"/>
      <c r="T23" s="38"/>
      <c r="U23" s="4"/>
      <c r="V23" s="4"/>
      <c r="W23" s="4"/>
      <c r="X23" s="1"/>
      <c r="Y23" s="4"/>
      <c r="Z23" s="1"/>
      <c r="AA23" s="1"/>
      <c r="AB23" s="1"/>
      <c r="AC23" s="1"/>
      <c r="AD23" s="1"/>
      <c r="AE23" s="1"/>
      <c r="AF23" s="57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</row>
    <row r="24" spans="2:88" s="107" customFormat="1" ht="24.95" customHeight="1">
      <c r="B24" s="1"/>
      <c r="C24" s="1"/>
      <c r="D24" s="1"/>
      <c r="E24" s="1"/>
      <c r="F24" s="1"/>
      <c r="G24" s="1"/>
      <c r="H24" s="1"/>
      <c r="I24" s="1"/>
      <c r="J24" s="1"/>
      <c r="K24" s="4"/>
      <c r="L24" s="38"/>
      <c r="M24" s="4"/>
      <c r="N24" s="4"/>
      <c r="O24" s="38"/>
      <c r="P24" s="4"/>
      <c r="Q24" s="4"/>
      <c r="R24" s="38"/>
      <c r="S24" s="4"/>
      <c r="T24" s="38"/>
      <c r="U24" s="4"/>
      <c r="V24" s="4"/>
      <c r="W24" s="4"/>
      <c r="X24" s="1"/>
      <c r="Y24" s="4"/>
      <c r="Z24" s="1"/>
      <c r="AA24" s="1"/>
      <c r="AB24" s="1"/>
      <c r="AC24" s="1"/>
      <c r="AD24" s="1"/>
      <c r="AE24" s="1"/>
      <c r="AF24" s="57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</row>
    <row r="25" spans="2:88" s="107" customFormat="1" ht="24.95" customHeight="1">
      <c r="B25" s="1"/>
      <c r="C25" s="1"/>
      <c r="D25" s="1"/>
      <c r="E25" s="1"/>
      <c r="F25" s="1"/>
      <c r="G25" s="1"/>
      <c r="H25" s="1"/>
      <c r="I25" s="1"/>
      <c r="J25" s="1"/>
      <c r="K25" s="4"/>
      <c r="L25" s="38"/>
      <c r="M25" s="4"/>
      <c r="N25" s="4"/>
      <c r="O25" s="38"/>
      <c r="P25" s="4"/>
      <c r="Q25" s="4"/>
      <c r="R25" s="38"/>
      <c r="S25" s="4"/>
      <c r="T25" s="38"/>
      <c r="U25" s="4"/>
      <c r="V25" s="4"/>
      <c r="W25" s="4"/>
      <c r="X25" s="1"/>
      <c r="Y25" s="4"/>
      <c r="Z25" s="1"/>
      <c r="AA25" s="1"/>
      <c r="AB25" s="1"/>
      <c r="AC25" s="1"/>
      <c r="AD25" s="1"/>
      <c r="AE25" s="1"/>
      <c r="AF25" s="57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</row>
    <row r="26" spans="2:88" s="107" customFormat="1" ht="24.95" customHeight="1">
      <c r="B26" s="1"/>
      <c r="C26" s="1"/>
      <c r="D26" s="1"/>
      <c r="E26" s="1"/>
      <c r="F26" s="1"/>
      <c r="G26" s="1"/>
      <c r="H26" s="1"/>
      <c r="I26" s="1"/>
      <c r="J26" s="1"/>
      <c r="K26" s="4"/>
      <c r="L26" s="38"/>
      <c r="M26" s="4"/>
      <c r="N26" s="4"/>
      <c r="O26" s="38"/>
      <c r="P26" s="4"/>
      <c r="Q26" s="4"/>
      <c r="R26" s="38"/>
      <c r="S26" s="4"/>
      <c r="T26" s="38"/>
      <c r="U26" s="4"/>
      <c r="V26" s="4"/>
      <c r="W26" s="4"/>
      <c r="X26" s="1"/>
      <c r="Y26" s="4"/>
      <c r="Z26" s="1"/>
      <c r="AA26" s="1"/>
      <c r="AB26" s="1"/>
      <c r="AC26" s="1"/>
      <c r="AD26" s="1"/>
      <c r="AE26" s="1"/>
      <c r="AF26" s="57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</row>
  </sheetData>
  <autoFilter ref="A12:AF12" xr:uid="{00000000-0009-0000-0000-000000000000}"/>
  <mergeCells count="31">
    <mergeCell ref="AE4:AE12"/>
    <mergeCell ref="Y4:Y12"/>
    <mergeCell ref="Z4:Z12"/>
    <mergeCell ref="AA4:AA12"/>
    <mergeCell ref="AB4:AB12"/>
    <mergeCell ref="AC4:AC12"/>
    <mergeCell ref="AD4:AD12"/>
    <mergeCell ref="X4:X12"/>
    <mergeCell ref="M4:M12"/>
    <mergeCell ref="N4:N12"/>
    <mergeCell ref="O4:O12"/>
    <mergeCell ref="P4:P12"/>
    <mergeCell ref="Q4:Q12"/>
    <mergeCell ref="R4:R12"/>
    <mergeCell ref="S4:S12"/>
    <mergeCell ref="T4:T12"/>
    <mergeCell ref="U4:U12"/>
    <mergeCell ref="V4:V12"/>
    <mergeCell ref="W4:W12"/>
    <mergeCell ref="L4:L12"/>
    <mergeCell ref="A4:A12"/>
    <mergeCell ref="B4:B12"/>
    <mergeCell ref="C4:C12"/>
    <mergeCell ref="D4:D12"/>
    <mergeCell ref="E4:E12"/>
    <mergeCell ref="F4:F12"/>
    <mergeCell ref="G4:G12"/>
    <mergeCell ref="H4:H12"/>
    <mergeCell ref="I4:I12"/>
    <mergeCell ref="J4:J12"/>
    <mergeCell ref="K4:K12"/>
  </mergeCells>
  <phoneticPr fontId="2" type="noConversion"/>
  <conditionalFormatting sqref="S13:S14">
    <cfRule type="cellIs" dxfId="22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52" fitToHeight="0" orientation="landscape" verticalDpi="2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CE2B9-9C11-4CF4-8B76-548AC4B7A741}">
  <sheetPr codeName="Sheet28"/>
  <dimension ref="B1:BM83"/>
  <sheetViews>
    <sheetView zoomScaleNormal="100" workbookViewId="0">
      <pane xSplit="29" ySplit="12" topLeftCell="AT14" activePane="bottomRight" state="frozen"/>
      <selection activeCell="C17" sqref="C17"/>
      <selection pane="topRight" activeCell="C17" sqref="C17"/>
      <selection pane="bottomLeft" activeCell="C17" sqref="C17"/>
      <selection pane="bottomRight" activeCell="L21" sqref="L21"/>
    </sheetView>
  </sheetViews>
  <sheetFormatPr defaultColWidth="9" defaultRowHeight="11.25" outlineLevelCol="1"/>
  <cols>
    <col min="1" max="1" width="2.5" style="7" customWidth="1"/>
    <col min="2" max="2" width="11" style="6" customWidth="1"/>
    <col min="3" max="3" width="19.25" style="7" bestFit="1" customWidth="1"/>
    <col min="4" max="4" width="17.75" style="7" bestFit="1" customWidth="1"/>
    <col min="5" max="5" width="9.75" style="6" bestFit="1" customWidth="1"/>
    <col min="6" max="6" width="25.625" style="6" bestFit="1" customWidth="1"/>
    <col min="7" max="7" width="8.5" style="6" customWidth="1" outlineLevel="1"/>
    <col min="8" max="8" width="6.75" style="16" customWidth="1" outlineLevel="1"/>
    <col min="9" max="9" width="6.75" style="40" customWidth="1" outlineLevel="1"/>
    <col min="10" max="11" width="6.75" style="16" customWidth="1" outlineLevel="1"/>
    <col min="12" max="12" width="6.75" style="40" customWidth="1" outlineLevel="1"/>
    <col min="13" max="13" width="6.75" style="16" customWidth="1" outlineLevel="1"/>
    <col min="14" max="14" width="6.75" style="16" customWidth="1"/>
    <col min="15" max="15" width="6.75" style="40" customWidth="1"/>
    <col min="16" max="16" width="7.125" style="21" customWidth="1"/>
    <col min="17" max="17" width="6.75" style="22" customWidth="1"/>
    <col min="18" max="18" width="6.75" style="16" customWidth="1" outlineLevel="1"/>
    <col min="19" max="20" width="6.75" style="30" customWidth="1" outlineLevel="1"/>
    <col min="21" max="21" width="12.625" style="94" customWidth="1" outlineLevel="1"/>
    <col min="22" max="22" width="4.625" style="30" customWidth="1" outlineLevel="1"/>
    <col min="23" max="23" width="9.25" style="7" customWidth="1" outlineLevel="1"/>
    <col min="24" max="24" width="5" style="7" customWidth="1" outlineLevel="1"/>
    <col min="25" max="25" width="4.5" style="7" customWidth="1" outlineLevel="1"/>
    <col min="26" max="28" width="7.25" style="1" customWidth="1" outlineLevel="1"/>
    <col min="29" max="29" width="15.625" style="60" customWidth="1"/>
    <col min="30" max="65" width="20.625" style="7" customWidth="1"/>
    <col min="66" max="16363" width="9" style="7" customWidth="1"/>
    <col min="16364" max="16384" width="9" style="7"/>
  </cols>
  <sheetData>
    <row r="1" spans="2:65" s="23" customFormat="1" ht="20.100000000000001" customHeight="1">
      <c r="H1" s="25"/>
      <c r="I1" s="36"/>
      <c r="J1" s="25"/>
      <c r="K1" s="25"/>
      <c r="L1" s="36"/>
      <c r="M1" s="25"/>
      <c r="N1" s="25"/>
      <c r="O1" s="36"/>
      <c r="P1" s="25"/>
      <c r="Q1" s="36"/>
      <c r="R1" s="25"/>
      <c r="S1" s="25"/>
      <c r="T1" s="25"/>
      <c r="V1" s="25"/>
      <c r="AC1" s="54"/>
    </row>
    <row r="2" spans="2:65" s="23" customFormat="1" ht="20.100000000000001" customHeight="1">
      <c r="F2" s="63"/>
      <c r="H2" s="25"/>
      <c r="I2" s="36"/>
      <c r="J2" s="25"/>
      <c r="K2" s="25"/>
      <c r="L2" s="36"/>
      <c r="M2" s="25"/>
      <c r="N2" s="25"/>
      <c r="O2" s="36"/>
      <c r="P2" s="25"/>
      <c r="Q2" s="36"/>
      <c r="R2" s="25"/>
      <c r="S2" s="25"/>
      <c r="T2" s="25"/>
      <c r="V2" s="25"/>
      <c r="Z2" s="23" t="s">
        <v>87</v>
      </c>
      <c r="AA2" s="102">
        <v>46204</v>
      </c>
      <c r="AC2" s="54"/>
    </row>
    <row r="3" spans="2:65" s="23" customFormat="1" ht="20.100000000000001" customHeight="1" thickBot="1">
      <c r="H3" s="25"/>
      <c r="I3" s="36"/>
      <c r="J3" s="25"/>
      <c r="K3" s="25"/>
      <c r="L3" s="36"/>
      <c r="M3" s="25"/>
      <c r="N3" s="25"/>
      <c r="O3" s="36"/>
      <c r="P3" s="25"/>
      <c r="Q3" s="36"/>
      <c r="R3" s="25"/>
      <c r="S3" s="25"/>
      <c r="T3" s="25"/>
      <c r="V3" s="25"/>
      <c r="Z3" s="23" t="s">
        <v>86</v>
      </c>
      <c r="AA3" s="102">
        <v>46234</v>
      </c>
      <c r="AC3" s="54"/>
      <c r="AH3" s="23" t="s">
        <v>678</v>
      </c>
      <c r="AI3" s="23" t="s">
        <v>678</v>
      </c>
      <c r="AK3" s="23" t="s">
        <v>678</v>
      </c>
    </row>
    <row r="4" spans="2:65" s="104" customFormat="1" ht="22.5" customHeight="1">
      <c r="B4" s="187" t="s">
        <v>16</v>
      </c>
      <c r="C4" s="173" t="s">
        <v>17</v>
      </c>
      <c r="D4" s="173" t="s">
        <v>18</v>
      </c>
      <c r="E4" s="173" t="s">
        <v>19</v>
      </c>
      <c r="F4" s="173" t="s">
        <v>20</v>
      </c>
      <c r="G4" s="173" t="s">
        <v>49</v>
      </c>
      <c r="H4" s="179" t="s">
        <v>21</v>
      </c>
      <c r="I4" s="182" t="s">
        <v>22</v>
      </c>
      <c r="J4" s="185" t="s">
        <v>71</v>
      </c>
      <c r="K4" s="185" t="s">
        <v>23</v>
      </c>
      <c r="L4" s="186" t="s">
        <v>9</v>
      </c>
      <c r="M4" s="179" t="s">
        <v>24</v>
      </c>
      <c r="N4" s="179" t="s">
        <v>25</v>
      </c>
      <c r="O4" s="182" t="s">
        <v>26</v>
      </c>
      <c r="P4" s="179" t="s">
        <v>27</v>
      </c>
      <c r="Q4" s="182" t="s">
        <v>28</v>
      </c>
      <c r="R4" s="179" t="s">
        <v>29</v>
      </c>
      <c r="S4" s="179" t="s">
        <v>30</v>
      </c>
      <c r="T4" s="179" t="s">
        <v>31</v>
      </c>
      <c r="U4" s="173" t="s">
        <v>32</v>
      </c>
      <c r="V4" s="179" t="s">
        <v>33</v>
      </c>
      <c r="W4" s="173" t="s">
        <v>34</v>
      </c>
      <c r="X4" s="173" t="s">
        <v>35</v>
      </c>
      <c r="Y4" s="173" t="s">
        <v>36</v>
      </c>
      <c r="Z4" s="173" t="s">
        <v>37</v>
      </c>
      <c r="AA4" s="173" t="s">
        <v>38</v>
      </c>
      <c r="AB4" s="176" t="s">
        <v>39</v>
      </c>
      <c r="AC4" s="135" t="s">
        <v>0</v>
      </c>
      <c r="AD4" s="104">
        <v>46206</v>
      </c>
      <c r="AE4" s="104">
        <v>46206</v>
      </c>
      <c r="AF4" s="104">
        <v>46213</v>
      </c>
      <c r="AG4" s="104">
        <v>46213</v>
      </c>
      <c r="AH4" s="104">
        <v>46217</v>
      </c>
      <c r="AI4" s="104">
        <v>46217</v>
      </c>
      <c r="AJ4" s="104">
        <v>46217</v>
      </c>
      <c r="AK4" s="104">
        <v>46217</v>
      </c>
      <c r="AL4" s="104">
        <v>46217</v>
      </c>
      <c r="AM4" s="104">
        <v>46230</v>
      </c>
      <c r="AN4" s="104">
        <v>46227</v>
      </c>
      <c r="AO4" s="104">
        <v>46230</v>
      </c>
    </row>
    <row r="5" spans="2:65" ht="20.100000000000001" customHeight="1">
      <c r="B5" s="188"/>
      <c r="C5" s="174"/>
      <c r="D5" s="174"/>
      <c r="E5" s="174"/>
      <c r="F5" s="174"/>
      <c r="G5" s="174"/>
      <c r="H5" s="180"/>
      <c r="I5" s="183"/>
      <c r="J5" s="180"/>
      <c r="K5" s="180"/>
      <c r="L5" s="183"/>
      <c r="M5" s="180"/>
      <c r="N5" s="180"/>
      <c r="O5" s="183"/>
      <c r="P5" s="180"/>
      <c r="Q5" s="183"/>
      <c r="R5" s="180"/>
      <c r="S5" s="180"/>
      <c r="T5" s="180"/>
      <c r="U5" s="174"/>
      <c r="V5" s="180"/>
      <c r="W5" s="174"/>
      <c r="X5" s="174"/>
      <c r="Y5" s="174"/>
      <c r="Z5" s="174"/>
      <c r="AA5" s="174"/>
      <c r="AB5" s="177"/>
      <c r="AC5" s="70" t="s">
        <v>1</v>
      </c>
      <c r="AD5" s="7" t="s">
        <v>428</v>
      </c>
      <c r="AE5" s="7" t="s">
        <v>609</v>
      </c>
      <c r="AF5" s="7" t="s">
        <v>655</v>
      </c>
      <c r="AG5" s="7" t="s">
        <v>656</v>
      </c>
      <c r="AH5" s="7" t="s">
        <v>677</v>
      </c>
      <c r="AI5" s="7" t="s">
        <v>677</v>
      </c>
      <c r="AJ5" s="7" t="s">
        <v>677</v>
      </c>
      <c r="AK5" s="7" t="s">
        <v>677</v>
      </c>
      <c r="AL5" s="7" t="s">
        <v>691</v>
      </c>
      <c r="AM5" s="7" t="s">
        <v>655</v>
      </c>
      <c r="AN5" s="7" t="s">
        <v>842</v>
      </c>
      <c r="AO5" s="7" t="s">
        <v>609</v>
      </c>
    </row>
    <row r="6" spans="2:65" ht="15" customHeight="1">
      <c r="B6" s="188"/>
      <c r="C6" s="174"/>
      <c r="D6" s="174"/>
      <c r="E6" s="174"/>
      <c r="F6" s="174"/>
      <c r="G6" s="174"/>
      <c r="H6" s="180"/>
      <c r="I6" s="183"/>
      <c r="J6" s="180"/>
      <c r="K6" s="180"/>
      <c r="L6" s="183"/>
      <c r="M6" s="180"/>
      <c r="N6" s="180"/>
      <c r="O6" s="183"/>
      <c r="P6" s="180"/>
      <c r="Q6" s="183"/>
      <c r="R6" s="180"/>
      <c r="S6" s="180"/>
      <c r="T6" s="180"/>
      <c r="U6" s="174"/>
      <c r="V6" s="180"/>
      <c r="W6" s="174"/>
      <c r="X6" s="174"/>
      <c r="Y6" s="174"/>
      <c r="Z6" s="174"/>
      <c r="AA6" s="174"/>
      <c r="AB6" s="177"/>
      <c r="AC6" s="58" t="s">
        <v>2</v>
      </c>
      <c r="AD6" s="17" t="str">
        <f>IFERROR(INDEX($G$13:$G$375,MATCH(SUM(AD$13:AD$375),AD$13:AD$375,0),1),"")</f>
        <v>SMLMBKK6A191210025KG설탕</v>
      </c>
      <c r="AE6" s="17" t="str">
        <f t="shared" ref="AE6:AW6" si="0">IFERROR(INDEX($G$13:$G$375,MATCH(SUM(AE$13:AE$375),AE$13:AE$375,0),1),"")</f>
        <v>SMLMBKK6A191210025KG설탕</v>
      </c>
      <c r="AF6" s="17" t="str">
        <f t="shared" si="0"/>
        <v>HFIBKO265025톤백설탕</v>
      </c>
      <c r="AG6" s="17" t="str">
        <f t="shared" si="0"/>
        <v>HFIBKO265025톤백설탕</v>
      </c>
      <c r="AH6" s="17" t="str">
        <f t="shared" si="0"/>
        <v>HFIBKO26500E15KG설탕</v>
      </c>
      <c r="AI6" s="17" t="str">
        <f t="shared" si="0"/>
        <v>HDMUBKKA1120240015KG설탕(미미슈가)</v>
      </c>
      <c r="AJ6" s="17" t="str">
        <f t="shared" si="0"/>
        <v>HDMUBKKA1120240015KG설탕(명인상사)</v>
      </c>
      <c r="AK6" s="17" t="str">
        <f t="shared" si="0"/>
        <v>HDMUBKKA1120240015KG설탕(명인상사)</v>
      </c>
      <c r="AL6" s="17" t="str">
        <f t="shared" si="0"/>
        <v>HFIBKO265025톤백설탕</v>
      </c>
      <c r="AM6" s="17" t="str">
        <f t="shared" si="0"/>
        <v>HFIBKO265025톤백설탕</v>
      </c>
      <c r="AN6" s="17" t="str">
        <f t="shared" si="0"/>
        <v>HFIBKO265025톤백설탕</v>
      </c>
      <c r="AO6" s="17" t="str">
        <f t="shared" si="0"/>
        <v>SMLMBKK6A298660025KG설탕(유기농)</v>
      </c>
      <c r="AP6" s="17" t="str">
        <f t="shared" si="0"/>
        <v/>
      </c>
      <c r="AQ6" s="17" t="str">
        <f t="shared" si="0"/>
        <v/>
      </c>
      <c r="AR6" s="17" t="str">
        <f t="shared" si="0"/>
        <v/>
      </c>
      <c r="AS6" s="17" t="str">
        <f t="shared" si="0"/>
        <v/>
      </c>
      <c r="AT6" s="17" t="str">
        <f t="shared" si="0"/>
        <v/>
      </c>
      <c r="AU6" s="17" t="str">
        <f t="shared" si="0"/>
        <v/>
      </c>
      <c r="AV6" s="17" t="str">
        <f t="shared" si="0"/>
        <v/>
      </c>
      <c r="AW6" s="17" t="str">
        <f t="shared" si="0"/>
        <v/>
      </c>
      <c r="AX6" s="17" t="str">
        <f t="shared" ref="AX6:BM6" si="1">IFERROR(INDEX($C$13:$C$375,MATCH(SUM(AX$13:AX$375),AX$13:AX$375,0),1),"")</f>
        <v/>
      </c>
      <c r="AY6" s="17" t="str">
        <f t="shared" si="1"/>
        <v/>
      </c>
      <c r="AZ6" s="17" t="str">
        <f t="shared" si="1"/>
        <v/>
      </c>
      <c r="BA6" s="17" t="str">
        <f t="shared" si="1"/>
        <v/>
      </c>
      <c r="BB6" s="17" t="str">
        <f t="shared" si="1"/>
        <v/>
      </c>
      <c r="BC6" s="17" t="str">
        <f t="shared" si="1"/>
        <v/>
      </c>
      <c r="BD6" s="17" t="str">
        <f t="shared" si="1"/>
        <v/>
      </c>
      <c r="BE6" s="17" t="str">
        <f t="shared" si="1"/>
        <v/>
      </c>
      <c r="BF6" s="17" t="str">
        <f t="shared" si="1"/>
        <v/>
      </c>
      <c r="BG6" s="17" t="str">
        <f t="shared" si="1"/>
        <v/>
      </c>
      <c r="BH6" s="17" t="str">
        <f t="shared" si="1"/>
        <v/>
      </c>
      <c r="BI6" s="17" t="str">
        <f t="shared" si="1"/>
        <v/>
      </c>
      <c r="BJ6" s="17" t="str">
        <f t="shared" si="1"/>
        <v/>
      </c>
      <c r="BK6" s="17" t="str">
        <f t="shared" si="1"/>
        <v/>
      </c>
      <c r="BL6" s="17" t="str">
        <f t="shared" si="1"/>
        <v/>
      </c>
      <c r="BM6" s="17" t="str">
        <f t="shared" si="1"/>
        <v/>
      </c>
    </row>
    <row r="7" spans="2:65" ht="15" customHeight="1">
      <c r="B7" s="188"/>
      <c r="C7" s="174"/>
      <c r="D7" s="174"/>
      <c r="E7" s="174"/>
      <c r="F7" s="174"/>
      <c r="G7" s="174"/>
      <c r="H7" s="180"/>
      <c r="I7" s="183"/>
      <c r="J7" s="180"/>
      <c r="K7" s="180"/>
      <c r="L7" s="183"/>
      <c r="M7" s="180"/>
      <c r="N7" s="180"/>
      <c r="O7" s="183"/>
      <c r="P7" s="180"/>
      <c r="Q7" s="183"/>
      <c r="R7" s="180"/>
      <c r="S7" s="180"/>
      <c r="T7" s="180"/>
      <c r="U7" s="174"/>
      <c r="V7" s="180"/>
      <c r="W7" s="174"/>
      <c r="X7" s="174"/>
      <c r="Y7" s="174"/>
      <c r="Z7" s="174"/>
      <c r="AA7" s="174"/>
      <c r="AB7" s="177"/>
      <c r="AC7" s="58" t="s">
        <v>3</v>
      </c>
      <c r="AD7" s="101" t="str">
        <f t="shared" ref="AD7:BM7" si="2">IFERROR(INDEX($F$13:$F$375,MATCH(SUM(AD$13:AD$375),AD$13:AD$375,0),1),"")</f>
        <v>25KG설탕</v>
      </c>
      <c r="AE7" s="101" t="str">
        <f t="shared" si="2"/>
        <v>25KG설탕</v>
      </c>
      <c r="AF7" s="101" t="str">
        <f t="shared" si="2"/>
        <v>톤백설탕</v>
      </c>
      <c r="AG7" s="101" t="str">
        <f t="shared" si="2"/>
        <v>톤백설탕</v>
      </c>
      <c r="AH7" s="101" t="str">
        <f t="shared" si="2"/>
        <v>15KG설탕</v>
      </c>
      <c r="AI7" s="101" t="str">
        <f t="shared" si="2"/>
        <v>15KG설탕(미미슈가)</v>
      </c>
      <c r="AJ7" s="101" t="str">
        <f t="shared" si="2"/>
        <v>15KG설탕(명인상사)</v>
      </c>
      <c r="AK7" s="101" t="str">
        <f t="shared" si="2"/>
        <v>15KG설탕(명인상사)</v>
      </c>
      <c r="AL7" s="101" t="str">
        <f t="shared" si="2"/>
        <v>톤백설탕</v>
      </c>
      <c r="AM7" s="101" t="str">
        <f t="shared" si="2"/>
        <v>톤백설탕</v>
      </c>
      <c r="AN7" s="101" t="str">
        <f t="shared" si="2"/>
        <v>톤백설탕</v>
      </c>
      <c r="AO7" s="101" t="str">
        <f t="shared" si="2"/>
        <v>25KG설탕(유기농)</v>
      </c>
      <c r="AP7" s="101" t="str">
        <f t="shared" si="2"/>
        <v/>
      </c>
      <c r="AQ7" s="101" t="str">
        <f t="shared" si="2"/>
        <v/>
      </c>
      <c r="AR7" s="101" t="str">
        <f t="shared" si="2"/>
        <v/>
      </c>
      <c r="AS7" s="101" t="str">
        <f t="shared" si="2"/>
        <v/>
      </c>
      <c r="AT7" s="101" t="str">
        <f t="shared" si="2"/>
        <v/>
      </c>
      <c r="AU7" s="101" t="str">
        <f t="shared" si="2"/>
        <v/>
      </c>
      <c r="AV7" s="101" t="str">
        <f t="shared" si="2"/>
        <v/>
      </c>
      <c r="AW7" s="101" t="str">
        <f t="shared" si="2"/>
        <v/>
      </c>
      <c r="AX7" s="101" t="str">
        <f t="shared" si="2"/>
        <v/>
      </c>
      <c r="AY7" s="101" t="str">
        <f t="shared" si="2"/>
        <v/>
      </c>
      <c r="AZ7" s="101" t="str">
        <f t="shared" si="2"/>
        <v/>
      </c>
      <c r="BA7" s="101" t="str">
        <f t="shared" si="2"/>
        <v/>
      </c>
      <c r="BB7" s="101" t="str">
        <f t="shared" si="2"/>
        <v/>
      </c>
      <c r="BC7" s="101" t="str">
        <f t="shared" si="2"/>
        <v/>
      </c>
      <c r="BD7" s="101" t="str">
        <f t="shared" si="2"/>
        <v/>
      </c>
      <c r="BE7" s="101" t="str">
        <f t="shared" si="2"/>
        <v/>
      </c>
      <c r="BF7" s="101" t="str">
        <f t="shared" si="2"/>
        <v/>
      </c>
      <c r="BG7" s="101" t="str">
        <f t="shared" si="2"/>
        <v/>
      </c>
      <c r="BH7" s="101" t="str">
        <f t="shared" si="2"/>
        <v/>
      </c>
      <c r="BI7" s="101" t="str">
        <f t="shared" si="2"/>
        <v/>
      </c>
      <c r="BJ7" s="101" t="str">
        <f t="shared" si="2"/>
        <v/>
      </c>
      <c r="BK7" s="101" t="str">
        <f t="shared" si="2"/>
        <v/>
      </c>
      <c r="BL7" s="101" t="str">
        <f t="shared" si="2"/>
        <v/>
      </c>
      <c r="BM7" s="101" t="str">
        <f t="shared" si="2"/>
        <v/>
      </c>
    </row>
    <row r="8" spans="2:65" ht="15" customHeight="1">
      <c r="B8" s="188"/>
      <c r="C8" s="174"/>
      <c r="D8" s="174"/>
      <c r="E8" s="174"/>
      <c r="F8" s="174"/>
      <c r="G8" s="174"/>
      <c r="H8" s="180"/>
      <c r="I8" s="183"/>
      <c r="J8" s="180"/>
      <c r="K8" s="180"/>
      <c r="L8" s="183"/>
      <c r="M8" s="180"/>
      <c r="N8" s="180"/>
      <c r="O8" s="183"/>
      <c r="P8" s="180"/>
      <c r="Q8" s="183"/>
      <c r="R8" s="180"/>
      <c r="S8" s="180"/>
      <c r="T8" s="180"/>
      <c r="U8" s="174"/>
      <c r="V8" s="180"/>
      <c r="W8" s="174"/>
      <c r="X8" s="174"/>
      <c r="Y8" s="174"/>
      <c r="Z8" s="174"/>
      <c r="AA8" s="174"/>
      <c r="AB8" s="177"/>
      <c r="AC8" s="59" t="s">
        <v>4</v>
      </c>
      <c r="AD8" s="48">
        <f t="shared" ref="AD8:BM8" si="3">IFERROR(SUM(AD$13:AD$375),"")</f>
        <v>200</v>
      </c>
      <c r="AE8" s="48">
        <f t="shared" si="3"/>
        <v>400</v>
      </c>
      <c r="AF8" s="48">
        <f t="shared" si="3"/>
        <v>26</v>
      </c>
      <c r="AG8" s="48">
        <f t="shared" si="3"/>
        <v>16</v>
      </c>
      <c r="AH8" s="48">
        <f t="shared" si="3"/>
        <v>37</v>
      </c>
      <c r="AI8" s="48">
        <f t="shared" si="3"/>
        <v>18</v>
      </c>
      <c r="AJ8" s="48">
        <f t="shared" si="3"/>
        <v>116</v>
      </c>
      <c r="AK8" s="48">
        <f t="shared" si="3"/>
        <v>19</v>
      </c>
      <c r="AL8" s="48">
        <f t="shared" si="3"/>
        <v>10</v>
      </c>
      <c r="AM8" s="48">
        <f t="shared" si="3"/>
        <v>26</v>
      </c>
      <c r="AN8" s="48">
        <f t="shared" si="3"/>
        <v>26</v>
      </c>
      <c r="AO8" s="48">
        <f t="shared" si="3"/>
        <v>400</v>
      </c>
      <c r="AP8" s="48">
        <f t="shared" si="3"/>
        <v>0</v>
      </c>
      <c r="AQ8" s="48">
        <f t="shared" si="3"/>
        <v>0</v>
      </c>
      <c r="AR8" s="48">
        <f t="shared" si="3"/>
        <v>0</v>
      </c>
      <c r="AS8" s="48">
        <f t="shared" si="3"/>
        <v>0</v>
      </c>
      <c r="AT8" s="48">
        <f t="shared" si="3"/>
        <v>0</v>
      </c>
      <c r="AU8" s="48">
        <f t="shared" si="3"/>
        <v>0</v>
      </c>
      <c r="AV8" s="48">
        <f t="shared" si="3"/>
        <v>0</v>
      </c>
      <c r="AW8" s="48">
        <f t="shared" si="3"/>
        <v>0</v>
      </c>
      <c r="AX8" s="48">
        <f t="shared" si="3"/>
        <v>0</v>
      </c>
      <c r="AY8" s="48">
        <f t="shared" si="3"/>
        <v>0</v>
      </c>
      <c r="AZ8" s="48">
        <f t="shared" si="3"/>
        <v>0</v>
      </c>
      <c r="BA8" s="48">
        <f t="shared" si="3"/>
        <v>0</v>
      </c>
      <c r="BB8" s="48">
        <f t="shared" si="3"/>
        <v>0</v>
      </c>
      <c r="BC8" s="48">
        <f t="shared" si="3"/>
        <v>0</v>
      </c>
      <c r="BD8" s="48">
        <f t="shared" si="3"/>
        <v>0</v>
      </c>
      <c r="BE8" s="48">
        <f t="shared" si="3"/>
        <v>0</v>
      </c>
      <c r="BF8" s="48">
        <f t="shared" si="3"/>
        <v>0</v>
      </c>
      <c r="BG8" s="48">
        <f t="shared" si="3"/>
        <v>0</v>
      </c>
      <c r="BH8" s="48">
        <f t="shared" si="3"/>
        <v>0</v>
      </c>
      <c r="BI8" s="48">
        <f t="shared" si="3"/>
        <v>0</v>
      </c>
      <c r="BJ8" s="48">
        <f t="shared" si="3"/>
        <v>0</v>
      </c>
      <c r="BK8" s="48">
        <f t="shared" si="3"/>
        <v>0</v>
      </c>
      <c r="BL8" s="48">
        <f t="shared" si="3"/>
        <v>0</v>
      </c>
      <c r="BM8" s="48">
        <f t="shared" si="3"/>
        <v>0</v>
      </c>
    </row>
    <row r="9" spans="2:65" ht="15" customHeight="1">
      <c r="B9" s="188"/>
      <c r="C9" s="174"/>
      <c r="D9" s="174"/>
      <c r="E9" s="174"/>
      <c r="F9" s="174"/>
      <c r="G9" s="174"/>
      <c r="H9" s="180"/>
      <c r="I9" s="183"/>
      <c r="J9" s="180"/>
      <c r="K9" s="180"/>
      <c r="L9" s="183"/>
      <c r="M9" s="180"/>
      <c r="N9" s="180"/>
      <c r="O9" s="183"/>
      <c r="P9" s="180"/>
      <c r="Q9" s="183"/>
      <c r="R9" s="180"/>
      <c r="S9" s="180"/>
      <c r="T9" s="180"/>
      <c r="U9" s="174"/>
      <c r="V9" s="180"/>
      <c r="W9" s="174"/>
      <c r="X9" s="174"/>
      <c r="Y9" s="174"/>
      <c r="Z9" s="174"/>
      <c r="AA9" s="174"/>
      <c r="AB9" s="177"/>
      <c r="AC9" s="58" t="s">
        <v>5</v>
      </c>
      <c r="AD9" s="20">
        <f t="shared" ref="AD9:BM9" si="4">IFERROR(ROUNDUP((SUM(AD13:AD375)/IFERROR(INDEX($V$13:$V$375,MATCH(SUM(AD$13:AD$375),AD$13:AD$375,0),1),"")),0),"")</f>
        <v>5</v>
      </c>
      <c r="AE9" s="20">
        <f t="shared" si="4"/>
        <v>10</v>
      </c>
      <c r="AF9" s="20">
        <f t="shared" si="4"/>
        <v>26</v>
      </c>
      <c r="AG9" s="20">
        <f t="shared" si="4"/>
        <v>16</v>
      </c>
      <c r="AH9" s="20">
        <f t="shared" si="4"/>
        <v>1</v>
      </c>
      <c r="AI9" s="20">
        <f t="shared" si="4"/>
        <v>1</v>
      </c>
      <c r="AJ9" s="20">
        <f t="shared" si="4"/>
        <v>2</v>
      </c>
      <c r="AK9" s="20">
        <f t="shared" si="4"/>
        <v>1</v>
      </c>
      <c r="AL9" s="20">
        <f t="shared" si="4"/>
        <v>10</v>
      </c>
      <c r="AM9" s="20">
        <f t="shared" si="4"/>
        <v>26</v>
      </c>
      <c r="AN9" s="20">
        <f t="shared" si="4"/>
        <v>26</v>
      </c>
      <c r="AO9" s="20">
        <f t="shared" si="4"/>
        <v>10</v>
      </c>
      <c r="AP9" s="20" t="str">
        <f t="shared" si="4"/>
        <v/>
      </c>
      <c r="AQ9" s="20" t="str">
        <f t="shared" si="4"/>
        <v/>
      </c>
      <c r="AR9" s="20" t="str">
        <f t="shared" si="4"/>
        <v/>
      </c>
      <c r="AS9" s="20" t="str">
        <f t="shared" si="4"/>
        <v/>
      </c>
      <c r="AT9" s="20" t="str">
        <f t="shared" si="4"/>
        <v/>
      </c>
      <c r="AU9" s="20" t="str">
        <f t="shared" si="4"/>
        <v/>
      </c>
      <c r="AV9" s="20" t="str">
        <f t="shared" si="4"/>
        <v/>
      </c>
      <c r="AW9" s="20" t="str">
        <f t="shared" si="4"/>
        <v/>
      </c>
      <c r="AX9" s="20" t="str">
        <f t="shared" si="4"/>
        <v/>
      </c>
      <c r="AY9" s="20" t="str">
        <f t="shared" si="4"/>
        <v/>
      </c>
      <c r="AZ9" s="20" t="str">
        <f t="shared" si="4"/>
        <v/>
      </c>
      <c r="BA9" s="20" t="str">
        <f t="shared" si="4"/>
        <v/>
      </c>
      <c r="BB9" s="20" t="str">
        <f t="shared" si="4"/>
        <v/>
      </c>
      <c r="BC9" s="20" t="str">
        <f t="shared" si="4"/>
        <v/>
      </c>
      <c r="BD9" s="20" t="str">
        <f t="shared" si="4"/>
        <v/>
      </c>
      <c r="BE9" s="20" t="str">
        <f t="shared" si="4"/>
        <v/>
      </c>
      <c r="BF9" s="20" t="str">
        <f t="shared" si="4"/>
        <v/>
      </c>
      <c r="BG9" s="20" t="str">
        <f t="shared" si="4"/>
        <v/>
      </c>
      <c r="BH9" s="20" t="str">
        <f t="shared" si="4"/>
        <v/>
      </c>
      <c r="BI9" s="20" t="str">
        <f t="shared" si="4"/>
        <v/>
      </c>
      <c r="BJ9" s="20" t="str">
        <f t="shared" si="4"/>
        <v/>
      </c>
      <c r="BK9" s="20" t="str">
        <f t="shared" si="4"/>
        <v/>
      </c>
      <c r="BL9" s="20" t="str">
        <f t="shared" si="4"/>
        <v/>
      </c>
      <c r="BM9" s="20" t="str">
        <f t="shared" si="4"/>
        <v/>
      </c>
    </row>
    <row r="10" spans="2:65" ht="15" customHeight="1">
      <c r="B10" s="188"/>
      <c r="C10" s="174"/>
      <c r="D10" s="174"/>
      <c r="E10" s="174"/>
      <c r="F10" s="174"/>
      <c r="G10" s="174"/>
      <c r="H10" s="180"/>
      <c r="I10" s="183"/>
      <c r="J10" s="180"/>
      <c r="K10" s="180"/>
      <c r="L10" s="183"/>
      <c r="M10" s="180"/>
      <c r="N10" s="180"/>
      <c r="O10" s="183"/>
      <c r="P10" s="180"/>
      <c r="Q10" s="183"/>
      <c r="R10" s="180"/>
      <c r="S10" s="180"/>
      <c r="T10" s="180"/>
      <c r="U10" s="174"/>
      <c r="V10" s="180"/>
      <c r="W10" s="174"/>
      <c r="X10" s="174"/>
      <c r="Y10" s="174"/>
      <c r="Z10" s="174"/>
      <c r="AA10" s="174"/>
      <c r="AB10" s="177"/>
      <c r="AC10" s="58" t="s">
        <v>6</v>
      </c>
      <c r="AD10" s="17">
        <f t="shared" ref="AD10:BM10" si="5">IFERROR(INDEX($W$13:$W$375,MATCH(SUM(AD$13:AD$375),AD$13:AD$375,0),1),"")</f>
        <v>46202</v>
      </c>
      <c r="AE10" s="17">
        <f t="shared" si="5"/>
        <v>46202</v>
      </c>
      <c r="AF10" s="17">
        <f t="shared" si="5"/>
        <v>46215</v>
      </c>
      <c r="AG10" s="17">
        <f t="shared" si="5"/>
        <v>46215</v>
      </c>
      <c r="AH10" s="17">
        <f t="shared" si="5"/>
        <v>46195</v>
      </c>
      <c r="AI10" s="17">
        <f t="shared" si="5"/>
        <v>45959</v>
      </c>
      <c r="AJ10" s="17">
        <f t="shared" si="5"/>
        <v>45960</v>
      </c>
      <c r="AK10" s="17">
        <f t="shared" si="5"/>
        <v>45960</v>
      </c>
      <c r="AL10" s="17">
        <f t="shared" si="5"/>
        <v>46215</v>
      </c>
      <c r="AM10" s="17">
        <f t="shared" si="5"/>
        <v>46215</v>
      </c>
      <c r="AN10" s="17">
        <f t="shared" si="5"/>
        <v>46215</v>
      </c>
      <c r="AO10" s="17">
        <f t="shared" si="5"/>
        <v>46246</v>
      </c>
      <c r="AP10" s="17" t="str">
        <f t="shared" si="5"/>
        <v/>
      </c>
      <c r="AQ10" s="17" t="str">
        <f t="shared" si="5"/>
        <v/>
      </c>
      <c r="AR10" s="17" t="str">
        <f t="shared" si="5"/>
        <v/>
      </c>
      <c r="AS10" s="17" t="str">
        <f t="shared" si="5"/>
        <v/>
      </c>
      <c r="AT10" s="17" t="str">
        <f t="shared" si="5"/>
        <v/>
      </c>
      <c r="AU10" s="17" t="str">
        <f t="shared" si="5"/>
        <v/>
      </c>
      <c r="AV10" s="17" t="str">
        <f t="shared" si="5"/>
        <v/>
      </c>
      <c r="AW10" s="17" t="str">
        <f t="shared" si="5"/>
        <v/>
      </c>
      <c r="AX10" s="17" t="str">
        <f t="shared" si="5"/>
        <v/>
      </c>
      <c r="AY10" s="17" t="str">
        <f t="shared" si="5"/>
        <v/>
      </c>
      <c r="AZ10" s="17" t="str">
        <f t="shared" si="5"/>
        <v/>
      </c>
      <c r="BA10" s="17" t="str">
        <f t="shared" si="5"/>
        <v/>
      </c>
      <c r="BB10" s="17" t="str">
        <f t="shared" si="5"/>
        <v/>
      </c>
      <c r="BC10" s="17" t="str">
        <f t="shared" si="5"/>
        <v/>
      </c>
      <c r="BD10" s="17" t="str">
        <f t="shared" si="5"/>
        <v/>
      </c>
      <c r="BE10" s="17" t="str">
        <f t="shared" si="5"/>
        <v/>
      </c>
      <c r="BF10" s="17" t="str">
        <f t="shared" si="5"/>
        <v/>
      </c>
      <c r="BG10" s="17" t="str">
        <f t="shared" si="5"/>
        <v/>
      </c>
      <c r="BH10" s="17" t="str">
        <f t="shared" si="5"/>
        <v/>
      </c>
      <c r="BI10" s="17" t="str">
        <f t="shared" si="5"/>
        <v/>
      </c>
      <c r="BJ10" s="17" t="str">
        <f t="shared" si="5"/>
        <v/>
      </c>
      <c r="BK10" s="17" t="str">
        <f t="shared" si="5"/>
        <v/>
      </c>
      <c r="BL10" s="17" t="str">
        <f t="shared" si="5"/>
        <v/>
      </c>
      <c r="BM10" s="17" t="str">
        <f t="shared" si="5"/>
        <v/>
      </c>
    </row>
    <row r="11" spans="2:65" ht="15" customHeight="1">
      <c r="B11" s="188"/>
      <c r="C11" s="174"/>
      <c r="D11" s="174"/>
      <c r="E11" s="174"/>
      <c r="F11" s="174"/>
      <c r="G11" s="174"/>
      <c r="H11" s="180"/>
      <c r="I11" s="183"/>
      <c r="J11" s="180"/>
      <c r="K11" s="180"/>
      <c r="L11" s="183"/>
      <c r="M11" s="180"/>
      <c r="N11" s="180"/>
      <c r="O11" s="183"/>
      <c r="P11" s="180"/>
      <c r="Q11" s="183"/>
      <c r="R11" s="180"/>
      <c r="S11" s="180"/>
      <c r="T11" s="180"/>
      <c r="U11" s="174"/>
      <c r="V11" s="180"/>
      <c r="W11" s="174"/>
      <c r="X11" s="174"/>
      <c r="Y11" s="174"/>
      <c r="Z11" s="174"/>
      <c r="AA11" s="174"/>
      <c r="AB11" s="177"/>
      <c r="AC11" s="58" t="s">
        <v>7</v>
      </c>
      <c r="AD11" s="20">
        <f t="shared" ref="AD11:AE11" ca="1" si="6">IF(AD5="","",IF(AD10&gt;AD4,"프리타임 기간내 출고",IF(DATE(YEAR(AD4),MONTH(AD4),1)&gt;DATE(YEAR(AD10),MONTH(AD10),1),DATEDIF(DATE(YEAR(NOW()),MONTH(NOW()),1),(AD4)+1,"D"),DATEDIF(AD10,AD4+1,"D"))))</f>
        <v>3</v>
      </c>
      <c r="AE11" s="20">
        <f t="shared" ca="1" si="6"/>
        <v>3</v>
      </c>
      <c r="AF11" s="20" t="str">
        <f t="shared" ref="AF11:BM11" ca="1" si="7">IF(AF5="","",IF(AF10&gt;AF4,"프리타임 기간내 출고",IF(DATE(YEAR(AF4),MONTH(AF4),1)&gt;DATE(YEAR(AF10),MONTH(AF10),1),DATEDIF(DATE(YEAR(NOW()),MONTH(NOW()),1),(AF4)+1,"D"),DATEDIF(AF10,AF4+1,"D"))))</f>
        <v>프리타임 기간내 출고</v>
      </c>
      <c r="AG11" s="20" t="str">
        <f t="shared" ca="1" si="7"/>
        <v>프리타임 기간내 출고</v>
      </c>
      <c r="AH11" s="20">
        <f t="shared" ca="1" si="7"/>
        <v>14</v>
      </c>
      <c r="AI11" s="20">
        <f t="shared" ca="1" si="7"/>
        <v>14</v>
      </c>
      <c r="AJ11" s="20">
        <f t="shared" ca="1" si="7"/>
        <v>14</v>
      </c>
      <c r="AK11" s="20">
        <f t="shared" ca="1" si="7"/>
        <v>14</v>
      </c>
      <c r="AL11" s="20">
        <f t="shared" ca="1" si="7"/>
        <v>3</v>
      </c>
      <c r="AM11" s="20">
        <f t="shared" ca="1" si="7"/>
        <v>16</v>
      </c>
      <c r="AN11" s="20">
        <f t="shared" ca="1" si="7"/>
        <v>13</v>
      </c>
      <c r="AO11" s="20" t="str">
        <f t="shared" ca="1" si="7"/>
        <v>프리타임 기간내 출고</v>
      </c>
      <c r="AP11" s="20" t="str">
        <f t="shared" ca="1" si="7"/>
        <v/>
      </c>
      <c r="AQ11" s="20" t="str">
        <f t="shared" ca="1" si="7"/>
        <v/>
      </c>
      <c r="AR11" s="20" t="str">
        <f t="shared" ca="1" si="7"/>
        <v/>
      </c>
      <c r="AS11" s="20" t="str">
        <f t="shared" ca="1" si="7"/>
        <v/>
      </c>
      <c r="AT11" s="20" t="str">
        <f t="shared" ca="1" si="7"/>
        <v/>
      </c>
      <c r="AU11" s="20" t="str">
        <f t="shared" ca="1" si="7"/>
        <v/>
      </c>
      <c r="AV11" s="20" t="str">
        <f t="shared" ca="1" si="7"/>
        <v/>
      </c>
      <c r="AW11" s="20" t="str">
        <f t="shared" ca="1" si="7"/>
        <v/>
      </c>
      <c r="AX11" s="20" t="str">
        <f t="shared" ca="1" si="7"/>
        <v/>
      </c>
      <c r="AY11" s="20" t="str">
        <f t="shared" ca="1" si="7"/>
        <v/>
      </c>
      <c r="AZ11" s="20" t="str">
        <f t="shared" ca="1" si="7"/>
        <v/>
      </c>
      <c r="BA11" s="20" t="str">
        <f t="shared" ca="1" si="7"/>
        <v/>
      </c>
      <c r="BB11" s="20" t="str">
        <f t="shared" ca="1" si="7"/>
        <v/>
      </c>
      <c r="BC11" s="20" t="str">
        <f t="shared" ca="1" si="7"/>
        <v/>
      </c>
      <c r="BD11" s="20" t="str">
        <f t="shared" ca="1" si="7"/>
        <v/>
      </c>
      <c r="BE11" s="20" t="str">
        <f t="shared" ca="1" si="7"/>
        <v/>
      </c>
      <c r="BF11" s="20" t="str">
        <f t="shared" ca="1" si="7"/>
        <v/>
      </c>
      <c r="BG11" s="20" t="str">
        <f t="shared" ca="1" si="7"/>
        <v/>
      </c>
      <c r="BH11" s="20" t="str">
        <f t="shared" ca="1" si="7"/>
        <v/>
      </c>
      <c r="BI11" s="20" t="str">
        <f t="shared" ca="1" si="7"/>
        <v/>
      </c>
      <c r="BJ11" s="20" t="str">
        <f t="shared" ca="1" si="7"/>
        <v/>
      </c>
      <c r="BK11" s="20" t="str">
        <f t="shared" ca="1" si="7"/>
        <v/>
      </c>
      <c r="BL11" s="20" t="str">
        <f t="shared" ca="1" si="7"/>
        <v/>
      </c>
      <c r="BM11" s="20" t="str">
        <f t="shared" ca="1" si="7"/>
        <v/>
      </c>
    </row>
    <row r="12" spans="2:65" ht="15" customHeight="1" thickBot="1">
      <c r="B12" s="189"/>
      <c r="C12" s="175"/>
      <c r="D12" s="175"/>
      <c r="E12" s="175"/>
      <c r="F12" s="175"/>
      <c r="G12" s="175"/>
      <c r="H12" s="181"/>
      <c r="I12" s="184"/>
      <c r="J12" s="181"/>
      <c r="K12" s="181"/>
      <c r="L12" s="184"/>
      <c r="M12" s="181"/>
      <c r="N12" s="181"/>
      <c r="O12" s="184"/>
      <c r="P12" s="181"/>
      <c r="Q12" s="184"/>
      <c r="R12" s="181"/>
      <c r="S12" s="181"/>
      <c r="T12" s="181"/>
      <c r="U12" s="175"/>
      <c r="V12" s="181"/>
      <c r="W12" s="175"/>
      <c r="X12" s="175"/>
      <c r="Y12" s="175"/>
      <c r="Z12" s="175"/>
      <c r="AA12" s="175"/>
      <c r="AB12" s="178"/>
      <c r="AC12" s="100" t="s">
        <v>8</v>
      </c>
      <c r="AD12" s="19">
        <f t="shared" ref="AD12:BM12" ca="1" si="8">IFERROR(AD11*AD9*(INDEX($Y$13:$Y$375,MATCH(SUM(AD$13:AD$375),AD$13:AD$375,0),1)),"")</f>
        <v>6000</v>
      </c>
      <c r="AE12" s="19">
        <f t="shared" ca="1" si="8"/>
        <v>12000</v>
      </c>
      <c r="AF12" s="19" t="str">
        <f t="shared" ca="1" si="8"/>
        <v/>
      </c>
      <c r="AG12" s="19" t="str">
        <f t="shared" ca="1" si="8"/>
        <v/>
      </c>
      <c r="AH12" s="19">
        <f t="shared" ca="1" si="8"/>
        <v>5600</v>
      </c>
      <c r="AI12" s="19">
        <f t="shared" ca="1" si="8"/>
        <v>5600</v>
      </c>
      <c r="AJ12" s="19">
        <f t="shared" ca="1" si="8"/>
        <v>11200</v>
      </c>
      <c r="AK12" s="19">
        <f t="shared" ca="1" si="8"/>
        <v>5600</v>
      </c>
      <c r="AL12" s="19">
        <f t="shared" ca="1" si="8"/>
        <v>12000</v>
      </c>
      <c r="AM12" s="19">
        <f t="shared" ca="1" si="8"/>
        <v>166400</v>
      </c>
      <c r="AN12" s="19">
        <f t="shared" ca="1" si="8"/>
        <v>135200</v>
      </c>
      <c r="AO12" s="19" t="str">
        <f t="shared" ca="1" si="8"/>
        <v/>
      </c>
      <c r="AP12" s="19" t="str">
        <f t="shared" ca="1" si="8"/>
        <v/>
      </c>
      <c r="AQ12" s="19" t="str">
        <f t="shared" ca="1" si="8"/>
        <v/>
      </c>
      <c r="AR12" s="19" t="str">
        <f t="shared" ca="1" si="8"/>
        <v/>
      </c>
      <c r="AS12" s="19" t="str">
        <f t="shared" ca="1" si="8"/>
        <v/>
      </c>
      <c r="AT12" s="19" t="str">
        <f t="shared" ca="1" si="8"/>
        <v/>
      </c>
      <c r="AU12" s="19" t="str">
        <f t="shared" ca="1" si="8"/>
        <v/>
      </c>
      <c r="AV12" s="19" t="str">
        <f t="shared" ca="1" si="8"/>
        <v/>
      </c>
      <c r="AW12" s="19" t="str">
        <f t="shared" ca="1" si="8"/>
        <v/>
      </c>
      <c r="AX12" s="19" t="str">
        <f t="shared" ca="1" si="8"/>
        <v/>
      </c>
      <c r="AY12" s="19" t="str">
        <f t="shared" ca="1" si="8"/>
        <v/>
      </c>
      <c r="AZ12" s="19" t="str">
        <f t="shared" ca="1" si="8"/>
        <v/>
      </c>
      <c r="BA12" s="19" t="str">
        <f t="shared" ca="1" si="8"/>
        <v/>
      </c>
      <c r="BB12" s="19" t="str">
        <f t="shared" ca="1" si="8"/>
        <v/>
      </c>
      <c r="BC12" s="19" t="str">
        <f t="shared" ca="1" si="8"/>
        <v/>
      </c>
      <c r="BD12" s="19" t="str">
        <f t="shared" ca="1" si="8"/>
        <v/>
      </c>
      <c r="BE12" s="19" t="str">
        <f t="shared" ca="1" si="8"/>
        <v/>
      </c>
      <c r="BF12" s="19" t="str">
        <f t="shared" ca="1" si="8"/>
        <v/>
      </c>
      <c r="BG12" s="19" t="str">
        <f t="shared" ca="1" si="8"/>
        <v/>
      </c>
      <c r="BH12" s="19" t="str">
        <f t="shared" ca="1" si="8"/>
        <v/>
      </c>
      <c r="BI12" s="19" t="str">
        <f t="shared" ca="1" si="8"/>
        <v/>
      </c>
      <c r="BJ12" s="19" t="str">
        <f t="shared" ca="1" si="8"/>
        <v/>
      </c>
      <c r="BK12" s="19" t="str">
        <f t="shared" ca="1" si="8"/>
        <v/>
      </c>
      <c r="BL12" s="19" t="str">
        <f t="shared" ca="1" si="8"/>
        <v/>
      </c>
      <c r="BM12" s="19" t="str">
        <f t="shared" ca="1" si="8"/>
        <v/>
      </c>
    </row>
    <row r="13" spans="2:65" s="2" customFormat="1" ht="20.100000000000001" customHeight="1" thickTop="1">
      <c r="B13" s="122">
        <v>46149</v>
      </c>
      <c r="C13" s="123" t="s">
        <v>374</v>
      </c>
      <c r="D13" s="124"/>
      <c r="E13" s="125" t="s">
        <v>375</v>
      </c>
      <c r="F13" s="126" t="s">
        <v>376</v>
      </c>
      <c r="G13" s="8" t="str">
        <f t="shared" ref="G13" si="9">C13&amp;F13</f>
        <v>MEDUW678004550KG설탕</v>
      </c>
      <c r="H13" s="28">
        <v>2400</v>
      </c>
      <c r="I13" s="41">
        <f t="shared" ref="I13" si="10">ROUNDUP((H13/V13),0)</f>
        <v>80</v>
      </c>
      <c r="J13" s="29">
        <v>0</v>
      </c>
      <c r="K13" s="29">
        <v>3</v>
      </c>
      <c r="L13" s="41">
        <f>ROUNDUP((K13/V13),0)-1</f>
        <v>0</v>
      </c>
      <c r="M13" s="29">
        <v>0</v>
      </c>
      <c r="N13" s="31">
        <f t="shared" ref="N13" si="11">P13-K13+M13</f>
        <v>1647</v>
      </c>
      <c r="O13" s="42">
        <f t="shared" ref="O13" si="12">ROUNDUP((N13/V13),0)</f>
        <v>55</v>
      </c>
      <c r="P13" s="31">
        <f t="shared" ref="P13" si="13">H13-T13</f>
        <v>1650</v>
      </c>
      <c r="Q13" s="42">
        <f t="shared" ref="Q13" si="14">L13+O13</f>
        <v>55</v>
      </c>
      <c r="R13" s="97">
        <v>750</v>
      </c>
      <c r="S13" s="97">
        <f>SUM(AD13:OR13)</f>
        <v>0</v>
      </c>
      <c r="T13" s="97">
        <f t="shared" ref="T13" si="15">R13+S13+J13+M13</f>
        <v>750</v>
      </c>
      <c r="V13" s="28">
        <v>30</v>
      </c>
      <c r="W13" s="95">
        <f t="shared" ref="W13" si="16">B13+X13</f>
        <v>46169</v>
      </c>
      <c r="X13" s="79">
        <v>20</v>
      </c>
      <c r="Y13" s="79">
        <v>400</v>
      </c>
      <c r="Z13" s="2">
        <f>SUMIF($AD$6:$CC$6,G13,$AD$12:$CC$12)</f>
        <v>0</v>
      </c>
      <c r="AA13" s="2">
        <f t="shared" ref="AA13" ca="1" si="17">IF(W13&gt;TODAY(),"프리타임기간중",Q13*Y13*IF(DATE(YEAR(W13),MONTH(W13),1)&lt;DATE(YEAR($AA$2),MONTH($AA$2),1),DATEDIF($AA$2,$AA$3,"D")+1,DATEDIF(W13,$AA$3+1,"d")))</f>
        <v>682000</v>
      </c>
      <c r="AB13" s="2">
        <f t="shared" ref="AB13" ca="1" si="18">IFERROR(Z13+AA13,"")</f>
        <v>682000</v>
      </c>
      <c r="AC13" s="103"/>
    </row>
    <row r="14" spans="2:65" s="2" customFormat="1" ht="20.100000000000001" customHeight="1">
      <c r="B14" s="122">
        <v>46175</v>
      </c>
      <c r="C14" s="123" t="s">
        <v>425</v>
      </c>
      <c r="D14" s="124"/>
      <c r="E14" s="125" t="s">
        <v>203</v>
      </c>
      <c r="F14" s="126" t="s">
        <v>139</v>
      </c>
      <c r="G14" s="8" t="str">
        <f t="shared" ref="G14" si="19">C14&amp;F14</f>
        <v>HFIBKO26500E15KG설탕</v>
      </c>
      <c r="H14" s="28">
        <v>1540</v>
      </c>
      <c r="I14" s="41">
        <f t="shared" ref="I14" si="20">ROUNDUP((H14/V14),0)</f>
        <v>22</v>
      </c>
      <c r="J14" s="29">
        <v>0</v>
      </c>
      <c r="K14" s="29">
        <v>0</v>
      </c>
      <c r="L14" s="41">
        <f t="shared" ref="L14" si="21">ROUNDUP((K14/V14),0)</f>
        <v>0</v>
      </c>
      <c r="M14" s="29">
        <v>0</v>
      </c>
      <c r="N14" s="31">
        <f t="shared" ref="N14" si="22">P14-K14+M14</f>
        <v>0</v>
      </c>
      <c r="O14" s="42">
        <f t="shared" ref="O14" si="23">ROUNDUP((N14/V14),0)</f>
        <v>0</v>
      </c>
      <c r="P14" s="31">
        <f t="shared" ref="P14" si="24">H14-T14</f>
        <v>0</v>
      </c>
      <c r="Q14" s="42">
        <f t="shared" ref="Q14" si="25">L14+O14</f>
        <v>0</v>
      </c>
      <c r="R14" s="97">
        <v>1503</v>
      </c>
      <c r="S14" s="97">
        <f>SUM(AD14:OR14)</f>
        <v>37</v>
      </c>
      <c r="T14" s="97">
        <f t="shared" ref="T14" si="26">R14+S14+J14+M14</f>
        <v>1540</v>
      </c>
      <c r="V14" s="28">
        <v>72</v>
      </c>
      <c r="W14" s="95">
        <f t="shared" ref="W14" si="27">B14+X14</f>
        <v>46195</v>
      </c>
      <c r="X14" s="79">
        <v>20</v>
      </c>
      <c r="Y14" s="79">
        <v>400</v>
      </c>
      <c r="Z14" s="2">
        <f ca="1">SUMIF($AD$6:$CC$6,G14,$AD$12:$CC$12)</f>
        <v>5600</v>
      </c>
      <c r="AA14" s="2">
        <f t="shared" ref="AA14" ca="1" si="28">IF(W14&gt;TODAY(),"프리타임기간중",Q14*Y14*IF(DATE(YEAR(W14),MONTH(W14),1)&lt;DATE(YEAR($AA$2),MONTH($AA$2),1),DATEDIF($AA$2,$AA$3,"D")+1,DATEDIF(W14,$AA$3+1,"d")))</f>
        <v>0</v>
      </c>
      <c r="AB14" s="2">
        <f t="shared" ref="AB14" ca="1" si="29">IFERROR(Z14+AA14,"")</f>
        <v>5600</v>
      </c>
      <c r="AC14" s="103"/>
      <c r="AH14" s="142">
        <v>37</v>
      </c>
    </row>
    <row r="15" spans="2:65" s="2" customFormat="1" ht="20.100000000000001" customHeight="1">
      <c r="B15" s="122">
        <v>46182</v>
      </c>
      <c r="C15" s="123" t="s">
        <v>462</v>
      </c>
      <c r="D15" s="124"/>
      <c r="E15" s="125" t="s">
        <v>203</v>
      </c>
      <c r="F15" s="126" t="s">
        <v>206</v>
      </c>
      <c r="G15" s="8" t="str">
        <f t="shared" ref="G15" si="30">C15&amp;F15</f>
        <v>SMLMBKK6A191210025KG설탕</v>
      </c>
      <c r="H15" s="28">
        <v>920</v>
      </c>
      <c r="I15" s="41">
        <f t="shared" ref="I15" si="31">ROUNDUP((H15/V15),0)</f>
        <v>23</v>
      </c>
      <c r="J15" s="29">
        <v>0</v>
      </c>
      <c r="K15" s="29">
        <v>0</v>
      </c>
      <c r="L15" s="41">
        <f>ROUNDUP((K15/V15),0)</f>
        <v>0</v>
      </c>
      <c r="M15" s="29">
        <v>0</v>
      </c>
      <c r="N15" s="31">
        <f t="shared" ref="N15" si="32">P15-K15+M15</f>
        <v>0</v>
      </c>
      <c r="O15" s="42">
        <f t="shared" ref="O15" si="33">ROUNDUP((N15/V15),0)</f>
        <v>0</v>
      </c>
      <c r="P15" s="31">
        <f t="shared" ref="P15" si="34">H15-T15</f>
        <v>0</v>
      </c>
      <c r="Q15" s="42">
        <f t="shared" ref="Q15" si="35">L15+O15</f>
        <v>0</v>
      </c>
      <c r="R15" s="97">
        <v>320</v>
      </c>
      <c r="S15" s="97">
        <f>SUM(AD15:OR15)</f>
        <v>600</v>
      </c>
      <c r="T15" s="97">
        <f t="shared" ref="T15" si="36">R15+S15+J15+M15</f>
        <v>920</v>
      </c>
      <c r="V15" s="28">
        <v>40</v>
      </c>
      <c r="W15" s="95">
        <f t="shared" ref="W15" si="37">B15+X15</f>
        <v>46202</v>
      </c>
      <c r="X15" s="79">
        <v>20</v>
      </c>
      <c r="Y15" s="79">
        <v>400</v>
      </c>
      <c r="Z15" s="2">
        <f ca="1">SUMIF($AD$6:$CC$6,G15,$AD$12:$CC$12)</f>
        <v>18000</v>
      </c>
      <c r="AA15" s="2">
        <f t="shared" ref="AA15" ca="1" si="38">IF(W15&gt;TODAY(),"프리타임기간중",Q15*Y15*IF(DATE(YEAR(W15),MONTH(W15),1)&lt;DATE(YEAR($AA$2),MONTH($AA$2),1),DATEDIF($AA$2,$AA$3,"D")+1,DATEDIF(W15,$AA$3+1,"d")))</f>
        <v>0</v>
      </c>
      <c r="AB15" s="2">
        <f t="shared" ref="AB15" ca="1" si="39">IFERROR(Z15+AA15,"")</f>
        <v>18000</v>
      </c>
      <c r="AC15" s="103"/>
      <c r="AD15" s="142">
        <v>200</v>
      </c>
      <c r="AE15" s="142">
        <v>400</v>
      </c>
    </row>
    <row r="16" spans="2:65" s="2" customFormat="1" ht="20.100000000000001" customHeight="1">
      <c r="B16" s="110">
        <v>46195</v>
      </c>
      <c r="C16" s="111" t="s">
        <v>500</v>
      </c>
      <c r="D16" s="112"/>
      <c r="E16" s="113" t="s">
        <v>501</v>
      </c>
      <c r="F16" s="114" t="s">
        <v>150</v>
      </c>
      <c r="G16" s="8" t="str">
        <f t="shared" ref="G16" si="40">C16&amp;F16</f>
        <v>HFIBKO265025톤백설탕</v>
      </c>
      <c r="H16" s="28">
        <v>200</v>
      </c>
      <c r="I16" s="41">
        <f t="shared" ref="I16" si="41">ROUNDUP((H16/V16),0)</f>
        <v>200</v>
      </c>
      <c r="J16" s="29">
        <v>0</v>
      </c>
      <c r="K16" s="29">
        <v>0</v>
      </c>
      <c r="L16" s="41">
        <f t="shared" ref="L16" si="42">ROUNDUP((K16/V16),0)</f>
        <v>0</v>
      </c>
      <c r="M16" s="29">
        <v>0</v>
      </c>
      <c r="N16" s="31">
        <f t="shared" ref="N16" si="43">P16-K16+M16</f>
        <v>10</v>
      </c>
      <c r="O16" s="42">
        <f t="shared" ref="O16" si="44">ROUNDUP((N16/V16),0)</f>
        <v>10</v>
      </c>
      <c r="P16" s="31">
        <f t="shared" ref="P16" si="45">H16-T16</f>
        <v>10</v>
      </c>
      <c r="Q16" s="42">
        <f t="shared" ref="Q16" si="46">L16+O16</f>
        <v>10</v>
      </c>
      <c r="R16" s="97">
        <v>86</v>
      </c>
      <c r="S16" s="97">
        <f>SUM(AD16:OR16)</f>
        <v>104</v>
      </c>
      <c r="T16" s="97">
        <f t="shared" ref="T16" si="47">R16+S16+J16+M16</f>
        <v>190</v>
      </c>
      <c r="U16" s="2" t="s">
        <v>539</v>
      </c>
      <c r="V16" s="28">
        <v>1</v>
      </c>
      <c r="W16" s="95">
        <f t="shared" ref="W16" si="48">B16+X16</f>
        <v>46215</v>
      </c>
      <c r="X16" s="79">
        <v>20</v>
      </c>
      <c r="Y16" s="79">
        <v>400</v>
      </c>
      <c r="Z16" s="2">
        <f ca="1">SUMIF($AD$6:$CC$6,G16,$AD$12:$CC$12)</f>
        <v>313600</v>
      </c>
      <c r="AA16" s="2">
        <f t="shared" ref="AA16" ca="1" si="49">IF(W16&gt;TODAY(),"프리타임기간중",Q16*Y16*IF(DATE(YEAR(W16),MONTH(W16),1)&lt;DATE(YEAR($AA$2),MONTH($AA$2),1),DATEDIF($AA$2,$AA$3,"D")+1,DATEDIF(W16,$AA$3+1,"d")))</f>
        <v>80000</v>
      </c>
      <c r="AB16" s="2">
        <f t="shared" ref="AB16" ca="1" si="50">IFERROR(Z16+AA16,"")</f>
        <v>393600</v>
      </c>
      <c r="AC16" s="103"/>
      <c r="AF16" s="142">
        <v>26</v>
      </c>
      <c r="AG16" s="142">
        <v>16</v>
      </c>
      <c r="AL16" s="142">
        <v>10</v>
      </c>
      <c r="AM16" s="142">
        <v>26</v>
      </c>
      <c r="AN16" s="142">
        <v>26</v>
      </c>
    </row>
    <row r="17" spans="2:41" s="2" customFormat="1" ht="20.100000000000001" customHeight="1">
      <c r="B17" s="122">
        <v>45929</v>
      </c>
      <c r="C17" s="123" t="s">
        <v>243</v>
      </c>
      <c r="D17" s="124" t="s">
        <v>244</v>
      </c>
      <c r="E17" s="125" t="s">
        <v>203</v>
      </c>
      <c r="F17" s="126" t="s">
        <v>231</v>
      </c>
      <c r="G17" s="8" t="str">
        <f>C17&amp;F17</f>
        <v>HDMUBKKA1120240015KG설탕(미미슈가)</v>
      </c>
      <c r="H17" s="28">
        <v>4620</v>
      </c>
      <c r="I17" s="41">
        <f>ROUNDUP((H17/V17),0)</f>
        <v>65</v>
      </c>
      <c r="J17" s="29">
        <v>0</v>
      </c>
      <c r="K17" s="29">
        <v>0</v>
      </c>
      <c r="L17" s="41">
        <f>ROUNDUP((K17/V17),0)</f>
        <v>0</v>
      </c>
      <c r="M17" s="29">
        <v>0</v>
      </c>
      <c r="N17" s="31">
        <f>P17-K17+M17</f>
        <v>0</v>
      </c>
      <c r="O17" s="42">
        <f>ROUNDUP((N17/V17),0)</f>
        <v>0</v>
      </c>
      <c r="P17" s="31">
        <f>H17-T17</f>
        <v>0</v>
      </c>
      <c r="Q17" s="42">
        <f>L17+O17</f>
        <v>0</v>
      </c>
      <c r="R17" s="97">
        <v>4602</v>
      </c>
      <c r="S17" s="97">
        <f>SUM(AD17:KE17)</f>
        <v>18</v>
      </c>
      <c r="T17" s="97">
        <f>R17+S17+J17+M17</f>
        <v>4620</v>
      </c>
      <c r="U17" s="2" t="s">
        <v>610</v>
      </c>
      <c r="V17" s="28">
        <v>72</v>
      </c>
      <c r="W17" s="160">
        <f>B17+X17</f>
        <v>45959</v>
      </c>
      <c r="X17" s="166">
        <v>30</v>
      </c>
      <c r="Y17" s="79">
        <v>400</v>
      </c>
      <c r="Z17" s="2">
        <f>SUMIF('시노(명인)'!$AD$6:$NP$6,G17,'시노(명인)'!$AD$12:$NP$12)</f>
        <v>0</v>
      </c>
      <c r="AA17" s="2">
        <f ca="1">IF(W17&gt;TODAY(),"프리타임기간중",Q17*Y17*IF(DATE(YEAR(W17),MONTH(W17),1)&lt;DATE(YEAR('시노(명인)'!$AA$2),MONTH('시노(명인)'!$AA$2),1),DATEDIF('시노(명인)'!$AA$2,'시노(명인)'!$AA$3,"D")+1,DATEDIF(W17,'시노(명인)'!$AA$3+1,"d")))</f>
        <v>0</v>
      </c>
      <c r="AB17" s="2">
        <f ca="1">IFERROR(Z17+AA17,"")</f>
        <v>0</v>
      </c>
      <c r="AC17" s="103"/>
      <c r="AI17" s="142">
        <v>18</v>
      </c>
    </row>
    <row r="18" spans="2:41" s="2" customFormat="1" ht="20.100000000000001" customHeight="1">
      <c r="B18" s="122">
        <v>45930</v>
      </c>
      <c r="C18" s="123" t="s">
        <v>243</v>
      </c>
      <c r="D18" s="124" t="s">
        <v>245</v>
      </c>
      <c r="E18" s="125" t="s">
        <v>203</v>
      </c>
      <c r="F18" s="126" t="s">
        <v>246</v>
      </c>
      <c r="G18" s="8" t="str">
        <f>C18&amp;F18</f>
        <v>HDMUBKKA1120240015KG설탕(명인상사)</v>
      </c>
      <c r="H18" s="28">
        <v>4620</v>
      </c>
      <c r="I18" s="41">
        <f>ROUNDUP((H18/V18),0)</f>
        <v>65</v>
      </c>
      <c r="J18" s="29">
        <v>0</v>
      </c>
      <c r="K18" s="29">
        <v>0</v>
      </c>
      <c r="L18" s="41">
        <f>ROUNDUP((K18/V18),0)</f>
        <v>0</v>
      </c>
      <c r="M18" s="29">
        <v>0</v>
      </c>
      <c r="N18" s="31">
        <f>P18-K18+M18</f>
        <v>0</v>
      </c>
      <c r="O18" s="42">
        <f>ROUNDUP((N18/V18),0)</f>
        <v>0</v>
      </c>
      <c r="P18" s="31">
        <f>H18-T18</f>
        <v>0</v>
      </c>
      <c r="Q18" s="42">
        <f>L18+O18</f>
        <v>0</v>
      </c>
      <c r="R18" s="97">
        <v>4485</v>
      </c>
      <c r="S18" s="97">
        <f>SUM(AD18:KE18)</f>
        <v>135</v>
      </c>
      <c r="T18" s="97">
        <f>R18+S18+J18+M18</f>
        <v>4620</v>
      </c>
      <c r="U18" s="2" t="s">
        <v>610</v>
      </c>
      <c r="V18" s="28">
        <v>72</v>
      </c>
      <c r="W18" s="160">
        <f>B18+X18</f>
        <v>45960</v>
      </c>
      <c r="X18" s="166">
        <v>30</v>
      </c>
      <c r="Y18" s="79">
        <v>400</v>
      </c>
      <c r="Z18" s="2">
        <f>SUMIF('시노(명인)'!$AD$6:$NP$6,G18,'시노(명인)'!$AD$12:$NP$12)</f>
        <v>0</v>
      </c>
      <c r="AA18" s="2">
        <f ca="1">IF(W18&gt;TODAY(),"프리타임기간중",Q18*Y18*IF(DATE(YEAR(W18),MONTH(W18),1)&lt;DATE(YEAR('시노(명인)'!$AA$2),MONTH('시노(명인)'!$AA$2),1),DATEDIF('시노(명인)'!$AA$2,'시노(명인)'!$AA$3,"D")+1,DATEDIF(W18,'시노(명인)'!$AA$3+1,"d")))</f>
        <v>0</v>
      </c>
      <c r="AB18" s="2">
        <f ca="1">IFERROR(Z18+AA18,"")</f>
        <v>0</v>
      </c>
      <c r="AC18" s="103"/>
      <c r="AJ18" s="2">
        <v>116</v>
      </c>
      <c r="AK18" s="2">
        <v>19</v>
      </c>
    </row>
    <row r="19" spans="2:41" s="2" customFormat="1" ht="20.100000000000001" customHeight="1">
      <c r="B19" s="122">
        <v>46217</v>
      </c>
      <c r="C19" s="123" t="s">
        <v>722</v>
      </c>
      <c r="D19" s="124"/>
      <c r="E19" s="125" t="s">
        <v>724</v>
      </c>
      <c r="F19" s="126" t="s">
        <v>723</v>
      </c>
      <c r="G19" s="8" t="str">
        <f t="shared" ref="G19" si="51">C19&amp;F19</f>
        <v>MEDUWO18402450KG설탕</v>
      </c>
      <c r="H19" s="28">
        <v>2400</v>
      </c>
      <c r="I19" s="41">
        <f t="shared" ref="I19" si="52">ROUNDUP((H19/V19),0)</f>
        <v>80</v>
      </c>
      <c r="J19" s="29">
        <v>0</v>
      </c>
      <c r="K19" s="29">
        <v>13</v>
      </c>
      <c r="L19" s="41">
        <f>ROUNDUP((K19/V19),0)-1</f>
        <v>0</v>
      </c>
      <c r="M19" s="29">
        <v>0</v>
      </c>
      <c r="N19" s="31">
        <f t="shared" ref="N19" si="53">P19-K19+M19</f>
        <v>2387</v>
      </c>
      <c r="O19" s="42">
        <f t="shared" ref="O19" si="54">ROUNDUP((N19/V19),0)</f>
        <v>80</v>
      </c>
      <c r="P19" s="31">
        <f t="shared" ref="P19" si="55">H19-T19</f>
        <v>2400</v>
      </c>
      <c r="Q19" s="42">
        <f t="shared" ref="Q19" si="56">L19+O19</f>
        <v>80</v>
      </c>
      <c r="R19" s="97">
        <v>0</v>
      </c>
      <c r="S19" s="97">
        <f>SUM(AD19:OR19)</f>
        <v>0</v>
      </c>
      <c r="T19" s="97">
        <f t="shared" ref="T19" si="57">R19+S19+J19+M19</f>
        <v>0</v>
      </c>
      <c r="V19" s="28">
        <v>30</v>
      </c>
      <c r="W19" s="95">
        <f t="shared" ref="W19" si="58">B19+X19</f>
        <v>46237</v>
      </c>
      <c r="X19" s="79">
        <v>20</v>
      </c>
      <c r="Y19" s="79">
        <v>400</v>
      </c>
      <c r="Z19" s="2">
        <f>SUMIF($AD$6:$CC$6,G19,$AD$12:$CC$12)</f>
        <v>0</v>
      </c>
      <c r="AA19" s="2" t="str">
        <f t="shared" ref="AA19" ca="1" si="59">IF(W19&gt;TODAY(),"프리타임기간중",Q19*Y19*IF(DATE(YEAR(W19),MONTH(W19),1)&lt;DATE(YEAR($AA$2),MONTH($AA$2),1),DATEDIF($AA$2,$AA$3,"D")+1,DATEDIF(W19,$AA$3+1,"d")))</f>
        <v>프리타임기간중</v>
      </c>
      <c r="AB19" s="2" t="str">
        <f t="shared" ref="AB19" ca="1" si="60">IFERROR(Z19+AA19,"")</f>
        <v/>
      </c>
      <c r="AC19" s="103"/>
    </row>
    <row r="20" spans="2:41" s="2" customFormat="1" ht="20.100000000000001" customHeight="1">
      <c r="B20" s="110">
        <v>46226</v>
      </c>
      <c r="C20" s="111" t="s">
        <v>822</v>
      </c>
      <c r="D20" s="112"/>
      <c r="E20" s="113" t="s">
        <v>402</v>
      </c>
      <c r="F20" s="114" t="s">
        <v>823</v>
      </c>
      <c r="G20" s="8" t="str">
        <f t="shared" ref="G20" si="61">C20&amp;F20</f>
        <v>SMLMBKK6A298660025KG설탕(유기농)</v>
      </c>
      <c r="H20" s="28">
        <v>920</v>
      </c>
      <c r="I20" s="41">
        <f t="shared" ref="I20" si="62">ROUNDUP((H20/V20),0)</f>
        <v>23</v>
      </c>
      <c r="J20" s="29">
        <v>0</v>
      </c>
      <c r="K20" s="29">
        <v>2</v>
      </c>
      <c r="L20" s="41">
        <f>ROUNDUP((K20/V20),0)-1</f>
        <v>0</v>
      </c>
      <c r="M20" s="29">
        <v>0</v>
      </c>
      <c r="N20" s="31">
        <f t="shared" ref="N20" si="63">P20-K20+M20</f>
        <v>518</v>
      </c>
      <c r="O20" s="42">
        <f t="shared" ref="O20" si="64">ROUNDUP((N20/V20),0)</f>
        <v>13</v>
      </c>
      <c r="P20" s="31">
        <f t="shared" ref="P20" si="65">H20-T20</f>
        <v>520</v>
      </c>
      <c r="Q20" s="42">
        <f t="shared" ref="Q20" si="66">L20+O20</f>
        <v>13</v>
      </c>
      <c r="R20" s="97">
        <v>0</v>
      </c>
      <c r="S20" s="97">
        <f>SUM(AD20:OR20)</f>
        <v>400</v>
      </c>
      <c r="T20" s="97">
        <f t="shared" ref="T20" si="67">R20+S20+J20+M20</f>
        <v>400</v>
      </c>
      <c r="V20" s="28">
        <v>40</v>
      </c>
      <c r="W20" s="95">
        <f t="shared" ref="W20" si="68">B20+X20</f>
        <v>46246</v>
      </c>
      <c r="X20" s="79">
        <v>20</v>
      </c>
      <c r="Y20" s="79">
        <v>400</v>
      </c>
      <c r="Z20" s="2">
        <f ca="1">SUMIF($AD$6:$CC$6,G20,$AD$12:$CC$12)</f>
        <v>0</v>
      </c>
      <c r="AA20" s="2" t="str">
        <f t="shared" ref="AA20" ca="1" si="69">IF(W20&gt;TODAY(),"프리타임기간중",Q20*Y20*IF(DATE(YEAR(W20),MONTH(W20),1)&lt;DATE(YEAR($AA$2),MONTH($AA$2),1),DATEDIF($AA$2,$AA$3,"D")+1,DATEDIF(W20,$AA$3+1,"d")))</f>
        <v>프리타임기간중</v>
      </c>
      <c r="AB20" s="2" t="str">
        <f t="shared" ref="AB20" ca="1" si="70">IFERROR(Z20+AA20,"")</f>
        <v/>
      </c>
      <c r="AC20" s="103"/>
      <c r="AO20" s="142">
        <v>400</v>
      </c>
    </row>
    <row r="21" spans="2:41" s="2" customFormat="1" ht="20.100000000000001" customHeight="1">
      <c r="B21" s="81"/>
      <c r="C21" s="99"/>
      <c r="D21" s="98"/>
      <c r="E21" s="79"/>
      <c r="F21" s="8"/>
      <c r="G21" s="8" t="str">
        <f t="shared" ref="G21" si="71">C21&amp;F21</f>
        <v/>
      </c>
      <c r="H21" s="28"/>
      <c r="I21" s="41">
        <f t="shared" ref="I21" si="72">ROUNDUP((H21/V21),0)</f>
        <v>0</v>
      </c>
      <c r="J21" s="29">
        <v>0</v>
      </c>
      <c r="K21" s="29">
        <v>0</v>
      </c>
      <c r="L21" s="41">
        <f t="shared" ref="L21" si="73">ROUNDUP((K21/V21),0)</f>
        <v>0</v>
      </c>
      <c r="M21" s="29">
        <v>0</v>
      </c>
      <c r="N21" s="31">
        <f t="shared" ref="N21" si="74">P21-K21+M21</f>
        <v>0</v>
      </c>
      <c r="O21" s="42">
        <f t="shared" ref="O21" si="75">ROUNDUP((N21/V21),0)</f>
        <v>0</v>
      </c>
      <c r="P21" s="31">
        <f t="shared" ref="P21" si="76">H21-T21</f>
        <v>0</v>
      </c>
      <c r="Q21" s="42">
        <f t="shared" ref="Q21" si="77">L21+O21</f>
        <v>0</v>
      </c>
      <c r="R21" s="97">
        <v>0</v>
      </c>
      <c r="S21" s="97">
        <f>SUM(AD21:OR21)</f>
        <v>0</v>
      </c>
      <c r="T21" s="97">
        <f t="shared" ref="T21" si="78">R21+S21+J21+M21</f>
        <v>0</v>
      </c>
      <c r="V21" s="28">
        <v>1</v>
      </c>
      <c r="W21" s="95">
        <f t="shared" ref="W21" si="79">B21+X21</f>
        <v>20</v>
      </c>
      <c r="X21" s="79">
        <v>20</v>
      </c>
      <c r="Y21" s="79">
        <v>400</v>
      </c>
      <c r="Z21" s="2">
        <f ca="1">SUMIF($AD$6:$CC$6,G21,$AD$12:$CC$12)</f>
        <v>0</v>
      </c>
      <c r="AA21" s="2">
        <f t="shared" ref="AA21" ca="1" si="80">IF(W21&gt;TODAY(),"프리타임기간중",Q21*Y21*IF(DATE(YEAR(W21),MONTH(W21),1)&lt;DATE(YEAR($AA$2),MONTH($AA$2),1),DATEDIF($AA$2,$AA$3,"D")+1,DATEDIF(W21,$AA$3+1,"d")))</f>
        <v>0</v>
      </c>
      <c r="AB21" s="2">
        <f t="shared" ref="AB21" ca="1" si="81">IFERROR(Z21+AA21,"")</f>
        <v>0</v>
      </c>
      <c r="AC21" s="103"/>
    </row>
    <row r="22" spans="2:41" s="2" customFormat="1" ht="18.75" customHeight="1">
      <c r="B22" s="81"/>
      <c r="C22" s="99"/>
      <c r="D22" s="98"/>
      <c r="E22" s="79"/>
      <c r="F22" s="8"/>
      <c r="G22" s="8"/>
      <c r="H22" s="28"/>
      <c r="I22" s="41"/>
      <c r="J22" s="29"/>
      <c r="K22" s="29"/>
      <c r="L22" s="41"/>
      <c r="M22" s="29"/>
      <c r="N22" s="31"/>
      <c r="O22" s="42"/>
      <c r="P22" s="31"/>
      <c r="Q22" s="42"/>
      <c r="R22" s="28"/>
      <c r="S22" s="97"/>
      <c r="T22" s="97"/>
      <c r="U22" s="96"/>
      <c r="V22" s="28"/>
      <c r="W22" s="95"/>
      <c r="X22" s="79"/>
      <c r="Y22" s="79"/>
      <c r="AC22" s="103"/>
    </row>
    <row r="23" spans="2:41" s="1" customFormat="1" ht="15" customHeight="1">
      <c r="B23" s="6"/>
      <c r="C23" s="7"/>
      <c r="D23" s="7"/>
      <c r="E23" s="6"/>
      <c r="F23" s="6"/>
      <c r="G23" s="6"/>
      <c r="H23" s="16"/>
      <c r="I23" s="40"/>
      <c r="J23" s="16"/>
      <c r="K23" s="16"/>
      <c r="L23" s="40"/>
      <c r="M23" s="16"/>
      <c r="N23" s="16"/>
      <c r="O23" s="40"/>
      <c r="P23" s="21"/>
      <c r="Q23" s="22"/>
      <c r="R23" s="16">
        <v>0</v>
      </c>
      <c r="S23" s="30"/>
      <c r="T23" s="30"/>
      <c r="U23" s="94"/>
      <c r="V23" s="21"/>
      <c r="W23" s="7"/>
      <c r="X23" s="7"/>
      <c r="Y23" s="7"/>
      <c r="AC23" s="60"/>
    </row>
    <row r="24" spans="2:41" ht="15" customHeight="1">
      <c r="E24" s="115"/>
      <c r="F24" s="115"/>
      <c r="G24" s="115"/>
    </row>
    <row r="25" spans="2:41" ht="15" customHeight="1">
      <c r="B25" s="7"/>
      <c r="C25" s="7" t="s">
        <v>157</v>
      </c>
      <c r="D25" s="7" t="s">
        <v>141</v>
      </c>
      <c r="E25" s="115" t="s">
        <v>142</v>
      </c>
      <c r="F25" s="115" t="s">
        <v>143</v>
      </c>
      <c r="G25" s="116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Z25" s="7"/>
      <c r="AA25" s="7"/>
      <c r="AB25" s="7"/>
      <c r="AC25" s="7"/>
    </row>
    <row r="26" spans="2:41" ht="15" customHeight="1">
      <c r="B26" s="7"/>
      <c r="C26" s="120">
        <v>46021</v>
      </c>
      <c r="E26" s="7">
        <v>175</v>
      </c>
      <c r="F26" s="116">
        <v>18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Z26" s="7"/>
      <c r="AA26" s="7"/>
      <c r="AB26" s="7"/>
      <c r="AC26" s="7"/>
    </row>
    <row r="27" spans="2:41" ht="15" customHeight="1">
      <c r="B27" s="7"/>
      <c r="C27" s="120">
        <v>45663</v>
      </c>
      <c r="D27" s="7">
        <v>1</v>
      </c>
      <c r="E27" s="7"/>
      <c r="F27" s="116">
        <f t="shared" ref="F27:F32" si="82">F26+D27-E27</f>
        <v>19</v>
      </c>
      <c r="G27" s="7" t="s">
        <v>202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Z27" s="7"/>
      <c r="AA27" s="7"/>
      <c r="AB27" s="7"/>
      <c r="AC27" s="7"/>
    </row>
    <row r="28" spans="2:41" ht="15" customHeight="1">
      <c r="B28" s="7"/>
      <c r="C28" s="120">
        <v>45709</v>
      </c>
      <c r="D28" s="7">
        <v>2</v>
      </c>
      <c r="E28" s="7"/>
      <c r="F28" s="116">
        <f t="shared" si="82"/>
        <v>21</v>
      </c>
      <c r="G28" s="7" t="s">
        <v>205</v>
      </c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Z28" s="7"/>
      <c r="AA28" s="7"/>
      <c r="AB28" s="7"/>
      <c r="AC28" s="7"/>
    </row>
    <row r="29" spans="2:41" ht="15" customHeight="1">
      <c r="B29" s="7"/>
      <c r="C29" s="120">
        <v>45750</v>
      </c>
      <c r="D29" s="7">
        <v>3</v>
      </c>
      <c r="E29" s="7"/>
      <c r="F29" s="116">
        <f t="shared" si="82"/>
        <v>24</v>
      </c>
      <c r="G29" s="7" t="s">
        <v>210</v>
      </c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Z29" s="7"/>
      <c r="AA29" s="7"/>
      <c r="AB29" s="7"/>
      <c r="AC29" s="7"/>
    </row>
    <row r="30" spans="2:41" ht="15" customHeight="1">
      <c r="B30" s="7"/>
      <c r="C30" s="120">
        <v>45754</v>
      </c>
      <c r="E30" s="7">
        <v>1</v>
      </c>
      <c r="F30" s="116">
        <f t="shared" si="82"/>
        <v>23</v>
      </c>
      <c r="G30" s="7" t="s">
        <v>211</v>
      </c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Z30" s="7"/>
      <c r="AA30" s="7"/>
      <c r="AB30" s="7"/>
      <c r="AC30" s="7"/>
    </row>
    <row r="31" spans="2:41" ht="15" customHeight="1">
      <c r="B31" s="7"/>
      <c r="C31" s="120">
        <v>45780</v>
      </c>
      <c r="D31" s="7">
        <v>5</v>
      </c>
      <c r="E31" s="7"/>
      <c r="F31" s="116">
        <f t="shared" si="82"/>
        <v>28</v>
      </c>
      <c r="G31" s="7" t="s">
        <v>212</v>
      </c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Z31" s="7"/>
      <c r="AA31" s="7"/>
      <c r="AB31" s="7"/>
      <c r="AC31" s="7"/>
    </row>
    <row r="32" spans="2:41" ht="15" customHeight="1">
      <c r="B32" s="7"/>
      <c r="C32" s="120">
        <v>45911</v>
      </c>
      <c r="D32" s="7">
        <v>2</v>
      </c>
      <c r="E32" s="7"/>
      <c r="F32" s="116">
        <f t="shared" si="82"/>
        <v>30</v>
      </c>
      <c r="G32" s="120" t="s">
        <v>241</v>
      </c>
      <c r="H32" s="7"/>
      <c r="I32" s="7"/>
      <c r="J32" s="7"/>
      <c r="K32" s="7"/>
      <c r="L32" s="7"/>
      <c r="M32" s="7"/>
      <c r="O32" s="7"/>
      <c r="P32" s="7"/>
      <c r="Q32" s="7"/>
      <c r="R32" s="7"/>
      <c r="S32" s="7"/>
      <c r="T32" s="7"/>
      <c r="U32" s="7"/>
      <c r="V32" s="7"/>
      <c r="Z32" s="7"/>
      <c r="AA32" s="7"/>
      <c r="AB32" s="7"/>
      <c r="AC32" s="7"/>
    </row>
    <row r="33" spans="3:7" s="7" customFormat="1" ht="15" customHeight="1">
      <c r="C33" s="120"/>
      <c r="F33" s="116"/>
    </row>
    <row r="34" spans="3:7" s="7" customFormat="1" ht="15" customHeight="1">
      <c r="C34" s="7" t="s">
        <v>304</v>
      </c>
      <c r="D34" s="7" t="s">
        <v>219</v>
      </c>
    </row>
    <row r="35" spans="3:7" s="7" customFormat="1" ht="15" customHeight="1">
      <c r="C35" s="104">
        <v>46163</v>
      </c>
      <c r="D35" s="7">
        <v>25</v>
      </c>
      <c r="F35" s="7">
        <v>49</v>
      </c>
    </row>
    <row r="36" spans="3:7" s="7" customFormat="1" ht="15" customHeight="1">
      <c r="C36" s="120">
        <v>46168</v>
      </c>
      <c r="E36" s="7">
        <v>23</v>
      </c>
      <c r="F36" s="7">
        <f>F35+D36-E36</f>
        <v>26</v>
      </c>
      <c r="G36" s="7" t="s">
        <v>409</v>
      </c>
    </row>
    <row r="37" spans="3:7" s="7" customFormat="1" ht="15" customHeight="1">
      <c r="C37" s="120">
        <v>46175</v>
      </c>
      <c r="E37" s="7">
        <v>22</v>
      </c>
      <c r="F37" s="7">
        <f t="shared" ref="F37:F44" si="83">F36+D37-E37</f>
        <v>4</v>
      </c>
      <c r="G37" s="7" t="s">
        <v>438</v>
      </c>
    </row>
    <row r="38" spans="3:7" s="7" customFormat="1" ht="15" customHeight="1">
      <c r="C38" s="104">
        <v>46178</v>
      </c>
      <c r="D38" s="7">
        <v>24</v>
      </c>
      <c r="F38" s="7">
        <f t="shared" si="83"/>
        <v>28</v>
      </c>
    </row>
    <row r="39" spans="3:7" s="7" customFormat="1" ht="15" customHeight="1">
      <c r="C39" s="120">
        <v>46182</v>
      </c>
      <c r="E39" s="7">
        <v>23</v>
      </c>
      <c r="F39" s="7">
        <f t="shared" si="83"/>
        <v>5</v>
      </c>
    </row>
    <row r="40" spans="3:7" s="7" customFormat="1" ht="15" customHeight="1">
      <c r="C40" s="120">
        <v>46192</v>
      </c>
      <c r="D40" s="7">
        <v>192</v>
      </c>
      <c r="F40" s="7">
        <f t="shared" si="83"/>
        <v>197</v>
      </c>
    </row>
    <row r="41" spans="3:7" s="7" customFormat="1" ht="15" customHeight="1">
      <c r="C41" s="120">
        <v>46196</v>
      </c>
      <c r="E41" s="7">
        <v>200</v>
      </c>
      <c r="F41" s="7">
        <f t="shared" si="83"/>
        <v>-3</v>
      </c>
    </row>
    <row r="42" spans="3:7" s="7" customFormat="1" ht="15" customHeight="1">
      <c r="C42" s="120">
        <v>46216</v>
      </c>
      <c r="D42" s="7">
        <v>3</v>
      </c>
      <c r="F42" s="7">
        <f t="shared" si="83"/>
        <v>0</v>
      </c>
    </row>
    <row r="43" spans="3:7" s="7" customFormat="1" ht="15" customHeight="1">
      <c r="C43" s="104">
        <v>46223</v>
      </c>
      <c r="D43" s="7">
        <v>25</v>
      </c>
      <c r="F43" s="7">
        <f t="shared" si="83"/>
        <v>25</v>
      </c>
    </row>
    <row r="44" spans="3:7" s="7" customFormat="1" ht="15" customHeight="1">
      <c r="C44" s="104">
        <v>46226</v>
      </c>
      <c r="E44" s="7">
        <v>23</v>
      </c>
      <c r="F44" s="7">
        <f t="shared" si="83"/>
        <v>2</v>
      </c>
    </row>
    <row r="45" spans="3:7" s="7" customFormat="1" ht="15" customHeight="1">
      <c r="C45" s="104"/>
    </row>
    <row r="46" spans="3:7" s="7" customFormat="1" ht="15" customHeight="1">
      <c r="C46" s="104"/>
    </row>
    <row r="47" spans="3:7" s="7" customFormat="1" ht="15" customHeight="1">
      <c r="C47" s="104"/>
    </row>
    <row r="48" spans="3:7" s="7" customFormat="1" ht="15" customHeight="1">
      <c r="C48" s="7" t="s">
        <v>366</v>
      </c>
    </row>
    <row r="49" spans="3:6" s="7" customFormat="1" ht="15" customHeight="1">
      <c r="C49" s="104">
        <v>46140</v>
      </c>
      <c r="D49" s="7">
        <v>80</v>
      </c>
      <c r="F49" s="7">
        <v>80</v>
      </c>
    </row>
    <row r="50" spans="3:6" s="7" customFormat="1" ht="15" customHeight="1">
      <c r="C50" s="120">
        <v>46149</v>
      </c>
      <c r="E50" s="7">
        <v>80</v>
      </c>
      <c r="F50" s="7">
        <f t="shared" ref="F50:F52" si="84">F49+D50-E50</f>
        <v>0</v>
      </c>
    </row>
    <row r="51" spans="3:6" s="7" customFormat="1" ht="15" customHeight="1">
      <c r="C51" s="104">
        <v>46216</v>
      </c>
      <c r="D51" s="7">
        <v>80</v>
      </c>
      <c r="F51" s="7">
        <f t="shared" si="84"/>
        <v>80</v>
      </c>
    </row>
    <row r="52" spans="3:6" s="7" customFormat="1" ht="15" customHeight="1">
      <c r="F52" s="7">
        <f t="shared" si="84"/>
        <v>80</v>
      </c>
    </row>
    <row r="53" spans="3:6" s="7" customFormat="1" ht="15" customHeight="1"/>
    <row r="54" spans="3:6" s="7" customFormat="1" ht="15" customHeight="1"/>
    <row r="55" spans="3:6" s="7" customFormat="1" ht="15" customHeight="1"/>
    <row r="56" spans="3:6" s="7" customFormat="1" ht="15" customHeight="1"/>
    <row r="57" spans="3:6" s="7" customFormat="1" ht="15" customHeight="1"/>
    <row r="58" spans="3:6" s="7" customFormat="1" ht="15" customHeight="1"/>
    <row r="59" spans="3:6" s="7" customFormat="1" ht="15" customHeight="1"/>
    <row r="60" spans="3:6" s="7" customFormat="1" ht="15" customHeight="1"/>
    <row r="61" spans="3:6" s="7" customFormat="1" ht="15" customHeight="1"/>
    <row r="62" spans="3:6" s="7" customFormat="1" ht="15" customHeight="1"/>
    <row r="63" spans="3:6" s="7" customFormat="1" ht="15" customHeight="1"/>
    <row r="64" spans="3:6" s="7" customFormat="1" ht="15" customHeight="1"/>
    <row r="65" s="7" customFormat="1" ht="15" customHeight="1"/>
    <row r="66" s="7" customFormat="1" ht="15" customHeight="1"/>
    <row r="67" s="7" customFormat="1" ht="15" customHeight="1"/>
    <row r="68" s="7" customFormat="1" ht="15" customHeight="1"/>
    <row r="69" s="7" customFormat="1" ht="15" customHeight="1"/>
    <row r="70" s="7" customFormat="1" ht="15" customHeight="1"/>
    <row r="71" s="7" customFormat="1" ht="15" customHeight="1"/>
    <row r="72" s="7" customFormat="1" ht="15" customHeight="1"/>
    <row r="73" s="7" customFormat="1" ht="15" customHeight="1"/>
    <row r="74" s="7" customFormat="1" ht="15" customHeight="1"/>
    <row r="75" s="7" customFormat="1" ht="15" customHeight="1"/>
    <row r="76" s="7" customFormat="1" ht="15" customHeight="1"/>
    <row r="77" s="7" customFormat="1" ht="15" customHeight="1"/>
    <row r="78" s="7" customFormat="1" ht="15" customHeight="1"/>
    <row r="79" s="7" customFormat="1" ht="15" customHeight="1"/>
    <row r="80" s="7" customFormat="1" ht="15" customHeight="1"/>
    <row r="81" s="7" customFormat="1" ht="15" customHeight="1"/>
    <row r="82" s="7" customFormat="1" ht="15" customHeight="1"/>
    <row r="83" s="7" customFormat="1" ht="15" customHeight="1"/>
  </sheetData>
  <autoFilter ref="B12:AC19" xr:uid="{CE4CE2B9-9C11-4CF4-8B76-548AC4B7A741}"/>
  <mergeCells count="27">
    <mergeCell ref="Z4:Z12"/>
    <mergeCell ref="AA4:AA12"/>
    <mergeCell ref="AB4:AB12"/>
    <mergeCell ref="T4:T12"/>
    <mergeCell ref="U4:U12"/>
    <mergeCell ref="V4:V12"/>
    <mergeCell ref="W4:W12"/>
    <mergeCell ref="X4:X12"/>
    <mergeCell ref="Y4:Y12"/>
    <mergeCell ref="S4:S12"/>
    <mergeCell ref="H4:H12"/>
    <mergeCell ref="I4:I12"/>
    <mergeCell ref="J4:J12"/>
    <mergeCell ref="K4:K12"/>
    <mergeCell ref="L4:L12"/>
    <mergeCell ref="M4:M12"/>
    <mergeCell ref="N4:N12"/>
    <mergeCell ref="O4:O12"/>
    <mergeCell ref="P4:P12"/>
    <mergeCell ref="Q4:Q12"/>
    <mergeCell ref="R4:R12"/>
    <mergeCell ref="G4:G12"/>
    <mergeCell ref="B4:B12"/>
    <mergeCell ref="C4:C12"/>
    <mergeCell ref="D4:D12"/>
    <mergeCell ref="E4:E12"/>
    <mergeCell ref="F4:F12"/>
  </mergeCells>
  <phoneticPr fontId="2" type="noConversion"/>
  <pageMargins left="0.70866141732283472" right="0.70866141732283472" top="0.74803149606299213" bottom="0.74803149606299213" header="0.31496062992125984" footer="0.31496062992125984"/>
  <pageSetup paperSize="9" orientation="landscape" horizontalDpi="4294967293" verticalDpi="2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0F291-9262-465A-93C8-8B4F3F62D1A9}">
  <sheetPr codeName="Sheet35"/>
  <dimension ref="B1:DQ94"/>
  <sheetViews>
    <sheetView tabSelected="1" zoomScaleNormal="100" workbookViewId="0">
      <pane xSplit="29" ySplit="12" topLeftCell="AD13" activePane="bottomRight" state="frozen"/>
      <selection activeCell="C17" sqref="C17"/>
      <selection pane="topRight" activeCell="C17" sqref="C17"/>
      <selection pane="bottomLeft" activeCell="C17" sqref="C17"/>
      <selection pane="bottomRight" activeCell="BL16" sqref="BL16"/>
    </sheetView>
  </sheetViews>
  <sheetFormatPr defaultColWidth="9" defaultRowHeight="11.25" outlineLevelCol="1"/>
  <cols>
    <col min="1" max="1" width="2.5" style="7" customWidth="1"/>
    <col min="2" max="2" width="11" style="6" customWidth="1"/>
    <col min="3" max="3" width="19.25" style="7" bestFit="1" customWidth="1"/>
    <col min="4" max="4" width="17.75" style="7" bestFit="1" customWidth="1"/>
    <col min="5" max="5" width="9.75" style="6" bestFit="1" customWidth="1"/>
    <col min="6" max="6" width="25.625" style="6" bestFit="1" customWidth="1"/>
    <col min="7" max="7" width="8.5" style="6" hidden="1" customWidth="1" outlineLevel="1"/>
    <col min="8" max="8" width="6.75" style="16" hidden="1" customWidth="1" outlineLevel="1"/>
    <col min="9" max="9" width="6.75" style="40" hidden="1" customWidth="1" outlineLevel="1"/>
    <col min="10" max="11" width="6.75" style="16" hidden="1" customWidth="1" outlineLevel="1"/>
    <col min="12" max="12" width="6.75" style="40" hidden="1" customWidth="1" outlineLevel="1"/>
    <col min="13" max="13" width="6.75" style="16" hidden="1" customWidth="1" outlineLevel="1"/>
    <col min="14" max="14" width="6.75" style="16" customWidth="1" collapsed="1"/>
    <col min="15" max="15" width="6.625" style="40" customWidth="1"/>
    <col min="16" max="16" width="7.125" style="21" customWidth="1"/>
    <col min="17" max="17" width="6.75" style="22" customWidth="1"/>
    <col min="18" max="18" width="6.75" style="16" hidden="1" customWidth="1" outlineLevel="1"/>
    <col min="19" max="20" width="6.75" style="30" hidden="1" customWidth="1" outlineLevel="1"/>
    <col min="21" max="21" width="12.625" style="94" hidden="1" customWidth="1" outlineLevel="1"/>
    <col min="22" max="22" width="4.625" style="30" hidden="1" customWidth="1" outlineLevel="1"/>
    <col min="23" max="23" width="9.25" style="7" hidden="1" customWidth="1" outlineLevel="1"/>
    <col min="24" max="24" width="5" style="7" hidden="1" customWidth="1" outlineLevel="1"/>
    <col min="25" max="25" width="4.5" style="7" hidden="1" customWidth="1" outlineLevel="1"/>
    <col min="26" max="28" width="7.25" style="1" hidden="1" customWidth="1" outlineLevel="1"/>
    <col min="29" max="29" width="15.625" style="60" customWidth="1" collapsed="1"/>
    <col min="30" max="41" width="20.625" style="7" hidden="1" customWidth="1"/>
    <col min="42" max="42" width="25.5" style="7" hidden="1" customWidth="1"/>
    <col min="43" max="43" width="19.375" style="7" hidden="1" customWidth="1"/>
    <col min="44" max="45" width="20.625" style="7" hidden="1" customWidth="1"/>
    <col min="46" max="46" width="21" style="7" hidden="1" customWidth="1"/>
    <col min="47" max="47" width="25.5" style="7" hidden="1" customWidth="1"/>
    <col min="48" max="48" width="21" style="7" hidden="1" customWidth="1"/>
    <col min="49" max="63" width="20.625" style="7" hidden="1" customWidth="1"/>
    <col min="64" max="64" width="32" style="7" bestFit="1" customWidth="1"/>
    <col min="65" max="121" width="20.625" style="7" customWidth="1"/>
    <col min="122" max="16384" width="9" style="7"/>
  </cols>
  <sheetData>
    <row r="1" spans="2:121" s="23" customFormat="1" ht="20.100000000000001" customHeight="1">
      <c r="H1" s="25"/>
      <c r="I1" s="36"/>
      <c r="J1" s="25"/>
      <c r="K1" s="25"/>
      <c r="L1" s="36"/>
      <c r="M1" s="25"/>
      <c r="N1" s="25"/>
      <c r="O1" s="36"/>
      <c r="P1" s="25"/>
      <c r="Q1" s="36"/>
      <c r="R1" s="25"/>
      <c r="S1" s="25"/>
      <c r="T1" s="25"/>
      <c r="V1" s="25"/>
      <c r="AC1" s="54"/>
    </row>
    <row r="2" spans="2:121" s="23" customFormat="1" ht="20.100000000000001" customHeight="1">
      <c r="F2" s="63"/>
      <c r="H2" s="25"/>
      <c r="I2" s="36"/>
      <c r="J2" s="25"/>
      <c r="K2" s="25"/>
      <c r="L2" s="36"/>
      <c r="M2" s="25"/>
      <c r="N2" s="25"/>
      <c r="O2" s="36"/>
      <c r="P2" s="25"/>
      <c r="Q2" s="36"/>
      <c r="R2" s="25"/>
      <c r="S2" s="25"/>
      <c r="T2" s="25"/>
      <c r="V2" s="25"/>
      <c r="Z2" s="23" t="s">
        <v>87</v>
      </c>
      <c r="AA2" s="102">
        <v>46204</v>
      </c>
      <c r="AC2" s="54"/>
    </row>
    <row r="3" spans="2:121" s="23" customFormat="1" ht="20.100000000000001" customHeight="1" thickBot="1">
      <c r="H3" s="25"/>
      <c r="I3" s="36"/>
      <c r="J3" s="25"/>
      <c r="K3" s="25"/>
      <c r="L3" s="36"/>
      <c r="M3" s="25"/>
      <c r="N3" s="25"/>
      <c r="O3" s="36"/>
      <c r="P3" s="25"/>
      <c r="Q3" s="36"/>
      <c r="R3" s="25"/>
      <c r="S3" s="25"/>
      <c r="T3" s="25"/>
      <c r="V3" s="25"/>
      <c r="Z3" s="23" t="s">
        <v>86</v>
      </c>
      <c r="AA3" s="102">
        <v>46234</v>
      </c>
      <c r="AC3" s="54"/>
      <c r="AM3" s="23" t="s">
        <v>652</v>
      </c>
    </row>
    <row r="4" spans="2:121" s="104" customFormat="1" ht="22.5" customHeight="1">
      <c r="B4" s="187" t="s">
        <v>16</v>
      </c>
      <c r="C4" s="173" t="s">
        <v>17</v>
      </c>
      <c r="D4" s="173" t="s">
        <v>18</v>
      </c>
      <c r="E4" s="173" t="s">
        <v>19</v>
      </c>
      <c r="F4" s="173" t="s">
        <v>20</v>
      </c>
      <c r="G4" s="173" t="s">
        <v>49</v>
      </c>
      <c r="H4" s="179" t="s">
        <v>21</v>
      </c>
      <c r="I4" s="182" t="s">
        <v>22</v>
      </c>
      <c r="J4" s="185" t="s">
        <v>71</v>
      </c>
      <c r="K4" s="185" t="s">
        <v>23</v>
      </c>
      <c r="L4" s="186" t="s">
        <v>9</v>
      </c>
      <c r="M4" s="179" t="s">
        <v>24</v>
      </c>
      <c r="N4" s="179" t="s">
        <v>25</v>
      </c>
      <c r="O4" s="182" t="s">
        <v>26</v>
      </c>
      <c r="P4" s="179" t="s">
        <v>27</v>
      </c>
      <c r="Q4" s="182" t="s">
        <v>28</v>
      </c>
      <c r="R4" s="179" t="s">
        <v>29</v>
      </c>
      <c r="S4" s="179" t="s">
        <v>30</v>
      </c>
      <c r="T4" s="179" t="s">
        <v>31</v>
      </c>
      <c r="U4" s="173" t="s">
        <v>32</v>
      </c>
      <c r="V4" s="179" t="s">
        <v>33</v>
      </c>
      <c r="W4" s="173" t="s">
        <v>34</v>
      </c>
      <c r="X4" s="173" t="s">
        <v>35</v>
      </c>
      <c r="Y4" s="173" t="s">
        <v>36</v>
      </c>
      <c r="Z4" s="173" t="s">
        <v>37</v>
      </c>
      <c r="AA4" s="173" t="s">
        <v>38</v>
      </c>
      <c r="AB4" s="176" t="s">
        <v>39</v>
      </c>
      <c r="AC4" s="135" t="s">
        <v>0</v>
      </c>
      <c r="AD4" s="104">
        <v>46204</v>
      </c>
      <c r="AE4" s="104">
        <v>46205</v>
      </c>
      <c r="AF4" s="104">
        <v>46205</v>
      </c>
      <c r="AG4" s="104">
        <v>46206</v>
      </c>
      <c r="AH4" s="104">
        <v>46205</v>
      </c>
      <c r="AI4" s="104">
        <v>46212</v>
      </c>
      <c r="AJ4" s="104">
        <v>46213</v>
      </c>
      <c r="AK4" s="104">
        <v>46213</v>
      </c>
      <c r="AL4" s="104">
        <v>46213</v>
      </c>
      <c r="AM4" s="104">
        <v>46211</v>
      </c>
      <c r="AN4" s="104">
        <v>46213</v>
      </c>
      <c r="AO4" s="104">
        <v>46217</v>
      </c>
      <c r="AP4" s="104">
        <v>46216</v>
      </c>
      <c r="AQ4" s="104">
        <v>46219</v>
      </c>
      <c r="AR4" s="104">
        <v>46217</v>
      </c>
      <c r="AS4" s="104">
        <v>46217</v>
      </c>
      <c r="AT4" s="104">
        <v>46219</v>
      </c>
      <c r="AU4" s="104">
        <v>46219</v>
      </c>
      <c r="AV4" s="104">
        <v>46164</v>
      </c>
      <c r="AW4" s="104">
        <v>46218</v>
      </c>
      <c r="AX4" s="104">
        <v>46218</v>
      </c>
      <c r="AY4" s="104">
        <v>46218</v>
      </c>
      <c r="AZ4" s="104">
        <v>46218</v>
      </c>
      <c r="BA4" s="104">
        <v>46223</v>
      </c>
      <c r="BB4" s="104">
        <v>46225</v>
      </c>
      <c r="BC4" s="104">
        <v>46226</v>
      </c>
      <c r="BD4" s="104">
        <v>46226</v>
      </c>
      <c r="BE4" s="104">
        <v>46230</v>
      </c>
      <c r="BF4" s="104">
        <v>46230</v>
      </c>
      <c r="BG4" s="104">
        <v>46230</v>
      </c>
      <c r="BH4" s="104">
        <v>46230</v>
      </c>
      <c r="BI4" s="104">
        <v>46233</v>
      </c>
      <c r="BJ4" s="104">
        <v>46233</v>
      </c>
      <c r="BK4" s="104">
        <v>46233</v>
      </c>
      <c r="BL4" s="104">
        <v>46233</v>
      </c>
      <c r="BM4" s="104">
        <v>46233</v>
      </c>
      <c r="BN4" s="104">
        <v>46233</v>
      </c>
      <c r="BO4" s="104">
        <v>46234</v>
      </c>
    </row>
    <row r="5" spans="2:121" ht="20.100000000000001" customHeight="1">
      <c r="B5" s="188"/>
      <c r="C5" s="174"/>
      <c r="D5" s="174"/>
      <c r="E5" s="174"/>
      <c r="F5" s="174"/>
      <c r="G5" s="174"/>
      <c r="H5" s="180"/>
      <c r="I5" s="183"/>
      <c r="J5" s="180"/>
      <c r="K5" s="180"/>
      <c r="L5" s="183"/>
      <c r="M5" s="180"/>
      <c r="N5" s="180"/>
      <c r="O5" s="183"/>
      <c r="P5" s="180"/>
      <c r="Q5" s="183"/>
      <c r="R5" s="180"/>
      <c r="S5" s="180"/>
      <c r="T5" s="180"/>
      <c r="U5" s="174"/>
      <c r="V5" s="180"/>
      <c r="W5" s="174"/>
      <c r="X5" s="174"/>
      <c r="Y5" s="174"/>
      <c r="Z5" s="174"/>
      <c r="AA5" s="174"/>
      <c r="AB5" s="177"/>
      <c r="AC5" s="70" t="s">
        <v>1</v>
      </c>
      <c r="AD5" s="7" t="s">
        <v>578</v>
      </c>
      <c r="AE5" s="7" t="s">
        <v>589</v>
      </c>
      <c r="AF5" s="7" t="s">
        <v>595</v>
      </c>
      <c r="AG5" s="7" t="s">
        <v>598</v>
      </c>
      <c r="AH5" s="7" t="s">
        <v>603</v>
      </c>
      <c r="AI5" s="7" t="s">
        <v>639</v>
      </c>
      <c r="AJ5" s="7" t="s">
        <v>640</v>
      </c>
      <c r="AK5" s="7" t="s">
        <v>641</v>
      </c>
      <c r="AL5" s="7" t="s">
        <v>646</v>
      </c>
      <c r="AM5" s="7" t="s">
        <v>651</v>
      </c>
      <c r="AN5" s="7" t="s">
        <v>671</v>
      </c>
      <c r="AO5" s="7" t="s">
        <v>710</v>
      </c>
      <c r="AP5" s="7" t="s">
        <v>702</v>
      </c>
      <c r="AQ5" s="7" t="s">
        <v>703</v>
      </c>
      <c r="AR5" s="7" t="s">
        <v>702</v>
      </c>
      <c r="AS5" s="7" t="s">
        <v>717</v>
      </c>
      <c r="AT5" s="7" t="s">
        <v>719</v>
      </c>
      <c r="AU5" s="7" t="s">
        <v>720</v>
      </c>
      <c r="AV5" s="7" t="s">
        <v>741</v>
      </c>
      <c r="AW5" s="7" t="s">
        <v>742</v>
      </c>
      <c r="AX5" s="7" t="s">
        <v>742</v>
      </c>
      <c r="AY5" s="7" t="s">
        <v>742</v>
      </c>
      <c r="AZ5" s="7" t="s">
        <v>742</v>
      </c>
      <c r="BA5" s="7" t="s">
        <v>765</v>
      </c>
      <c r="BB5" s="7" t="s">
        <v>812</v>
      </c>
      <c r="BC5" s="7" t="s">
        <v>819</v>
      </c>
      <c r="BD5" s="7" t="s">
        <v>819</v>
      </c>
      <c r="BE5" s="7" t="s">
        <v>847</v>
      </c>
      <c r="BF5" s="7" t="s">
        <v>848</v>
      </c>
      <c r="BG5" s="7" t="s">
        <v>853</v>
      </c>
      <c r="BH5" s="7" t="s">
        <v>742</v>
      </c>
      <c r="BI5" s="7" t="s">
        <v>854</v>
      </c>
      <c r="BJ5" s="7" t="s">
        <v>742</v>
      </c>
      <c r="BK5" s="7" t="s">
        <v>866</v>
      </c>
      <c r="BL5" s="7" t="s">
        <v>867</v>
      </c>
      <c r="BM5" s="7" t="s">
        <v>868</v>
      </c>
      <c r="BN5" s="7" t="s">
        <v>869</v>
      </c>
      <c r="BO5" s="7" t="s">
        <v>869</v>
      </c>
    </row>
    <row r="6" spans="2:121" ht="15" customHeight="1">
      <c r="B6" s="188"/>
      <c r="C6" s="174"/>
      <c r="D6" s="174"/>
      <c r="E6" s="174"/>
      <c r="F6" s="174"/>
      <c r="G6" s="174"/>
      <c r="H6" s="180"/>
      <c r="I6" s="183"/>
      <c r="J6" s="180"/>
      <c r="K6" s="180"/>
      <c r="L6" s="183"/>
      <c r="M6" s="180"/>
      <c r="N6" s="180"/>
      <c r="O6" s="183"/>
      <c r="P6" s="180"/>
      <c r="Q6" s="183"/>
      <c r="R6" s="180"/>
      <c r="S6" s="180"/>
      <c r="T6" s="180"/>
      <c r="U6" s="174"/>
      <c r="V6" s="180"/>
      <c r="W6" s="174"/>
      <c r="X6" s="174"/>
      <c r="Y6" s="174"/>
      <c r="Z6" s="174"/>
      <c r="AA6" s="174"/>
      <c r="AB6" s="177"/>
      <c r="AC6" s="58" t="s">
        <v>2</v>
      </c>
      <c r="AD6" s="17" t="str">
        <f>IFERROR(INDEX($G$13:$G$386,MATCH(SUM(AD$13:AD$386),AD$13:AD$386,0),1),"")</f>
        <v>SNKO190260400328(본사)15KG설탕(사료용_KPP)</v>
      </c>
      <c r="AE6" s="17" t="str">
        <f t="shared" ref="AE6:CA6" si="0">IFERROR(INDEX($G$13:$G$386,MATCH(SUM(AE$13:AE$386),AE$13:AE$386,0),1),"")</f>
        <v>SMLMBKK6A261260015KG설탕(부리람슈가코리아_사료용)</v>
      </c>
      <c r="AF6" s="17" t="str">
        <f t="shared" si="0"/>
        <v>SNKO190260400328(본사)15KG설탕(사료용_KPP)</v>
      </c>
      <c r="AG6" s="17" t="str">
        <f t="shared" si="0"/>
        <v>SNKO19026040082315KG설탕(비정제원당_부리람)</v>
      </c>
      <c r="AH6" s="17" t="str">
        <f t="shared" si="0"/>
        <v>SNKO190260400328(본사)15KG설탕(사료용_KPP)</v>
      </c>
      <c r="AI6" s="17" t="str">
        <f t="shared" si="0"/>
        <v>SMLMBKK6A261260015KG설탕(부리람슈가코리아_사료용)</v>
      </c>
      <c r="AJ6" s="17" t="str">
        <f t="shared" si="0"/>
        <v>SNKO190260400330(본사)15KG설탕(비정제원당)</v>
      </c>
      <c r="AK6" s="17" t="str">
        <f t="shared" si="0"/>
        <v>SNKO19026040032815KG설탕</v>
      </c>
      <c r="AL6" s="17" t="str">
        <f t="shared" si="0"/>
        <v>SNKO190260400330(본사)15KG설탕(비정제원당)</v>
      </c>
      <c r="AM6" s="17" t="str">
        <f t="shared" si="0"/>
        <v>SNKO19026040032815KG설탕</v>
      </c>
      <c r="AN6" s="17" t="str">
        <f t="shared" si="0"/>
        <v>SMLMBKK6A261260015KG설탕(부리람슈가코리아_사료용)</v>
      </c>
      <c r="AO6" s="17" t="str">
        <f t="shared" si="0"/>
        <v>SMLMBKK6A261260015KG설탕(부리람슈가코리아_사료용)</v>
      </c>
      <c r="AP6" s="17" t="str">
        <f t="shared" si="0"/>
        <v>SMLMBKK6A261260015KG설탕(부리람슈가코리아_사료용)</v>
      </c>
      <c r="AQ6" s="17" t="str">
        <f t="shared" si="0"/>
        <v>SMLMBKK6A261260015KG설탕(미미슈가_식품용)</v>
      </c>
      <c r="AR6" s="17" t="str">
        <f t="shared" si="0"/>
        <v>SMLMBKK6A261260015KG설탕(부리람슈가코리아_사료용)</v>
      </c>
      <c r="AS6" s="17" t="str">
        <f t="shared" si="0"/>
        <v>SMLMBKK6A261260015KG설탕(미미슈가_식품용)</v>
      </c>
      <c r="AT6" s="17" t="str">
        <f t="shared" si="0"/>
        <v>SNKO19026040082315KG설탕(비정제원당_부리람)</v>
      </c>
      <c r="AU6" s="17" t="str">
        <f t="shared" si="0"/>
        <v>SMLMBKK6A261260015KG설탕(부리람슈가코리아_사료용)</v>
      </c>
      <c r="AV6" s="17" t="str">
        <f t="shared" si="0"/>
        <v>SNKO19026040082315KG설탕(비정제원당_부리람)</v>
      </c>
      <c r="AW6" s="17" t="str">
        <f t="shared" si="0"/>
        <v>SNKO19026040082315KG설탕(비정제원당_부리람)</v>
      </c>
      <c r="AX6" s="17" t="str">
        <f t="shared" si="0"/>
        <v>SNKO19026040082315KG설탕(비정제원당_부리람)</v>
      </c>
      <c r="AY6" s="17" t="str">
        <f t="shared" si="0"/>
        <v>F2-KMTCLCH565543715KG설탕(비정제원당_부리람)</v>
      </c>
      <c r="AZ6" s="17" t="str">
        <f t="shared" si="0"/>
        <v>F2-KMTCLCH565543715KG설탕(비정제원당_부리람)</v>
      </c>
      <c r="BA6" s="17" t="str">
        <f t="shared" si="0"/>
        <v>SNKO190260400330(본사)15KG설탕(비정제원당)</v>
      </c>
      <c r="BB6" s="17" t="str">
        <f t="shared" si="0"/>
        <v>SMLMBKK6A261260015KG설탕(부리람슈가코리아_사료용)</v>
      </c>
      <c r="BC6" s="17" t="str">
        <f t="shared" si="0"/>
        <v>SMLMBKK6A261260015KG설탕(부리람슈가코리아_사료용)</v>
      </c>
      <c r="BD6" s="17" t="str">
        <f t="shared" si="0"/>
        <v>SMLMBKK6A261260015KG설탕(부리람슈가코리아_사료용)</v>
      </c>
      <c r="BE6" s="17" t="str">
        <f t="shared" si="0"/>
        <v>SMLMBKK6A261260015KG설탕(미미슈가_식품용)</v>
      </c>
      <c r="BF6" s="17" t="str">
        <f t="shared" si="0"/>
        <v>F2-KMTCLCH565543715KG설탕(비정제원당_부리람)</v>
      </c>
      <c r="BG6" s="17" t="str">
        <f t="shared" si="0"/>
        <v>SMLMBKK6A261260015KG설탕(미미슈가_식품용)</v>
      </c>
      <c r="BH6" s="17" t="str">
        <f t="shared" si="0"/>
        <v>SNKO190260400330(본사)15KG설탕(비정제원당)</v>
      </c>
      <c r="BI6" s="17" t="str">
        <f t="shared" si="0"/>
        <v>SMLMBKK6A261260015KG설탕(부리람슈가코리아_사료용)</v>
      </c>
      <c r="BJ6" s="17" t="str">
        <f t="shared" si="0"/>
        <v>F2-KMTCLCH565543715KG설탕(비정제원당_부리람)</v>
      </c>
      <c r="BK6" s="17" t="str">
        <f t="shared" si="0"/>
        <v>SMLMBKK6A261260015KG설탕(부리람슈가코리아_사료용)</v>
      </c>
      <c r="BL6" s="17" t="str">
        <f t="shared" si="0"/>
        <v>KMTCLCH568528515KG설탕(미미슈가_식품용)</v>
      </c>
      <c r="BM6" s="17" t="str">
        <f t="shared" si="0"/>
        <v>KMTCLCH568528515KG설탕(미미슈가_식품용)</v>
      </c>
      <c r="BN6" s="17" t="str">
        <f t="shared" si="0"/>
        <v>KMTCLCH568528515KG설탕(미미슈가_식품용)</v>
      </c>
      <c r="BO6" s="17" t="str">
        <f t="shared" si="0"/>
        <v>KMTCLCH568528515KG설탕(미미슈가_식품용)</v>
      </c>
      <c r="BP6" s="17" t="str">
        <f t="shared" si="0"/>
        <v/>
      </c>
      <c r="BQ6" s="17" t="str">
        <f t="shared" si="0"/>
        <v/>
      </c>
      <c r="BR6" s="17" t="str">
        <f t="shared" si="0"/>
        <v/>
      </c>
      <c r="BS6" s="17" t="str">
        <f t="shared" si="0"/>
        <v/>
      </c>
      <c r="BT6" s="17" t="str">
        <f t="shared" si="0"/>
        <v/>
      </c>
      <c r="BU6" s="17" t="str">
        <f t="shared" si="0"/>
        <v/>
      </c>
      <c r="BV6" s="17" t="str">
        <f t="shared" si="0"/>
        <v/>
      </c>
      <c r="BW6" s="17" t="str">
        <f t="shared" si="0"/>
        <v/>
      </c>
      <c r="BX6" s="17" t="str">
        <f t="shared" si="0"/>
        <v/>
      </c>
      <c r="BY6" s="17" t="str">
        <f t="shared" si="0"/>
        <v/>
      </c>
      <c r="BZ6" s="17" t="str">
        <f t="shared" si="0"/>
        <v/>
      </c>
      <c r="CA6" s="17" t="str">
        <f t="shared" si="0"/>
        <v/>
      </c>
      <c r="CB6" s="17" t="str">
        <f t="shared" ref="CB6:DQ6" si="1">IFERROR(INDEX($C$13:$C$386,MATCH(SUM(CB$13:CB$386),CB$13:CB$386,0),1),"")</f>
        <v/>
      </c>
      <c r="CC6" s="17" t="str">
        <f t="shared" si="1"/>
        <v/>
      </c>
      <c r="CD6" s="17" t="str">
        <f t="shared" si="1"/>
        <v/>
      </c>
      <c r="CE6" s="17" t="str">
        <f t="shared" si="1"/>
        <v/>
      </c>
      <c r="CF6" s="17" t="str">
        <f t="shared" si="1"/>
        <v/>
      </c>
      <c r="CG6" s="17" t="str">
        <f t="shared" si="1"/>
        <v/>
      </c>
      <c r="CH6" s="17" t="str">
        <f t="shared" si="1"/>
        <v/>
      </c>
      <c r="CI6" s="17" t="str">
        <f t="shared" si="1"/>
        <v/>
      </c>
      <c r="CJ6" s="17" t="str">
        <f t="shared" si="1"/>
        <v/>
      </c>
      <c r="CK6" s="17" t="str">
        <f t="shared" si="1"/>
        <v/>
      </c>
      <c r="CL6" s="17" t="str">
        <f t="shared" si="1"/>
        <v/>
      </c>
      <c r="CM6" s="17" t="str">
        <f t="shared" si="1"/>
        <v/>
      </c>
      <c r="CN6" s="17" t="str">
        <f t="shared" si="1"/>
        <v/>
      </c>
      <c r="CO6" s="17" t="str">
        <f t="shared" si="1"/>
        <v/>
      </c>
      <c r="CP6" s="17" t="str">
        <f t="shared" si="1"/>
        <v/>
      </c>
      <c r="CQ6" s="17" t="str">
        <f t="shared" si="1"/>
        <v/>
      </c>
      <c r="CR6" s="17" t="str">
        <f t="shared" si="1"/>
        <v/>
      </c>
      <c r="CS6" s="17" t="str">
        <f t="shared" si="1"/>
        <v/>
      </c>
      <c r="CT6" s="17" t="str">
        <f t="shared" si="1"/>
        <v/>
      </c>
      <c r="CU6" s="17" t="str">
        <f t="shared" si="1"/>
        <v/>
      </c>
      <c r="CV6" s="17" t="str">
        <f t="shared" si="1"/>
        <v/>
      </c>
      <c r="CW6" s="17" t="str">
        <f t="shared" si="1"/>
        <v/>
      </c>
      <c r="CX6" s="17" t="str">
        <f t="shared" si="1"/>
        <v/>
      </c>
      <c r="CY6" s="17" t="str">
        <f t="shared" si="1"/>
        <v/>
      </c>
      <c r="CZ6" s="17" t="str">
        <f t="shared" si="1"/>
        <v/>
      </c>
      <c r="DA6" s="17" t="str">
        <f t="shared" si="1"/>
        <v/>
      </c>
      <c r="DB6" s="17" t="str">
        <f t="shared" si="1"/>
        <v/>
      </c>
      <c r="DC6" s="17" t="str">
        <f t="shared" si="1"/>
        <v/>
      </c>
      <c r="DD6" s="17" t="str">
        <f t="shared" si="1"/>
        <v/>
      </c>
      <c r="DE6" s="17" t="str">
        <f t="shared" si="1"/>
        <v/>
      </c>
      <c r="DF6" s="17" t="str">
        <f t="shared" si="1"/>
        <v/>
      </c>
      <c r="DG6" s="17" t="str">
        <f t="shared" si="1"/>
        <v/>
      </c>
      <c r="DH6" s="17" t="str">
        <f t="shared" si="1"/>
        <v/>
      </c>
      <c r="DI6" s="17" t="str">
        <f t="shared" si="1"/>
        <v/>
      </c>
      <c r="DJ6" s="17" t="str">
        <f t="shared" si="1"/>
        <v/>
      </c>
      <c r="DK6" s="17" t="str">
        <f t="shared" si="1"/>
        <v/>
      </c>
      <c r="DL6" s="17" t="str">
        <f t="shared" si="1"/>
        <v/>
      </c>
      <c r="DM6" s="17" t="str">
        <f t="shared" si="1"/>
        <v/>
      </c>
      <c r="DN6" s="17" t="str">
        <f t="shared" si="1"/>
        <v/>
      </c>
      <c r="DO6" s="17" t="str">
        <f t="shared" si="1"/>
        <v/>
      </c>
      <c r="DP6" s="17" t="str">
        <f t="shared" si="1"/>
        <v/>
      </c>
      <c r="DQ6" s="17" t="str">
        <f t="shared" si="1"/>
        <v/>
      </c>
    </row>
    <row r="7" spans="2:121" ht="15" customHeight="1">
      <c r="B7" s="188"/>
      <c r="C7" s="174"/>
      <c r="D7" s="174"/>
      <c r="E7" s="174"/>
      <c r="F7" s="174"/>
      <c r="G7" s="174"/>
      <c r="H7" s="180"/>
      <c r="I7" s="183"/>
      <c r="J7" s="180"/>
      <c r="K7" s="180"/>
      <c r="L7" s="183"/>
      <c r="M7" s="180"/>
      <c r="N7" s="180"/>
      <c r="O7" s="183"/>
      <c r="P7" s="180"/>
      <c r="Q7" s="183"/>
      <c r="R7" s="180"/>
      <c r="S7" s="180"/>
      <c r="T7" s="180"/>
      <c r="U7" s="174"/>
      <c r="V7" s="180"/>
      <c r="W7" s="174"/>
      <c r="X7" s="174"/>
      <c r="Y7" s="174"/>
      <c r="Z7" s="174"/>
      <c r="AA7" s="174"/>
      <c r="AB7" s="177"/>
      <c r="AC7" s="58" t="s">
        <v>3</v>
      </c>
      <c r="AD7" s="101" t="str">
        <f t="shared" ref="AD7:BI7" si="2">IFERROR(INDEX($F$13:$F$386,MATCH(SUM(AD$13:AD$386),AD$13:AD$386,0),1),"")</f>
        <v>15KG설탕(사료용_KPP)</v>
      </c>
      <c r="AE7" s="101" t="str">
        <f t="shared" si="2"/>
        <v>15KG설탕(부리람슈가코리아_사료용)</v>
      </c>
      <c r="AF7" s="101" t="str">
        <f t="shared" si="2"/>
        <v>15KG설탕(사료용_KPP)</v>
      </c>
      <c r="AG7" s="101" t="str">
        <f t="shared" si="2"/>
        <v>15KG설탕(비정제원당_부리람)</v>
      </c>
      <c r="AH7" s="101" t="str">
        <f t="shared" si="2"/>
        <v>15KG설탕(사료용_KPP)</v>
      </c>
      <c r="AI7" s="101" t="str">
        <f t="shared" si="2"/>
        <v>15KG설탕(부리람슈가코리아_사료용)</v>
      </c>
      <c r="AJ7" s="101" t="str">
        <f t="shared" si="2"/>
        <v>15KG설탕(비정제원당)</v>
      </c>
      <c r="AK7" s="101" t="str">
        <f t="shared" si="2"/>
        <v>15KG설탕</v>
      </c>
      <c r="AL7" s="101" t="str">
        <f t="shared" si="2"/>
        <v>15KG설탕(비정제원당)</v>
      </c>
      <c r="AM7" s="101" t="str">
        <f t="shared" si="2"/>
        <v>15KG설탕</v>
      </c>
      <c r="AN7" s="101" t="str">
        <f t="shared" si="2"/>
        <v>15KG설탕(부리람슈가코리아_사료용)</v>
      </c>
      <c r="AO7" s="101" t="str">
        <f t="shared" si="2"/>
        <v>15KG설탕(부리람슈가코리아_사료용)</v>
      </c>
      <c r="AP7" s="101" t="str">
        <f t="shared" si="2"/>
        <v>15KG설탕(부리람슈가코리아_사료용)</v>
      </c>
      <c r="AQ7" s="101" t="str">
        <f t="shared" si="2"/>
        <v>15KG설탕(미미슈가_식품용)</v>
      </c>
      <c r="AR7" s="101" t="str">
        <f t="shared" si="2"/>
        <v>15KG설탕(부리람슈가코리아_사료용)</v>
      </c>
      <c r="AS7" s="101" t="str">
        <f t="shared" si="2"/>
        <v>15KG설탕(미미슈가_식품용)</v>
      </c>
      <c r="AT7" s="101" t="str">
        <f t="shared" si="2"/>
        <v>15KG설탕(비정제원당_부리람)</v>
      </c>
      <c r="AU7" s="101" t="str">
        <f t="shared" si="2"/>
        <v>15KG설탕(부리람슈가코리아_사료용)</v>
      </c>
      <c r="AV7" s="101" t="str">
        <f t="shared" si="2"/>
        <v>15KG설탕(비정제원당_부리람)</v>
      </c>
      <c r="AW7" s="101" t="str">
        <f t="shared" si="2"/>
        <v>15KG설탕(비정제원당_부리람)</v>
      </c>
      <c r="AX7" s="101" t="str">
        <f t="shared" si="2"/>
        <v>15KG설탕(비정제원당_부리람)</v>
      </c>
      <c r="AY7" s="101" t="str">
        <f t="shared" si="2"/>
        <v>15KG설탕(비정제원당_부리람)</v>
      </c>
      <c r="AZ7" s="101" t="str">
        <f t="shared" si="2"/>
        <v>15KG설탕(비정제원당_부리람)</v>
      </c>
      <c r="BA7" s="101" t="str">
        <f t="shared" si="2"/>
        <v>15KG설탕(비정제원당)</v>
      </c>
      <c r="BB7" s="101" t="str">
        <f t="shared" si="2"/>
        <v>15KG설탕(부리람슈가코리아_사료용)</v>
      </c>
      <c r="BC7" s="101" t="str">
        <f t="shared" si="2"/>
        <v>15KG설탕(부리람슈가코리아_사료용)</v>
      </c>
      <c r="BD7" s="101" t="str">
        <f t="shared" si="2"/>
        <v>15KG설탕(부리람슈가코리아_사료용)</v>
      </c>
      <c r="BE7" s="101" t="str">
        <f t="shared" si="2"/>
        <v>15KG설탕(미미슈가_식품용)</v>
      </c>
      <c r="BF7" s="101" t="str">
        <f t="shared" si="2"/>
        <v>15KG설탕(비정제원당_부리람)</v>
      </c>
      <c r="BG7" s="101" t="str">
        <f t="shared" si="2"/>
        <v>15KG설탕(미미슈가_식품용)</v>
      </c>
      <c r="BH7" s="101" t="str">
        <f t="shared" si="2"/>
        <v>15KG설탕(비정제원당)</v>
      </c>
      <c r="BI7" s="101" t="str">
        <f t="shared" si="2"/>
        <v>15KG설탕(부리람슈가코리아_사료용)</v>
      </c>
      <c r="BJ7" s="101" t="str">
        <f t="shared" ref="BJ7:CO7" si="3">IFERROR(INDEX($F$13:$F$386,MATCH(SUM(BJ$13:BJ$386),BJ$13:BJ$386,0),1),"")</f>
        <v>15KG설탕(비정제원당_부리람)</v>
      </c>
      <c r="BK7" s="101" t="str">
        <f t="shared" si="3"/>
        <v>15KG설탕(부리람슈가코리아_사료용)</v>
      </c>
      <c r="BL7" s="101" t="str">
        <f t="shared" si="3"/>
        <v>15KG설탕(미미슈가_식품용)</v>
      </c>
      <c r="BM7" s="101" t="str">
        <f t="shared" si="3"/>
        <v>15KG설탕(미미슈가_식품용)</v>
      </c>
      <c r="BN7" s="101" t="str">
        <f t="shared" si="3"/>
        <v>15KG설탕(미미슈가_식품용)</v>
      </c>
      <c r="BO7" s="101" t="str">
        <f t="shared" si="3"/>
        <v>15KG설탕(미미슈가_식품용)</v>
      </c>
      <c r="BP7" s="101" t="str">
        <f t="shared" si="3"/>
        <v/>
      </c>
      <c r="BQ7" s="101" t="str">
        <f t="shared" si="3"/>
        <v/>
      </c>
      <c r="BR7" s="101" t="str">
        <f t="shared" si="3"/>
        <v/>
      </c>
      <c r="BS7" s="101" t="str">
        <f t="shared" si="3"/>
        <v/>
      </c>
      <c r="BT7" s="101" t="str">
        <f t="shared" si="3"/>
        <v/>
      </c>
      <c r="BU7" s="101" t="str">
        <f t="shared" si="3"/>
        <v/>
      </c>
      <c r="BV7" s="101" t="str">
        <f t="shared" si="3"/>
        <v/>
      </c>
      <c r="BW7" s="101" t="str">
        <f t="shared" si="3"/>
        <v/>
      </c>
      <c r="BX7" s="101" t="str">
        <f t="shared" si="3"/>
        <v/>
      </c>
      <c r="BY7" s="101" t="str">
        <f t="shared" si="3"/>
        <v/>
      </c>
      <c r="BZ7" s="101" t="str">
        <f t="shared" si="3"/>
        <v/>
      </c>
      <c r="CA7" s="101" t="str">
        <f t="shared" si="3"/>
        <v/>
      </c>
      <c r="CB7" s="101" t="str">
        <f t="shared" si="3"/>
        <v/>
      </c>
      <c r="CC7" s="101" t="str">
        <f t="shared" si="3"/>
        <v/>
      </c>
      <c r="CD7" s="101" t="str">
        <f t="shared" si="3"/>
        <v/>
      </c>
      <c r="CE7" s="101" t="str">
        <f t="shared" si="3"/>
        <v/>
      </c>
      <c r="CF7" s="101" t="str">
        <f t="shared" si="3"/>
        <v/>
      </c>
      <c r="CG7" s="101" t="str">
        <f t="shared" si="3"/>
        <v/>
      </c>
      <c r="CH7" s="101" t="str">
        <f t="shared" si="3"/>
        <v/>
      </c>
      <c r="CI7" s="101" t="str">
        <f t="shared" si="3"/>
        <v/>
      </c>
      <c r="CJ7" s="101" t="str">
        <f t="shared" si="3"/>
        <v/>
      </c>
      <c r="CK7" s="101" t="str">
        <f t="shared" si="3"/>
        <v/>
      </c>
      <c r="CL7" s="101" t="str">
        <f t="shared" si="3"/>
        <v/>
      </c>
      <c r="CM7" s="101" t="str">
        <f t="shared" si="3"/>
        <v/>
      </c>
      <c r="CN7" s="101" t="str">
        <f t="shared" si="3"/>
        <v/>
      </c>
      <c r="CO7" s="101" t="str">
        <f t="shared" si="3"/>
        <v/>
      </c>
      <c r="CP7" s="101" t="str">
        <f t="shared" ref="CP7:DQ7" si="4">IFERROR(INDEX($F$13:$F$386,MATCH(SUM(CP$13:CP$386),CP$13:CP$386,0),1),"")</f>
        <v/>
      </c>
      <c r="CQ7" s="101" t="str">
        <f t="shared" si="4"/>
        <v/>
      </c>
      <c r="CR7" s="101" t="str">
        <f t="shared" si="4"/>
        <v/>
      </c>
      <c r="CS7" s="101" t="str">
        <f t="shared" si="4"/>
        <v/>
      </c>
      <c r="CT7" s="101" t="str">
        <f t="shared" si="4"/>
        <v/>
      </c>
      <c r="CU7" s="101" t="str">
        <f t="shared" si="4"/>
        <v/>
      </c>
      <c r="CV7" s="101" t="str">
        <f t="shared" si="4"/>
        <v/>
      </c>
      <c r="CW7" s="101" t="str">
        <f t="shared" si="4"/>
        <v/>
      </c>
      <c r="CX7" s="101" t="str">
        <f t="shared" si="4"/>
        <v/>
      </c>
      <c r="CY7" s="101" t="str">
        <f t="shared" si="4"/>
        <v/>
      </c>
      <c r="CZ7" s="101" t="str">
        <f t="shared" si="4"/>
        <v/>
      </c>
      <c r="DA7" s="101" t="str">
        <f t="shared" si="4"/>
        <v/>
      </c>
      <c r="DB7" s="101" t="str">
        <f t="shared" si="4"/>
        <v/>
      </c>
      <c r="DC7" s="101" t="str">
        <f t="shared" si="4"/>
        <v/>
      </c>
      <c r="DD7" s="101" t="str">
        <f t="shared" si="4"/>
        <v/>
      </c>
      <c r="DE7" s="101" t="str">
        <f t="shared" si="4"/>
        <v/>
      </c>
      <c r="DF7" s="101" t="str">
        <f t="shared" si="4"/>
        <v/>
      </c>
      <c r="DG7" s="101" t="str">
        <f t="shared" si="4"/>
        <v/>
      </c>
      <c r="DH7" s="101" t="str">
        <f t="shared" si="4"/>
        <v/>
      </c>
      <c r="DI7" s="101" t="str">
        <f t="shared" si="4"/>
        <v/>
      </c>
      <c r="DJ7" s="101" t="str">
        <f t="shared" si="4"/>
        <v/>
      </c>
      <c r="DK7" s="101" t="str">
        <f t="shared" si="4"/>
        <v/>
      </c>
      <c r="DL7" s="101" t="str">
        <f t="shared" si="4"/>
        <v/>
      </c>
      <c r="DM7" s="101" t="str">
        <f t="shared" si="4"/>
        <v/>
      </c>
      <c r="DN7" s="101" t="str">
        <f t="shared" si="4"/>
        <v/>
      </c>
      <c r="DO7" s="101" t="str">
        <f t="shared" si="4"/>
        <v/>
      </c>
      <c r="DP7" s="101" t="str">
        <f t="shared" si="4"/>
        <v/>
      </c>
      <c r="DQ7" s="101" t="str">
        <f t="shared" si="4"/>
        <v/>
      </c>
    </row>
    <row r="8" spans="2:121" ht="15" customHeight="1">
      <c r="B8" s="188"/>
      <c r="C8" s="174"/>
      <c r="D8" s="174"/>
      <c r="E8" s="174"/>
      <c r="F8" s="174"/>
      <c r="G8" s="174"/>
      <c r="H8" s="180"/>
      <c r="I8" s="183"/>
      <c r="J8" s="180"/>
      <c r="K8" s="180"/>
      <c r="L8" s="183"/>
      <c r="M8" s="180"/>
      <c r="N8" s="180"/>
      <c r="O8" s="183"/>
      <c r="P8" s="180"/>
      <c r="Q8" s="183"/>
      <c r="R8" s="180"/>
      <c r="S8" s="180"/>
      <c r="T8" s="180"/>
      <c r="U8" s="174"/>
      <c r="V8" s="180"/>
      <c r="W8" s="174"/>
      <c r="X8" s="174"/>
      <c r="Y8" s="174"/>
      <c r="Z8" s="174"/>
      <c r="AA8" s="174"/>
      <c r="AB8" s="177"/>
      <c r="AC8" s="59" t="s">
        <v>4</v>
      </c>
      <c r="AD8" s="48">
        <f t="shared" ref="AD8:BI8" si="5">IFERROR(SUM(AD$13:AD$386),"")</f>
        <v>1728</v>
      </c>
      <c r="AE8" s="48">
        <f t="shared" si="5"/>
        <v>1728</v>
      </c>
      <c r="AF8" s="48">
        <f t="shared" si="5"/>
        <v>504</v>
      </c>
      <c r="AG8" s="48">
        <f t="shared" si="5"/>
        <v>288</v>
      </c>
      <c r="AH8" s="48">
        <f t="shared" si="5"/>
        <v>504</v>
      </c>
      <c r="AI8" s="48">
        <f t="shared" si="5"/>
        <v>504</v>
      </c>
      <c r="AJ8" s="48">
        <f t="shared" si="5"/>
        <v>1296</v>
      </c>
      <c r="AK8" s="48">
        <f t="shared" si="5"/>
        <v>1728</v>
      </c>
      <c r="AL8" s="48">
        <f t="shared" si="5"/>
        <v>864</v>
      </c>
      <c r="AM8" s="48">
        <f t="shared" si="5"/>
        <v>3</v>
      </c>
      <c r="AN8" s="48">
        <f t="shared" si="5"/>
        <v>720</v>
      </c>
      <c r="AO8" s="48">
        <f t="shared" si="5"/>
        <v>1728</v>
      </c>
      <c r="AP8" s="48">
        <f t="shared" si="5"/>
        <v>864</v>
      </c>
      <c r="AQ8" s="48">
        <f t="shared" si="5"/>
        <v>1728</v>
      </c>
      <c r="AR8" s="48">
        <f t="shared" si="5"/>
        <v>576</v>
      </c>
      <c r="AS8" s="48">
        <f t="shared" si="5"/>
        <v>1728</v>
      </c>
      <c r="AT8" s="48">
        <f t="shared" si="5"/>
        <v>504</v>
      </c>
      <c r="AU8" s="48">
        <f t="shared" si="5"/>
        <v>504</v>
      </c>
      <c r="AV8" s="48">
        <f t="shared" si="5"/>
        <v>6</v>
      </c>
      <c r="AW8" s="48">
        <f t="shared" si="5"/>
        <v>864</v>
      </c>
      <c r="AX8" s="48">
        <f t="shared" si="5"/>
        <v>51</v>
      </c>
      <c r="AY8" s="48">
        <f t="shared" si="5"/>
        <v>21</v>
      </c>
      <c r="AZ8" s="48">
        <f t="shared" si="5"/>
        <v>360</v>
      </c>
      <c r="BA8" s="48">
        <f t="shared" si="5"/>
        <v>72</v>
      </c>
      <c r="BB8" s="48">
        <f t="shared" si="5"/>
        <v>720</v>
      </c>
      <c r="BC8" s="48">
        <f t="shared" si="5"/>
        <v>1728</v>
      </c>
      <c r="BD8" s="48">
        <f t="shared" si="5"/>
        <v>2</v>
      </c>
      <c r="BE8" s="48">
        <f t="shared" si="5"/>
        <v>792</v>
      </c>
      <c r="BF8" s="48">
        <f t="shared" si="5"/>
        <v>72</v>
      </c>
      <c r="BG8" s="48">
        <f t="shared" si="5"/>
        <v>1728</v>
      </c>
      <c r="BH8" s="48">
        <f t="shared" si="5"/>
        <v>1296</v>
      </c>
      <c r="BI8" s="48">
        <f t="shared" si="5"/>
        <v>504</v>
      </c>
      <c r="BJ8" s="48">
        <f t="shared" ref="BJ8:CO8" si="6">IFERROR(SUM(BJ$13:BJ$386),"")</f>
        <v>1296</v>
      </c>
      <c r="BK8" s="48">
        <f t="shared" si="6"/>
        <v>1728</v>
      </c>
      <c r="BL8" s="48">
        <f t="shared" si="6"/>
        <v>1540</v>
      </c>
      <c r="BM8" s="48">
        <f t="shared" si="6"/>
        <v>1540</v>
      </c>
      <c r="BN8" s="48">
        <f t="shared" si="6"/>
        <v>1540</v>
      </c>
      <c r="BO8" s="48">
        <f t="shared" si="6"/>
        <v>6160</v>
      </c>
      <c r="BP8" s="48">
        <f t="shared" si="6"/>
        <v>0</v>
      </c>
      <c r="BQ8" s="48">
        <f t="shared" si="6"/>
        <v>0</v>
      </c>
      <c r="BR8" s="48">
        <f t="shared" si="6"/>
        <v>0</v>
      </c>
      <c r="BS8" s="48">
        <f t="shared" si="6"/>
        <v>0</v>
      </c>
      <c r="BT8" s="48">
        <f t="shared" si="6"/>
        <v>0</v>
      </c>
      <c r="BU8" s="48">
        <f t="shared" si="6"/>
        <v>0</v>
      </c>
      <c r="BV8" s="48">
        <f t="shared" si="6"/>
        <v>0</v>
      </c>
      <c r="BW8" s="48">
        <f t="shared" si="6"/>
        <v>0</v>
      </c>
      <c r="BX8" s="48">
        <f t="shared" si="6"/>
        <v>0</v>
      </c>
      <c r="BY8" s="48">
        <f t="shared" si="6"/>
        <v>0</v>
      </c>
      <c r="BZ8" s="48">
        <f t="shared" si="6"/>
        <v>0</v>
      </c>
      <c r="CA8" s="48">
        <f t="shared" si="6"/>
        <v>0</v>
      </c>
      <c r="CB8" s="48">
        <f t="shared" si="6"/>
        <v>0</v>
      </c>
      <c r="CC8" s="48">
        <f t="shared" si="6"/>
        <v>0</v>
      </c>
      <c r="CD8" s="48">
        <f t="shared" si="6"/>
        <v>0</v>
      </c>
      <c r="CE8" s="48">
        <f t="shared" si="6"/>
        <v>0</v>
      </c>
      <c r="CF8" s="48">
        <f t="shared" si="6"/>
        <v>0</v>
      </c>
      <c r="CG8" s="48">
        <f t="shared" si="6"/>
        <v>0</v>
      </c>
      <c r="CH8" s="48">
        <f t="shared" si="6"/>
        <v>0</v>
      </c>
      <c r="CI8" s="48">
        <f t="shared" si="6"/>
        <v>0</v>
      </c>
      <c r="CJ8" s="48">
        <f t="shared" si="6"/>
        <v>0</v>
      </c>
      <c r="CK8" s="48">
        <f t="shared" si="6"/>
        <v>0</v>
      </c>
      <c r="CL8" s="48">
        <f t="shared" si="6"/>
        <v>0</v>
      </c>
      <c r="CM8" s="48">
        <f t="shared" si="6"/>
        <v>0</v>
      </c>
      <c r="CN8" s="48">
        <f t="shared" si="6"/>
        <v>0</v>
      </c>
      <c r="CO8" s="48">
        <f t="shared" si="6"/>
        <v>0</v>
      </c>
      <c r="CP8" s="48">
        <f t="shared" ref="CP8:DQ8" si="7">IFERROR(SUM(CP$13:CP$386),"")</f>
        <v>0</v>
      </c>
      <c r="CQ8" s="48">
        <f t="shared" si="7"/>
        <v>0</v>
      </c>
      <c r="CR8" s="48">
        <f t="shared" si="7"/>
        <v>0</v>
      </c>
      <c r="CS8" s="48">
        <f t="shared" si="7"/>
        <v>0</v>
      </c>
      <c r="CT8" s="48">
        <f t="shared" si="7"/>
        <v>0</v>
      </c>
      <c r="CU8" s="48">
        <f t="shared" si="7"/>
        <v>0</v>
      </c>
      <c r="CV8" s="48">
        <f t="shared" si="7"/>
        <v>0</v>
      </c>
      <c r="CW8" s="48">
        <f t="shared" si="7"/>
        <v>0</v>
      </c>
      <c r="CX8" s="48">
        <f t="shared" si="7"/>
        <v>0</v>
      </c>
      <c r="CY8" s="48">
        <f t="shared" si="7"/>
        <v>0</v>
      </c>
      <c r="CZ8" s="48">
        <f t="shared" si="7"/>
        <v>0</v>
      </c>
      <c r="DA8" s="48">
        <f t="shared" si="7"/>
        <v>0</v>
      </c>
      <c r="DB8" s="48">
        <f t="shared" si="7"/>
        <v>0</v>
      </c>
      <c r="DC8" s="48">
        <f t="shared" si="7"/>
        <v>0</v>
      </c>
      <c r="DD8" s="48">
        <f t="shared" si="7"/>
        <v>0</v>
      </c>
      <c r="DE8" s="48">
        <f t="shared" si="7"/>
        <v>0</v>
      </c>
      <c r="DF8" s="48">
        <f t="shared" si="7"/>
        <v>0</v>
      </c>
      <c r="DG8" s="48">
        <f t="shared" si="7"/>
        <v>0</v>
      </c>
      <c r="DH8" s="48">
        <f t="shared" si="7"/>
        <v>0</v>
      </c>
      <c r="DI8" s="48">
        <f t="shared" si="7"/>
        <v>0</v>
      </c>
      <c r="DJ8" s="48">
        <f t="shared" si="7"/>
        <v>0</v>
      </c>
      <c r="DK8" s="48">
        <f t="shared" si="7"/>
        <v>0</v>
      </c>
      <c r="DL8" s="48">
        <f t="shared" si="7"/>
        <v>0</v>
      </c>
      <c r="DM8" s="48">
        <f t="shared" si="7"/>
        <v>0</v>
      </c>
      <c r="DN8" s="48">
        <f t="shared" si="7"/>
        <v>0</v>
      </c>
      <c r="DO8" s="48">
        <f t="shared" si="7"/>
        <v>0</v>
      </c>
      <c r="DP8" s="48">
        <f t="shared" si="7"/>
        <v>0</v>
      </c>
      <c r="DQ8" s="48">
        <f t="shared" si="7"/>
        <v>0</v>
      </c>
    </row>
    <row r="9" spans="2:121" ht="15" customHeight="1">
      <c r="B9" s="188"/>
      <c r="C9" s="174"/>
      <c r="D9" s="174"/>
      <c r="E9" s="174"/>
      <c r="F9" s="174"/>
      <c r="G9" s="174"/>
      <c r="H9" s="180"/>
      <c r="I9" s="183"/>
      <c r="J9" s="180"/>
      <c r="K9" s="180"/>
      <c r="L9" s="183"/>
      <c r="M9" s="180"/>
      <c r="N9" s="180"/>
      <c r="O9" s="183"/>
      <c r="P9" s="180"/>
      <c r="Q9" s="183"/>
      <c r="R9" s="180"/>
      <c r="S9" s="180"/>
      <c r="T9" s="180"/>
      <c r="U9" s="174"/>
      <c r="V9" s="180"/>
      <c r="W9" s="174"/>
      <c r="X9" s="174"/>
      <c r="Y9" s="174"/>
      <c r="Z9" s="174"/>
      <c r="AA9" s="174"/>
      <c r="AB9" s="177"/>
      <c r="AC9" s="58" t="s">
        <v>5</v>
      </c>
      <c r="AD9" s="20">
        <f t="shared" ref="AD9:AX9" si="8">IFERROR(ROUNDUP((SUM(AD13:AD386)/IFERROR(INDEX($V$13:$V$386,MATCH(SUM(AD$13:AD$386),AD$13:AD$386,0),1),"")),0),"")</f>
        <v>24</v>
      </c>
      <c r="AE9" s="20">
        <f t="shared" si="8"/>
        <v>24</v>
      </c>
      <c r="AF9" s="20">
        <f t="shared" si="8"/>
        <v>7</v>
      </c>
      <c r="AG9" s="20">
        <f t="shared" si="8"/>
        <v>4</v>
      </c>
      <c r="AH9" s="20">
        <f t="shared" si="8"/>
        <v>7</v>
      </c>
      <c r="AI9" s="20">
        <f t="shared" si="8"/>
        <v>7</v>
      </c>
      <c r="AJ9" s="20">
        <f t="shared" si="8"/>
        <v>18</v>
      </c>
      <c r="AK9" s="20">
        <f t="shared" si="8"/>
        <v>24</v>
      </c>
      <c r="AL9" s="20">
        <f t="shared" si="8"/>
        <v>12</v>
      </c>
      <c r="AM9" s="20">
        <f t="shared" si="8"/>
        <v>1</v>
      </c>
      <c r="AN9" s="20">
        <f t="shared" si="8"/>
        <v>10</v>
      </c>
      <c r="AO9" s="20">
        <f t="shared" si="8"/>
        <v>24</v>
      </c>
      <c r="AP9" s="20">
        <f t="shared" si="8"/>
        <v>12</v>
      </c>
      <c r="AQ9" s="20">
        <f t="shared" si="8"/>
        <v>24</v>
      </c>
      <c r="AR9" s="20">
        <f t="shared" si="8"/>
        <v>8</v>
      </c>
      <c r="AS9" s="20">
        <f t="shared" si="8"/>
        <v>24</v>
      </c>
      <c r="AT9" s="20">
        <f t="shared" si="8"/>
        <v>7</v>
      </c>
      <c r="AU9" s="20">
        <f t="shared" si="8"/>
        <v>7</v>
      </c>
      <c r="AV9" s="20">
        <f t="shared" si="8"/>
        <v>1</v>
      </c>
      <c r="AW9" s="20">
        <f t="shared" si="8"/>
        <v>12</v>
      </c>
      <c r="AX9" s="20">
        <f t="shared" si="8"/>
        <v>1</v>
      </c>
      <c r="AY9" s="20">
        <v>0</v>
      </c>
      <c r="AZ9" s="20">
        <f>IFERROR(ROUNDUP((SUM(AZ13:AZ386)/IFERROR(INDEX($V$13:$V$386,MATCH(SUM(AZ$13:AZ$386),AZ$13:AZ$386,0),1),"")),0),"")</f>
        <v>5</v>
      </c>
      <c r="BA9" s="20">
        <f>IFERROR(ROUNDUP((SUM(BA13:BA386)/IFERROR(INDEX($V$13:$V$386,MATCH(SUM(BA$13:BA$386),BA$13:BA$386,0),1),"")),0),"")</f>
        <v>1</v>
      </c>
      <c r="BB9" s="20">
        <f>IFERROR(ROUNDUP((SUM(BB13:BB386)/IFERROR(INDEX($V$13:$V$386,MATCH(SUM(BB$13:BB$386),BB$13:BB$386,0),1),"")),0),"")</f>
        <v>10</v>
      </c>
      <c r="BC9" s="20">
        <f>IFERROR(ROUNDUP((SUM(BC13:BC386)/IFERROR(INDEX($V$13:$V$386,MATCH(SUM(BC$13:BC$386),BC$13:BC$386,0),1),"")),0),"")</f>
        <v>24</v>
      </c>
      <c r="BD9" s="20">
        <v>0</v>
      </c>
      <c r="BE9" s="20">
        <f t="shared" ref="BE9:CJ9" si="9">IFERROR(ROUNDUP((SUM(BE13:BE386)/IFERROR(INDEX($V$13:$V$386,MATCH(SUM(BE$13:BE$386),BE$13:BE$386,0),1),"")),0),"")</f>
        <v>11</v>
      </c>
      <c r="BF9" s="20">
        <f t="shared" si="9"/>
        <v>1</v>
      </c>
      <c r="BG9" s="20">
        <f t="shared" si="9"/>
        <v>24</v>
      </c>
      <c r="BH9" s="20">
        <f t="shared" si="9"/>
        <v>18</v>
      </c>
      <c r="BI9" s="20">
        <f t="shared" si="9"/>
        <v>7</v>
      </c>
      <c r="BJ9" s="20">
        <f t="shared" si="9"/>
        <v>18</v>
      </c>
      <c r="BK9" s="20">
        <f t="shared" si="9"/>
        <v>24</v>
      </c>
      <c r="BL9" s="20">
        <f t="shared" si="9"/>
        <v>22</v>
      </c>
      <c r="BM9" s="20">
        <f t="shared" si="9"/>
        <v>22</v>
      </c>
      <c r="BN9" s="20">
        <f t="shared" si="9"/>
        <v>22</v>
      </c>
      <c r="BO9" s="20">
        <f t="shared" si="9"/>
        <v>86</v>
      </c>
      <c r="BP9" s="20" t="str">
        <f t="shared" si="9"/>
        <v/>
      </c>
      <c r="BQ9" s="20" t="str">
        <f t="shared" si="9"/>
        <v/>
      </c>
      <c r="BR9" s="20" t="str">
        <f t="shared" si="9"/>
        <v/>
      </c>
      <c r="BS9" s="20" t="str">
        <f t="shared" si="9"/>
        <v/>
      </c>
      <c r="BT9" s="20" t="str">
        <f t="shared" si="9"/>
        <v/>
      </c>
      <c r="BU9" s="20" t="str">
        <f t="shared" si="9"/>
        <v/>
      </c>
      <c r="BV9" s="20" t="str">
        <f t="shared" si="9"/>
        <v/>
      </c>
      <c r="BW9" s="20" t="str">
        <f t="shared" si="9"/>
        <v/>
      </c>
      <c r="BX9" s="20" t="str">
        <f t="shared" si="9"/>
        <v/>
      </c>
      <c r="BY9" s="20" t="str">
        <f t="shared" si="9"/>
        <v/>
      </c>
      <c r="BZ9" s="20" t="str">
        <f t="shared" si="9"/>
        <v/>
      </c>
      <c r="CA9" s="20" t="str">
        <f t="shared" si="9"/>
        <v/>
      </c>
      <c r="CB9" s="20" t="str">
        <f t="shared" si="9"/>
        <v/>
      </c>
      <c r="CC9" s="20" t="str">
        <f t="shared" si="9"/>
        <v/>
      </c>
      <c r="CD9" s="20" t="str">
        <f t="shared" si="9"/>
        <v/>
      </c>
      <c r="CE9" s="20" t="str">
        <f t="shared" si="9"/>
        <v/>
      </c>
      <c r="CF9" s="20" t="str">
        <f t="shared" si="9"/>
        <v/>
      </c>
      <c r="CG9" s="20" t="str">
        <f t="shared" si="9"/>
        <v/>
      </c>
      <c r="CH9" s="20" t="str">
        <f t="shared" si="9"/>
        <v/>
      </c>
      <c r="CI9" s="20" t="str">
        <f t="shared" si="9"/>
        <v/>
      </c>
      <c r="CJ9" s="20" t="str">
        <f t="shared" si="9"/>
        <v/>
      </c>
      <c r="CK9" s="20" t="str">
        <f t="shared" ref="CK9:DQ9" si="10">IFERROR(ROUNDUP((SUM(CK13:CK386)/IFERROR(INDEX($V$13:$V$386,MATCH(SUM(CK$13:CK$386),CK$13:CK$386,0),1),"")),0),"")</f>
        <v/>
      </c>
      <c r="CL9" s="20" t="str">
        <f t="shared" si="10"/>
        <v/>
      </c>
      <c r="CM9" s="20" t="str">
        <f t="shared" si="10"/>
        <v/>
      </c>
      <c r="CN9" s="20" t="str">
        <f t="shared" si="10"/>
        <v/>
      </c>
      <c r="CO9" s="20" t="str">
        <f t="shared" si="10"/>
        <v/>
      </c>
      <c r="CP9" s="20" t="str">
        <f t="shared" si="10"/>
        <v/>
      </c>
      <c r="CQ9" s="20" t="str">
        <f t="shared" si="10"/>
        <v/>
      </c>
      <c r="CR9" s="20" t="str">
        <f t="shared" si="10"/>
        <v/>
      </c>
      <c r="CS9" s="20" t="str">
        <f t="shared" si="10"/>
        <v/>
      </c>
      <c r="CT9" s="20" t="str">
        <f t="shared" si="10"/>
        <v/>
      </c>
      <c r="CU9" s="20" t="str">
        <f t="shared" si="10"/>
        <v/>
      </c>
      <c r="CV9" s="20" t="str">
        <f t="shared" si="10"/>
        <v/>
      </c>
      <c r="CW9" s="20" t="str">
        <f t="shared" si="10"/>
        <v/>
      </c>
      <c r="CX9" s="20" t="str">
        <f t="shared" si="10"/>
        <v/>
      </c>
      <c r="CY9" s="20" t="str">
        <f t="shared" si="10"/>
        <v/>
      </c>
      <c r="CZ9" s="20" t="str">
        <f t="shared" si="10"/>
        <v/>
      </c>
      <c r="DA9" s="20" t="str">
        <f t="shared" si="10"/>
        <v/>
      </c>
      <c r="DB9" s="20" t="str">
        <f t="shared" si="10"/>
        <v/>
      </c>
      <c r="DC9" s="20" t="str">
        <f t="shared" si="10"/>
        <v/>
      </c>
      <c r="DD9" s="20" t="str">
        <f t="shared" si="10"/>
        <v/>
      </c>
      <c r="DE9" s="20" t="str">
        <f t="shared" si="10"/>
        <v/>
      </c>
      <c r="DF9" s="20" t="str">
        <f t="shared" si="10"/>
        <v/>
      </c>
      <c r="DG9" s="20" t="str">
        <f t="shared" si="10"/>
        <v/>
      </c>
      <c r="DH9" s="20" t="str">
        <f t="shared" si="10"/>
        <v/>
      </c>
      <c r="DI9" s="20" t="str">
        <f t="shared" si="10"/>
        <v/>
      </c>
      <c r="DJ9" s="20" t="str">
        <f t="shared" si="10"/>
        <v/>
      </c>
      <c r="DK9" s="20" t="str">
        <f t="shared" si="10"/>
        <v/>
      </c>
      <c r="DL9" s="20" t="str">
        <f t="shared" si="10"/>
        <v/>
      </c>
      <c r="DM9" s="20" t="str">
        <f t="shared" si="10"/>
        <v/>
      </c>
      <c r="DN9" s="20" t="str">
        <f t="shared" si="10"/>
        <v/>
      </c>
      <c r="DO9" s="20" t="str">
        <f t="shared" si="10"/>
        <v/>
      </c>
      <c r="DP9" s="20" t="str">
        <f t="shared" si="10"/>
        <v/>
      </c>
      <c r="DQ9" s="20" t="str">
        <f t="shared" si="10"/>
        <v/>
      </c>
    </row>
    <row r="10" spans="2:121" ht="15" customHeight="1">
      <c r="B10" s="188"/>
      <c r="C10" s="174"/>
      <c r="D10" s="174"/>
      <c r="E10" s="174"/>
      <c r="F10" s="174"/>
      <c r="G10" s="174"/>
      <c r="H10" s="180"/>
      <c r="I10" s="183"/>
      <c r="J10" s="180"/>
      <c r="K10" s="180"/>
      <c r="L10" s="183"/>
      <c r="M10" s="180"/>
      <c r="N10" s="180"/>
      <c r="O10" s="183"/>
      <c r="P10" s="180"/>
      <c r="Q10" s="183"/>
      <c r="R10" s="180"/>
      <c r="S10" s="180"/>
      <c r="T10" s="180"/>
      <c r="U10" s="174"/>
      <c r="V10" s="180"/>
      <c r="W10" s="174"/>
      <c r="X10" s="174"/>
      <c r="Y10" s="174"/>
      <c r="Z10" s="174"/>
      <c r="AA10" s="174"/>
      <c r="AB10" s="177"/>
      <c r="AC10" s="58" t="s">
        <v>6</v>
      </c>
      <c r="AD10" s="17">
        <f t="shared" ref="AD10:BI10" si="11">IFERROR(INDEX($W$13:$W$386,MATCH(SUM(AD$13:AD$386),AD$13:AD$386,0),1),"")</f>
        <v>46212</v>
      </c>
      <c r="AE10" s="17">
        <f t="shared" si="11"/>
        <v>46227</v>
      </c>
      <c r="AF10" s="17">
        <f t="shared" si="11"/>
        <v>46212</v>
      </c>
      <c r="AG10" s="17">
        <f t="shared" si="11"/>
        <v>46223</v>
      </c>
      <c r="AH10" s="17">
        <f t="shared" si="11"/>
        <v>46212</v>
      </c>
      <c r="AI10" s="17">
        <f t="shared" si="11"/>
        <v>46227</v>
      </c>
      <c r="AJ10" s="17">
        <f t="shared" si="11"/>
        <v>46244</v>
      </c>
      <c r="AK10" s="17">
        <f t="shared" si="11"/>
        <v>46211</v>
      </c>
      <c r="AL10" s="17">
        <f t="shared" si="11"/>
        <v>46244</v>
      </c>
      <c r="AM10" s="17">
        <f t="shared" si="11"/>
        <v>46211</v>
      </c>
      <c r="AN10" s="17">
        <f t="shared" si="11"/>
        <v>46227</v>
      </c>
      <c r="AO10" s="17">
        <f t="shared" si="11"/>
        <v>46227</v>
      </c>
      <c r="AP10" s="17">
        <f t="shared" si="11"/>
        <v>46227</v>
      </c>
      <c r="AQ10" s="17">
        <f t="shared" si="11"/>
        <v>46228</v>
      </c>
      <c r="AR10" s="17">
        <f t="shared" si="11"/>
        <v>46227</v>
      </c>
      <c r="AS10" s="17">
        <f t="shared" si="11"/>
        <v>46228</v>
      </c>
      <c r="AT10" s="17">
        <f t="shared" si="11"/>
        <v>46223</v>
      </c>
      <c r="AU10" s="17">
        <f t="shared" si="11"/>
        <v>46227</v>
      </c>
      <c r="AV10" s="17">
        <f t="shared" si="11"/>
        <v>46223</v>
      </c>
      <c r="AW10" s="17">
        <f t="shared" si="11"/>
        <v>46223</v>
      </c>
      <c r="AX10" s="17">
        <f t="shared" si="11"/>
        <v>46223</v>
      </c>
      <c r="AY10" s="17">
        <f t="shared" si="11"/>
        <v>46251</v>
      </c>
      <c r="AZ10" s="17">
        <f t="shared" si="11"/>
        <v>46251</v>
      </c>
      <c r="BA10" s="17">
        <f t="shared" si="11"/>
        <v>46244</v>
      </c>
      <c r="BB10" s="17">
        <f t="shared" si="11"/>
        <v>46227</v>
      </c>
      <c r="BC10" s="17">
        <f t="shared" si="11"/>
        <v>46227</v>
      </c>
      <c r="BD10" s="17">
        <f t="shared" si="11"/>
        <v>46227</v>
      </c>
      <c r="BE10" s="17">
        <f t="shared" si="11"/>
        <v>46228</v>
      </c>
      <c r="BF10" s="17">
        <f t="shared" si="11"/>
        <v>46251</v>
      </c>
      <c r="BG10" s="17">
        <f t="shared" si="11"/>
        <v>46228</v>
      </c>
      <c r="BH10" s="17">
        <f t="shared" si="11"/>
        <v>46244</v>
      </c>
      <c r="BI10" s="17">
        <f t="shared" si="11"/>
        <v>46227</v>
      </c>
      <c r="BJ10" s="17">
        <f t="shared" ref="BJ10:CO10" si="12">IFERROR(INDEX($W$13:$W$386,MATCH(SUM(BJ$13:BJ$386),BJ$13:BJ$386,0),1),"")</f>
        <v>46251</v>
      </c>
      <c r="BK10" s="17">
        <f t="shared" si="12"/>
        <v>46227</v>
      </c>
      <c r="BL10" s="17">
        <f t="shared" si="12"/>
        <v>46246</v>
      </c>
      <c r="BM10" s="17">
        <f t="shared" si="12"/>
        <v>46246</v>
      </c>
      <c r="BN10" s="17">
        <f t="shared" si="12"/>
        <v>46246</v>
      </c>
      <c r="BO10" s="17">
        <f t="shared" si="12"/>
        <v>46246</v>
      </c>
      <c r="BP10" s="17" t="str">
        <f t="shared" si="12"/>
        <v/>
      </c>
      <c r="BQ10" s="17" t="str">
        <f t="shared" si="12"/>
        <v/>
      </c>
      <c r="BR10" s="17" t="str">
        <f t="shared" si="12"/>
        <v/>
      </c>
      <c r="BS10" s="17" t="str">
        <f t="shared" si="12"/>
        <v/>
      </c>
      <c r="BT10" s="17" t="str">
        <f t="shared" si="12"/>
        <v/>
      </c>
      <c r="BU10" s="17" t="str">
        <f t="shared" si="12"/>
        <v/>
      </c>
      <c r="BV10" s="17" t="str">
        <f t="shared" si="12"/>
        <v/>
      </c>
      <c r="BW10" s="17" t="str">
        <f t="shared" si="12"/>
        <v/>
      </c>
      <c r="BX10" s="17" t="str">
        <f t="shared" si="12"/>
        <v/>
      </c>
      <c r="BY10" s="17" t="str">
        <f t="shared" si="12"/>
        <v/>
      </c>
      <c r="BZ10" s="17" t="str">
        <f t="shared" si="12"/>
        <v/>
      </c>
      <c r="CA10" s="17" t="str">
        <f t="shared" si="12"/>
        <v/>
      </c>
      <c r="CB10" s="17" t="str">
        <f t="shared" si="12"/>
        <v/>
      </c>
      <c r="CC10" s="17" t="str">
        <f t="shared" si="12"/>
        <v/>
      </c>
      <c r="CD10" s="17" t="str">
        <f t="shared" si="12"/>
        <v/>
      </c>
      <c r="CE10" s="17" t="str">
        <f t="shared" si="12"/>
        <v/>
      </c>
      <c r="CF10" s="17" t="str">
        <f t="shared" si="12"/>
        <v/>
      </c>
      <c r="CG10" s="17" t="str">
        <f t="shared" si="12"/>
        <v/>
      </c>
      <c r="CH10" s="17" t="str">
        <f t="shared" si="12"/>
        <v/>
      </c>
      <c r="CI10" s="17" t="str">
        <f t="shared" si="12"/>
        <v/>
      </c>
      <c r="CJ10" s="17" t="str">
        <f t="shared" si="12"/>
        <v/>
      </c>
      <c r="CK10" s="17" t="str">
        <f t="shared" si="12"/>
        <v/>
      </c>
      <c r="CL10" s="17" t="str">
        <f t="shared" si="12"/>
        <v/>
      </c>
      <c r="CM10" s="17" t="str">
        <f t="shared" si="12"/>
        <v/>
      </c>
      <c r="CN10" s="17" t="str">
        <f t="shared" si="12"/>
        <v/>
      </c>
      <c r="CO10" s="17" t="str">
        <f t="shared" si="12"/>
        <v/>
      </c>
      <c r="CP10" s="17" t="str">
        <f t="shared" ref="CP10:DQ10" si="13">IFERROR(INDEX($W$13:$W$386,MATCH(SUM(CP$13:CP$386),CP$13:CP$386,0),1),"")</f>
        <v/>
      </c>
      <c r="CQ10" s="17" t="str">
        <f t="shared" si="13"/>
        <v/>
      </c>
      <c r="CR10" s="17" t="str">
        <f t="shared" si="13"/>
        <v/>
      </c>
      <c r="CS10" s="17" t="str">
        <f t="shared" si="13"/>
        <v/>
      </c>
      <c r="CT10" s="17" t="str">
        <f t="shared" si="13"/>
        <v/>
      </c>
      <c r="CU10" s="17" t="str">
        <f t="shared" si="13"/>
        <v/>
      </c>
      <c r="CV10" s="17" t="str">
        <f t="shared" si="13"/>
        <v/>
      </c>
      <c r="CW10" s="17" t="str">
        <f t="shared" si="13"/>
        <v/>
      </c>
      <c r="CX10" s="17" t="str">
        <f t="shared" si="13"/>
        <v/>
      </c>
      <c r="CY10" s="17" t="str">
        <f t="shared" si="13"/>
        <v/>
      </c>
      <c r="CZ10" s="17" t="str">
        <f t="shared" si="13"/>
        <v/>
      </c>
      <c r="DA10" s="17" t="str">
        <f t="shared" si="13"/>
        <v/>
      </c>
      <c r="DB10" s="17" t="str">
        <f t="shared" si="13"/>
        <v/>
      </c>
      <c r="DC10" s="17" t="str">
        <f t="shared" si="13"/>
        <v/>
      </c>
      <c r="DD10" s="17" t="str">
        <f t="shared" si="13"/>
        <v/>
      </c>
      <c r="DE10" s="17" t="str">
        <f t="shared" si="13"/>
        <v/>
      </c>
      <c r="DF10" s="17" t="str">
        <f t="shared" si="13"/>
        <v/>
      </c>
      <c r="DG10" s="17" t="str">
        <f t="shared" si="13"/>
        <v/>
      </c>
      <c r="DH10" s="17" t="str">
        <f t="shared" si="13"/>
        <v/>
      </c>
      <c r="DI10" s="17" t="str">
        <f t="shared" si="13"/>
        <v/>
      </c>
      <c r="DJ10" s="17" t="str">
        <f t="shared" si="13"/>
        <v/>
      </c>
      <c r="DK10" s="17" t="str">
        <f t="shared" si="13"/>
        <v/>
      </c>
      <c r="DL10" s="17" t="str">
        <f t="shared" si="13"/>
        <v/>
      </c>
      <c r="DM10" s="17" t="str">
        <f t="shared" si="13"/>
        <v/>
      </c>
      <c r="DN10" s="17" t="str">
        <f t="shared" si="13"/>
        <v/>
      </c>
      <c r="DO10" s="17" t="str">
        <f t="shared" si="13"/>
        <v/>
      </c>
      <c r="DP10" s="17" t="str">
        <f t="shared" si="13"/>
        <v/>
      </c>
      <c r="DQ10" s="17" t="str">
        <f t="shared" si="13"/>
        <v/>
      </c>
    </row>
    <row r="11" spans="2:121" ht="15" customHeight="1">
      <c r="B11" s="188"/>
      <c r="C11" s="174"/>
      <c r="D11" s="174"/>
      <c r="E11" s="174"/>
      <c r="F11" s="174"/>
      <c r="G11" s="174"/>
      <c r="H11" s="180"/>
      <c r="I11" s="183"/>
      <c r="J11" s="180"/>
      <c r="K11" s="180"/>
      <c r="L11" s="183"/>
      <c r="M11" s="180"/>
      <c r="N11" s="180"/>
      <c r="O11" s="183"/>
      <c r="P11" s="180"/>
      <c r="Q11" s="183"/>
      <c r="R11" s="180"/>
      <c r="S11" s="180"/>
      <c r="T11" s="180"/>
      <c r="U11" s="174"/>
      <c r="V11" s="180"/>
      <c r="W11" s="174"/>
      <c r="X11" s="174"/>
      <c r="Y11" s="174"/>
      <c r="Z11" s="174"/>
      <c r="AA11" s="174"/>
      <c r="AB11" s="177"/>
      <c r="AC11" s="58" t="s">
        <v>7</v>
      </c>
      <c r="AD11" s="20" t="str">
        <f t="shared" ref="AD11:BI11" ca="1" si="14">IF(AD5="","",IF(AD10&gt;AD4,"프리타임 기간내 출고",IF(DATE(YEAR(AD4),MONTH(AD4),1)&gt;DATE(YEAR(AD10),MONTH(AD10),1),DATEDIF(DATE(YEAR(NOW()),MONTH(NOW()),1),(AD4)+1,"D"),DATEDIF(AD10,AD4+1,"D"))))</f>
        <v>프리타임 기간내 출고</v>
      </c>
      <c r="AE11" s="20" t="str">
        <f t="shared" ca="1" si="14"/>
        <v>프리타임 기간내 출고</v>
      </c>
      <c r="AF11" s="20" t="str">
        <f t="shared" ca="1" si="14"/>
        <v>프리타임 기간내 출고</v>
      </c>
      <c r="AG11" s="20" t="str">
        <f t="shared" ca="1" si="14"/>
        <v>프리타임 기간내 출고</v>
      </c>
      <c r="AH11" s="20" t="str">
        <f t="shared" ca="1" si="14"/>
        <v>프리타임 기간내 출고</v>
      </c>
      <c r="AI11" s="20" t="str">
        <f t="shared" ca="1" si="14"/>
        <v>프리타임 기간내 출고</v>
      </c>
      <c r="AJ11" s="20" t="str">
        <f t="shared" ca="1" si="14"/>
        <v>프리타임 기간내 출고</v>
      </c>
      <c r="AK11" s="20">
        <f t="shared" ca="1" si="14"/>
        <v>3</v>
      </c>
      <c r="AL11" s="20" t="str">
        <f t="shared" ca="1" si="14"/>
        <v>프리타임 기간내 출고</v>
      </c>
      <c r="AM11" s="20">
        <f t="shared" ca="1" si="14"/>
        <v>1</v>
      </c>
      <c r="AN11" s="20" t="str">
        <f t="shared" ca="1" si="14"/>
        <v>프리타임 기간내 출고</v>
      </c>
      <c r="AO11" s="20" t="str">
        <f t="shared" ca="1" si="14"/>
        <v>프리타임 기간내 출고</v>
      </c>
      <c r="AP11" s="20" t="str">
        <f t="shared" ca="1" si="14"/>
        <v>프리타임 기간내 출고</v>
      </c>
      <c r="AQ11" s="20" t="str">
        <f t="shared" ca="1" si="14"/>
        <v>프리타임 기간내 출고</v>
      </c>
      <c r="AR11" s="20" t="str">
        <f t="shared" ca="1" si="14"/>
        <v>프리타임 기간내 출고</v>
      </c>
      <c r="AS11" s="20" t="str">
        <f t="shared" ca="1" si="14"/>
        <v>프리타임 기간내 출고</v>
      </c>
      <c r="AT11" s="20" t="str">
        <f t="shared" ca="1" si="14"/>
        <v>프리타임 기간내 출고</v>
      </c>
      <c r="AU11" s="20" t="str">
        <f t="shared" ca="1" si="14"/>
        <v>프리타임 기간내 출고</v>
      </c>
      <c r="AV11" s="20" t="str">
        <f t="shared" ca="1" si="14"/>
        <v>프리타임 기간내 출고</v>
      </c>
      <c r="AW11" s="20" t="str">
        <f t="shared" ca="1" si="14"/>
        <v>프리타임 기간내 출고</v>
      </c>
      <c r="AX11" s="20" t="str">
        <f t="shared" ca="1" si="14"/>
        <v>프리타임 기간내 출고</v>
      </c>
      <c r="AY11" s="20" t="str">
        <f t="shared" ca="1" si="14"/>
        <v>프리타임 기간내 출고</v>
      </c>
      <c r="AZ11" s="20" t="str">
        <f t="shared" ca="1" si="14"/>
        <v>프리타임 기간내 출고</v>
      </c>
      <c r="BA11" s="20" t="str">
        <f t="shared" ca="1" si="14"/>
        <v>프리타임 기간내 출고</v>
      </c>
      <c r="BB11" s="20" t="str">
        <f t="shared" ca="1" si="14"/>
        <v>프리타임 기간내 출고</v>
      </c>
      <c r="BC11" s="20" t="str">
        <f t="shared" ca="1" si="14"/>
        <v>프리타임 기간내 출고</v>
      </c>
      <c r="BD11" s="20" t="str">
        <f t="shared" ca="1" si="14"/>
        <v>프리타임 기간내 출고</v>
      </c>
      <c r="BE11" s="20">
        <f t="shared" ca="1" si="14"/>
        <v>3</v>
      </c>
      <c r="BF11" s="20" t="str">
        <f t="shared" ca="1" si="14"/>
        <v>프리타임 기간내 출고</v>
      </c>
      <c r="BG11" s="20">
        <f t="shared" ca="1" si="14"/>
        <v>3</v>
      </c>
      <c r="BH11" s="20" t="str">
        <f t="shared" ca="1" si="14"/>
        <v>프리타임 기간내 출고</v>
      </c>
      <c r="BI11" s="20">
        <f t="shared" ca="1" si="14"/>
        <v>7</v>
      </c>
      <c r="BJ11" s="20" t="str">
        <f t="shared" ref="BJ11:CO11" ca="1" si="15">IF(BJ5="","",IF(BJ10&gt;BJ4,"프리타임 기간내 출고",IF(DATE(YEAR(BJ4),MONTH(BJ4),1)&gt;DATE(YEAR(BJ10),MONTH(BJ10),1),DATEDIF(DATE(YEAR(NOW()),MONTH(NOW()),1),(BJ4)+1,"D"),DATEDIF(BJ10,BJ4+1,"D"))))</f>
        <v>프리타임 기간내 출고</v>
      </c>
      <c r="BK11" s="20">
        <f t="shared" ca="1" si="15"/>
        <v>7</v>
      </c>
      <c r="BL11" s="20" t="str">
        <f t="shared" ca="1" si="15"/>
        <v>프리타임 기간내 출고</v>
      </c>
      <c r="BM11" s="20" t="str">
        <f t="shared" ca="1" si="15"/>
        <v>프리타임 기간내 출고</v>
      </c>
      <c r="BN11" s="20" t="str">
        <f t="shared" ca="1" si="15"/>
        <v>프리타임 기간내 출고</v>
      </c>
      <c r="BO11" s="20" t="str">
        <f t="shared" ca="1" si="15"/>
        <v>프리타임 기간내 출고</v>
      </c>
      <c r="BP11" s="20" t="str">
        <f t="shared" ca="1" si="15"/>
        <v/>
      </c>
      <c r="BQ11" s="20" t="str">
        <f t="shared" ca="1" si="15"/>
        <v/>
      </c>
      <c r="BR11" s="20" t="str">
        <f t="shared" ca="1" si="15"/>
        <v/>
      </c>
      <c r="BS11" s="20" t="str">
        <f t="shared" ca="1" si="15"/>
        <v/>
      </c>
      <c r="BT11" s="20" t="str">
        <f t="shared" ca="1" si="15"/>
        <v/>
      </c>
      <c r="BU11" s="20" t="str">
        <f t="shared" ca="1" si="15"/>
        <v/>
      </c>
      <c r="BV11" s="20" t="str">
        <f t="shared" ca="1" si="15"/>
        <v/>
      </c>
      <c r="BW11" s="20" t="str">
        <f t="shared" ca="1" si="15"/>
        <v/>
      </c>
      <c r="BX11" s="20" t="str">
        <f t="shared" ca="1" si="15"/>
        <v/>
      </c>
      <c r="BY11" s="20" t="str">
        <f t="shared" ca="1" si="15"/>
        <v/>
      </c>
      <c r="BZ11" s="20" t="str">
        <f t="shared" ca="1" si="15"/>
        <v/>
      </c>
      <c r="CA11" s="20" t="str">
        <f t="shared" ca="1" si="15"/>
        <v/>
      </c>
      <c r="CB11" s="20" t="str">
        <f t="shared" ca="1" si="15"/>
        <v/>
      </c>
      <c r="CC11" s="20" t="str">
        <f t="shared" ca="1" si="15"/>
        <v/>
      </c>
      <c r="CD11" s="20" t="str">
        <f t="shared" ca="1" si="15"/>
        <v/>
      </c>
      <c r="CE11" s="20" t="str">
        <f t="shared" ca="1" si="15"/>
        <v/>
      </c>
      <c r="CF11" s="20" t="str">
        <f t="shared" ca="1" si="15"/>
        <v/>
      </c>
      <c r="CG11" s="20" t="str">
        <f t="shared" ca="1" si="15"/>
        <v/>
      </c>
      <c r="CH11" s="20" t="str">
        <f t="shared" ca="1" si="15"/>
        <v/>
      </c>
      <c r="CI11" s="20" t="str">
        <f t="shared" ca="1" si="15"/>
        <v/>
      </c>
      <c r="CJ11" s="20" t="str">
        <f t="shared" ca="1" si="15"/>
        <v/>
      </c>
      <c r="CK11" s="20" t="str">
        <f t="shared" ca="1" si="15"/>
        <v/>
      </c>
      <c r="CL11" s="20" t="str">
        <f t="shared" ca="1" si="15"/>
        <v/>
      </c>
      <c r="CM11" s="20" t="str">
        <f t="shared" ca="1" si="15"/>
        <v/>
      </c>
      <c r="CN11" s="20" t="str">
        <f t="shared" ca="1" si="15"/>
        <v/>
      </c>
      <c r="CO11" s="20" t="str">
        <f t="shared" ca="1" si="15"/>
        <v/>
      </c>
      <c r="CP11" s="20" t="str">
        <f t="shared" ref="CP11:DQ11" ca="1" si="16">IF(CP5="","",IF(CP10&gt;CP4,"프리타임 기간내 출고",IF(DATE(YEAR(CP4),MONTH(CP4),1)&gt;DATE(YEAR(CP10),MONTH(CP10),1),DATEDIF(DATE(YEAR(NOW()),MONTH(NOW()),1),(CP4)+1,"D"),DATEDIF(CP10,CP4+1,"D"))))</f>
        <v/>
      </c>
      <c r="CQ11" s="20" t="str">
        <f t="shared" ca="1" si="16"/>
        <v/>
      </c>
      <c r="CR11" s="20" t="str">
        <f t="shared" ca="1" si="16"/>
        <v/>
      </c>
      <c r="CS11" s="20" t="str">
        <f t="shared" ca="1" si="16"/>
        <v/>
      </c>
      <c r="CT11" s="20" t="str">
        <f t="shared" ca="1" si="16"/>
        <v/>
      </c>
      <c r="CU11" s="20" t="str">
        <f t="shared" ca="1" si="16"/>
        <v/>
      </c>
      <c r="CV11" s="20" t="str">
        <f t="shared" ca="1" si="16"/>
        <v/>
      </c>
      <c r="CW11" s="20" t="str">
        <f t="shared" ca="1" si="16"/>
        <v/>
      </c>
      <c r="CX11" s="20" t="str">
        <f t="shared" ca="1" si="16"/>
        <v/>
      </c>
      <c r="CY11" s="20" t="str">
        <f t="shared" ca="1" si="16"/>
        <v/>
      </c>
      <c r="CZ11" s="20" t="str">
        <f t="shared" ca="1" si="16"/>
        <v/>
      </c>
      <c r="DA11" s="20" t="str">
        <f t="shared" ca="1" si="16"/>
        <v/>
      </c>
      <c r="DB11" s="20" t="str">
        <f t="shared" ca="1" si="16"/>
        <v/>
      </c>
      <c r="DC11" s="20" t="str">
        <f t="shared" ca="1" si="16"/>
        <v/>
      </c>
      <c r="DD11" s="20" t="str">
        <f t="shared" ca="1" si="16"/>
        <v/>
      </c>
      <c r="DE11" s="20" t="str">
        <f t="shared" ca="1" si="16"/>
        <v/>
      </c>
      <c r="DF11" s="20" t="str">
        <f t="shared" ca="1" si="16"/>
        <v/>
      </c>
      <c r="DG11" s="20" t="str">
        <f t="shared" ca="1" si="16"/>
        <v/>
      </c>
      <c r="DH11" s="20" t="str">
        <f t="shared" ca="1" si="16"/>
        <v/>
      </c>
      <c r="DI11" s="20" t="str">
        <f t="shared" ca="1" si="16"/>
        <v/>
      </c>
      <c r="DJ11" s="20" t="str">
        <f t="shared" ca="1" si="16"/>
        <v/>
      </c>
      <c r="DK11" s="20" t="str">
        <f t="shared" ca="1" si="16"/>
        <v/>
      </c>
      <c r="DL11" s="20" t="str">
        <f t="shared" ca="1" si="16"/>
        <v/>
      </c>
      <c r="DM11" s="20" t="str">
        <f t="shared" ca="1" si="16"/>
        <v/>
      </c>
      <c r="DN11" s="20" t="str">
        <f t="shared" ca="1" si="16"/>
        <v/>
      </c>
      <c r="DO11" s="20" t="str">
        <f t="shared" ca="1" si="16"/>
        <v/>
      </c>
      <c r="DP11" s="20" t="str">
        <f t="shared" ca="1" si="16"/>
        <v/>
      </c>
      <c r="DQ11" s="20" t="str">
        <f t="shared" ca="1" si="16"/>
        <v/>
      </c>
    </row>
    <row r="12" spans="2:121" ht="15" customHeight="1" thickBot="1">
      <c r="B12" s="189"/>
      <c r="C12" s="175"/>
      <c r="D12" s="175"/>
      <c r="E12" s="175"/>
      <c r="F12" s="175"/>
      <c r="G12" s="175"/>
      <c r="H12" s="181"/>
      <c r="I12" s="184"/>
      <c r="J12" s="181"/>
      <c r="K12" s="181"/>
      <c r="L12" s="184"/>
      <c r="M12" s="181"/>
      <c r="N12" s="181"/>
      <c r="O12" s="184"/>
      <c r="P12" s="181"/>
      <c r="Q12" s="184"/>
      <c r="R12" s="181"/>
      <c r="S12" s="181"/>
      <c r="T12" s="181"/>
      <c r="U12" s="175"/>
      <c r="V12" s="181"/>
      <c r="W12" s="175"/>
      <c r="X12" s="175"/>
      <c r="Y12" s="175"/>
      <c r="Z12" s="175"/>
      <c r="AA12" s="175"/>
      <c r="AB12" s="178"/>
      <c r="AC12" s="100" t="s">
        <v>8</v>
      </c>
      <c r="AD12" s="19" t="str">
        <f t="shared" ref="AD12:BI12" ca="1" si="17">IFERROR(AD11*AD9*(INDEX($Y$13:$Y$386,MATCH(SUM(AD$13:AD$386),AD$13:AD$386,0),1)),"")</f>
        <v/>
      </c>
      <c r="AE12" s="19" t="str">
        <f t="shared" ca="1" si="17"/>
        <v/>
      </c>
      <c r="AF12" s="19" t="str">
        <f t="shared" ca="1" si="17"/>
        <v/>
      </c>
      <c r="AG12" s="19" t="str">
        <f t="shared" ca="1" si="17"/>
        <v/>
      </c>
      <c r="AH12" s="19" t="str">
        <f t="shared" ca="1" si="17"/>
        <v/>
      </c>
      <c r="AI12" s="19" t="str">
        <f t="shared" ca="1" si="17"/>
        <v/>
      </c>
      <c r="AJ12" s="19" t="str">
        <f t="shared" ca="1" si="17"/>
        <v/>
      </c>
      <c r="AK12" s="19">
        <f t="shared" ca="1" si="17"/>
        <v>28800</v>
      </c>
      <c r="AL12" s="19" t="str">
        <f t="shared" ca="1" si="17"/>
        <v/>
      </c>
      <c r="AM12" s="19">
        <f t="shared" ca="1" si="17"/>
        <v>400</v>
      </c>
      <c r="AN12" s="19" t="str">
        <f t="shared" ca="1" si="17"/>
        <v/>
      </c>
      <c r="AO12" s="19" t="str">
        <f t="shared" ca="1" si="17"/>
        <v/>
      </c>
      <c r="AP12" s="19" t="str">
        <f t="shared" ca="1" si="17"/>
        <v/>
      </c>
      <c r="AQ12" s="19" t="str">
        <f t="shared" ca="1" si="17"/>
        <v/>
      </c>
      <c r="AR12" s="19" t="str">
        <f t="shared" ca="1" si="17"/>
        <v/>
      </c>
      <c r="AS12" s="19" t="str">
        <f t="shared" ca="1" si="17"/>
        <v/>
      </c>
      <c r="AT12" s="19" t="str">
        <f t="shared" ca="1" si="17"/>
        <v/>
      </c>
      <c r="AU12" s="19" t="str">
        <f t="shared" ca="1" si="17"/>
        <v/>
      </c>
      <c r="AV12" s="19" t="str">
        <f t="shared" ca="1" si="17"/>
        <v/>
      </c>
      <c r="AW12" s="19" t="str">
        <f t="shared" ca="1" si="17"/>
        <v/>
      </c>
      <c r="AX12" s="19" t="str">
        <f t="shared" ca="1" si="17"/>
        <v/>
      </c>
      <c r="AY12" s="19" t="str">
        <f t="shared" ca="1" si="17"/>
        <v/>
      </c>
      <c r="AZ12" s="19" t="str">
        <f t="shared" ca="1" si="17"/>
        <v/>
      </c>
      <c r="BA12" s="19" t="str">
        <f t="shared" ca="1" si="17"/>
        <v/>
      </c>
      <c r="BB12" s="19" t="str">
        <f t="shared" ca="1" si="17"/>
        <v/>
      </c>
      <c r="BC12" s="19" t="str">
        <f t="shared" ca="1" si="17"/>
        <v/>
      </c>
      <c r="BD12" s="19" t="str">
        <f t="shared" ca="1" si="17"/>
        <v/>
      </c>
      <c r="BE12" s="19">
        <f t="shared" ca="1" si="17"/>
        <v>13200</v>
      </c>
      <c r="BF12" s="19" t="str">
        <f t="shared" ca="1" si="17"/>
        <v/>
      </c>
      <c r="BG12" s="19">
        <f t="shared" ca="1" si="17"/>
        <v>28800</v>
      </c>
      <c r="BH12" s="19" t="str">
        <f t="shared" ca="1" si="17"/>
        <v/>
      </c>
      <c r="BI12" s="19">
        <f t="shared" ca="1" si="17"/>
        <v>19600</v>
      </c>
      <c r="BJ12" s="19" t="str">
        <f t="shared" ref="BJ12:CO12" ca="1" si="18">IFERROR(BJ11*BJ9*(INDEX($Y$13:$Y$386,MATCH(SUM(BJ$13:BJ$386),BJ$13:BJ$386,0),1)),"")</f>
        <v/>
      </c>
      <c r="BK12" s="19">
        <f t="shared" ca="1" si="18"/>
        <v>67200</v>
      </c>
      <c r="BL12" s="19" t="str">
        <f t="shared" ca="1" si="18"/>
        <v/>
      </c>
      <c r="BM12" s="19" t="str">
        <f t="shared" ca="1" si="18"/>
        <v/>
      </c>
      <c r="BN12" s="19" t="str">
        <f t="shared" ca="1" si="18"/>
        <v/>
      </c>
      <c r="BO12" s="19" t="str">
        <f t="shared" ca="1" si="18"/>
        <v/>
      </c>
      <c r="BP12" s="19" t="str">
        <f t="shared" ca="1" si="18"/>
        <v/>
      </c>
      <c r="BQ12" s="19" t="str">
        <f t="shared" ca="1" si="18"/>
        <v/>
      </c>
      <c r="BR12" s="19" t="str">
        <f t="shared" ca="1" si="18"/>
        <v/>
      </c>
      <c r="BS12" s="19" t="str">
        <f t="shared" ca="1" si="18"/>
        <v/>
      </c>
      <c r="BT12" s="19" t="str">
        <f t="shared" ca="1" si="18"/>
        <v/>
      </c>
      <c r="BU12" s="19" t="str">
        <f t="shared" ca="1" si="18"/>
        <v/>
      </c>
      <c r="BV12" s="19" t="str">
        <f t="shared" ca="1" si="18"/>
        <v/>
      </c>
      <c r="BW12" s="19" t="str">
        <f t="shared" ca="1" si="18"/>
        <v/>
      </c>
      <c r="BX12" s="19" t="str">
        <f t="shared" ca="1" si="18"/>
        <v/>
      </c>
      <c r="BY12" s="19" t="str">
        <f t="shared" ca="1" si="18"/>
        <v/>
      </c>
      <c r="BZ12" s="19" t="str">
        <f t="shared" ca="1" si="18"/>
        <v/>
      </c>
      <c r="CA12" s="19" t="str">
        <f t="shared" ca="1" si="18"/>
        <v/>
      </c>
      <c r="CB12" s="19" t="str">
        <f t="shared" ca="1" si="18"/>
        <v/>
      </c>
      <c r="CC12" s="19" t="str">
        <f t="shared" ca="1" si="18"/>
        <v/>
      </c>
      <c r="CD12" s="19" t="str">
        <f t="shared" ca="1" si="18"/>
        <v/>
      </c>
      <c r="CE12" s="19" t="str">
        <f t="shared" ca="1" si="18"/>
        <v/>
      </c>
      <c r="CF12" s="19" t="str">
        <f t="shared" ca="1" si="18"/>
        <v/>
      </c>
      <c r="CG12" s="19" t="str">
        <f t="shared" ca="1" si="18"/>
        <v/>
      </c>
      <c r="CH12" s="19" t="str">
        <f t="shared" ca="1" si="18"/>
        <v/>
      </c>
      <c r="CI12" s="19" t="str">
        <f t="shared" ca="1" si="18"/>
        <v/>
      </c>
      <c r="CJ12" s="19" t="str">
        <f t="shared" ca="1" si="18"/>
        <v/>
      </c>
      <c r="CK12" s="19" t="str">
        <f t="shared" ca="1" si="18"/>
        <v/>
      </c>
      <c r="CL12" s="19" t="str">
        <f t="shared" ca="1" si="18"/>
        <v/>
      </c>
      <c r="CM12" s="19" t="str">
        <f t="shared" ca="1" si="18"/>
        <v/>
      </c>
      <c r="CN12" s="19" t="str">
        <f t="shared" ca="1" si="18"/>
        <v/>
      </c>
      <c r="CO12" s="19" t="str">
        <f t="shared" ca="1" si="18"/>
        <v/>
      </c>
      <c r="CP12" s="19" t="str">
        <f t="shared" ref="CP12:DQ12" ca="1" si="19">IFERROR(CP11*CP9*(INDEX($Y$13:$Y$386,MATCH(SUM(CP$13:CP$386),CP$13:CP$386,0),1)),"")</f>
        <v/>
      </c>
      <c r="CQ12" s="19" t="str">
        <f t="shared" ca="1" si="19"/>
        <v/>
      </c>
      <c r="CR12" s="19" t="str">
        <f t="shared" ca="1" si="19"/>
        <v/>
      </c>
      <c r="CS12" s="19" t="str">
        <f t="shared" ca="1" si="19"/>
        <v/>
      </c>
      <c r="CT12" s="19" t="str">
        <f t="shared" ca="1" si="19"/>
        <v/>
      </c>
      <c r="CU12" s="19" t="str">
        <f t="shared" ca="1" si="19"/>
        <v/>
      </c>
      <c r="CV12" s="19" t="str">
        <f t="shared" ca="1" si="19"/>
        <v/>
      </c>
      <c r="CW12" s="19" t="str">
        <f t="shared" ca="1" si="19"/>
        <v/>
      </c>
      <c r="CX12" s="19" t="str">
        <f t="shared" ca="1" si="19"/>
        <v/>
      </c>
      <c r="CY12" s="19" t="str">
        <f t="shared" ca="1" si="19"/>
        <v/>
      </c>
      <c r="CZ12" s="19" t="str">
        <f t="shared" ca="1" si="19"/>
        <v/>
      </c>
      <c r="DA12" s="19" t="str">
        <f t="shared" ca="1" si="19"/>
        <v/>
      </c>
      <c r="DB12" s="19" t="str">
        <f t="shared" ca="1" si="19"/>
        <v/>
      </c>
      <c r="DC12" s="19" t="str">
        <f t="shared" ca="1" si="19"/>
        <v/>
      </c>
      <c r="DD12" s="19" t="str">
        <f t="shared" ca="1" si="19"/>
        <v/>
      </c>
      <c r="DE12" s="19" t="str">
        <f t="shared" ca="1" si="19"/>
        <v/>
      </c>
      <c r="DF12" s="19" t="str">
        <f t="shared" ca="1" si="19"/>
        <v/>
      </c>
      <c r="DG12" s="19" t="str">
        <f t="shared" ca="1" si="19"/>
        <v/>
      </c>
      <c r="DH12" s="19" t="str">
        <f t="shared" ca="1" si="19"/>
        <v/>
      </c>
      <c r="DI12" s="19" t="str">
        <f t="shared" ca="1" si="19"/>
        <v/>
      </c>
      <c r="DJ12" s="19" t="str">
        <f t="shared" ca="1" si="19"/>
        <v/>
      </c>
      <c r="DK12" s="19" t="str">
        <f t="shared" ca="1" si="19"/>
        <v/>
      </c>
      <c r="DL12" s="19" t="str">
        <f t="shared" ca="1" si="19"/>
        <v/>
      </c>
      <c r="DM12" s="19" t="str">
        <f t="shared" ca="1" si="19"/>
        <v/>
      </c>
      <c r="DN12" s="19" t="str">
        <f t="shared" ca="1" si="19"/>
        <v/>
      </c>
      <c r="DO12" s="19" t="str">
        <f t="shared" ca="1" si="19"/>
        <v/>
      </c>
      <c r="DP12" s="19" t="str">
        <f t="shared" ca="1" si="19"/>
        <v/>
      </c>
      <c r="DQ12" s="19" t="str">
        <f t="shared" ca="1" si="19"/>
        <v/>
      </c>
    </row>
    <row r="13" spans="2:121" s="2" customFormat="1" ht="20.100000000000001" customHeight="1" thickTop="1">
      <c r="B13" s="110">
        <v>46162</v>
      </c>
      <c r="C13" s="111" t="s">
        <v>397</v>
      </c>
      <c r="D13" s="112" t="s">
        <v>421</v>
      </c>
      <c r="E13" s="113" t="s">
        <v>401</v>
      </c>
      <c r="F13" s="114" t="s">
        <v>432</v>
      </c>
      <c r="G13" s="8" t="str">
        <f t="shared" ref="G13" si="20">C13&amp;F13</f>
        <v>SNKO190260300395(본사)15KG설탕(부리람슈가_사료용)</v>
      </c>
      <c r="H13" s="28">
        <v>7700</v>
      </c>
      <c r="I13" s="41">
        <f t="shared" ref="I13" si="21">ROUNDUP((H13/V13),0)</f>
        <v>107</v>
      </c>
      <c r="J13" s="29">
        <v>0</v>
      </c>
      <c r="K13" s="29">
        <f>43+1</f>
        <v>44</v>
      </c>
      <c r="L13" s="41">
        <f t="shared" ref="L13" si="22">ROUNDUP((K13/V13),0)</f>
        <v>1</v>
      </c>
      <c r="M13" s="29">
        <v>0</v>
      </c>
      <c r="N13" s="31">
        <f t="shared" ref="N13" si="23">P13-K13+M13</f>
        <v>0</v>
      </c>
      <c r="O13" s="42">
        <f t="shared" ref="O13" si="24">ROUNDUP((N13/V13),0)</f>
        <v>0</v>
      </c>
      <c r="P13" s="31">
        <f t="shared" ref="P13" si="25">H13-T13</f>
        <v>44</v>
      </c>
      <c r="Q13" s="42">
        <f t="shared" ref="Q13" si="26">L13+O13</f>
        <v>1</v>
      </c>
      <c r="R13" s="97">
        <v>7656</v>
      </c>
      <c r="S13" s="97">
        <f t="shared" ref="S13:S24" si="27">SUM(AD13:KE13)</f>
        <v>0</v>
      </c>
      <c r="T13" s="97">
        <f t="shared" ref="T13" si="28">R13+S13+J13+M13</f>
        <v>7656</v>
      </c>
      <c r="U13" s="2" t="s">
        <v>499</v>
      </c>
      <c r="V13" s="28">
        <v>72</v>
      </c>
      <c r="W13" s="95">
        <f t="shared" ref="W13" si="29">B13+X13</f>
        <v>46192</v>
      </c>
      <c r="X13" s="166">
        <v>30</v>
      </c>
      <c r="Y13" s="79">
        <v>400</v>
      </c>
      <c r="Z13" s="2">
        <f t="shared" ref="Z13:Z24" si="30">SUMIF($AD$6:$NP$6,G13,$AD$12:$NP$12)</f>
        <v>0</v>
      </c>
      <c r="AA13" s="2">
        <f t="shared" ref="AA13:AA23" ca="1" si="31">IF(W13&gt;TODAY(),"프리타임기간중",Q13*Y13*IF(DATE(YEAR(W13),MONTH(W13),1)&lt;DATE(YEAR($AA$2),MONTH($AA$2),1),DATEDIF($AA$2,$AA$3,"D")+1,DATEDIF(W13,$AA$3+1,"d")))</f>
        <v>12400</v>
      </c>
      <c r="AB13" s="2">
        <f t="shared" ref="AB13" ca="1" si="32">IFERROR(Z13+AA13,"")</f>
        <v>12400</v>
      </c>
      <c r="AC13" s="103"/>
    </row>
    <row r="14" spans="2:121" s="2" customFormat="1" ht="20.100000000000001" customHeight="1">
      <c r="B14" s="110">
        <v>46163</v>
      </c>
      <c r="C14" s="111" t="s">
        <v>400</v>
      </c>
      <c r="D14" s="112"/>
      <c r="E14" s="113" t="s">
        <v>402</v>
      </c>
      <c r="F14" s="114" t="s">
        <v>315</v>
      </c>
      <c r="G14" s="8" t="str">
        <f t="shared" ref="G14" si="33">C14&amp;F14</f>
        <v>SNKO19026040082315KG설탕(비정제원당_부리람)</v>
      </c>
      <c r="H14" s="28">
        <v>7700</v>
      </c>
      <c r="I14" s="41">
        <f t="shared" ref="I14" si="34">ROUNDUP((H14/V14),0)</f>
        <v>107</v>
      </c>
      <c r="J14" s="29">
        <v>0</v>
      </c>
      <c r="K14" s="29">
        <v>0</v>
      </c>
      <c r="L14" s="41">
        <f t="shared" ref="L14" si="35">ROUNDUP((K14/V14),0)</f>
        <v>0</v>
      </c>
      <c r="M14" s="29">
        <v>0</v>
      </c>
      <c r="N14" s="31">
        <f t="shared" ref="N14" si="36">P14-K14+M14</f>
        <v>0</v>
      </c>
      <c r="O14" s="42">
        <f t="shared" ref="O14" si="37">ROUNDUP((N14/V14),0)</f>
        <v>0</v>
      </c>
      <c r="P14" s="31">
        <f t="shared" ref="P14" si="38">H14-T14</f>
        <v>0</v>
      </c>
      <c r="Q14" s="42">
        <f t="shared" ref="Q14" si="39">L14+O14</f>
        <v>0</v>
      </c>
      <c r="R14" s="97">
        <v>5987</v>
      </c>
      <c r="S14" s="97">
        <f t="shared" si="27"/>
        <v>1713</v>
      </c>
      <c r="T14" s="97">
        <f t="shared" ref="T14" si="40">R14+S14+J14+M14</f>
        <v>7700</v>
      </c>
      <c r="V14" s="28">
        <v>72</v>
      </c>
      <c r="W14" s="95">
        <f t="shared" ref="W14" si="41">B14+X14</f>
        <v>46223</v>
      </c>
      <c r="X14" s="167">
        <v>60</v>
      </c>
      <c r="Y14" s="79">
        <v>400</v>
      </c>
      <c r="Z14" s="2">
        <f t="shared" ca="1" si="30"/>
        <v>0</v>
      </c>
      <c r="AA14" s="2">
        <f t="shared" ca="1" si="31"/>
        <v>0</v>
      </c>
      <c r="AB14" s="2">
        <f t="shared" ref="AB14" ca="1" si="42">IFERROR(Z14+AA14,"")</f>
        <v>0</v>
      </c>
      <c r="AC14" s="103"/>
      <c r="AG14" s="142">
        <v>288</v>
      </c>
      <c r="AT14" s="142">
        <v>504</v>
      </c>
      <c r="AV14" s="2">
        <v>6</v>
      </c>
      <c r="AW14" s="142">
        <v>864</v>
      </c>
      <c r="AX14" s="142">
        <v>51</v>
      </c>
    </row>
    <row r="15" spans="2:121" s="2" customFormat="1" ht="20.100000000000001" customHeight="1">
      <c r="B15" s="122">
        <v>46181</v>
      </c>
      <c r="C15" s="123" t="s">
        <v>444</v>
      </c>
      <c r="D15" s="124" t="s">
        <v>445</v>
      </c>
      <c r="E15" s="125" t="s">
        <v>203</v>
      </c>
      <c r="F15" s="126" t="s">
        <v>139</v>
      </c>
      <c r="G15" s="8" t="str">
        <f t="shared" ref="G15" si="43">C15&amp;F15</f>
        <v>SNKO19026040032815KG설탕</v>
      </c>
      <c r="H15" s="28">
        <v>7700</v>
      </c>
      <c r="I15" s="41">
        <f t="shared" ref="I15" si="44">ROUNDUP((H15/V15),0)</f>
        <v>107</v>
      </c>
      <c r="J15" s="29">
        <v>0</v>
      </c>
      <c r="K15" s="29">
        <f>58-1-3</f>
        <v>54</v>
      </c>
      <c r="L15" s="41">
        <f t="shared" ref="L15" si="45">ROUNDUP((K15/V15),0)</f>
        <v>1</v>
      </c>
      <c r="M15" s="29">
        <v>0</v>
      </c>
      <c r="N15" s="31">
        <f t="shared" ref="N15" si="46">P15-K15+M15</f>
        <v>298</v>
      </c>
      <c r="O15" s="42">
        <f t="shared" ref="O15" si="47">ROUNDUP((N15/V15),0)</f>
        <v>5</v>
      </c>
      <c r="P15" s="31">
        <f t="shared" ref="P15" si="48">H15-T15</f>
        <v>352</v>
      </c>
      <c r="Q15" s="42">
        <f t="shared" ref="Q15" si="49">L15+O15</f>
        <v>6</v>
      </c>
      <c r="R15" s="97">
        <v>5617</v>
      </c>
      <c r="S15" s="97">
        <f t="shared" si="27"/>
        <v>1731</v>
      </c>
      <c r="T15" s="97">
        <f t="shared" ref="T15" si="50">R15+S15+J15+M15</f>
        <v>7348</v>
      </c>
      <c r="V15" s="28">
        <v>72</v>
      </c>
      <c r="W15" s="95">
        <f t="shared" ref="W15" si="51">B15+X15</f>
        <v>46211</v>
      </c>
      <c r="X15" s="166">
        <v>30</v>
      </c>
      <c r="Y15" s="79">
        <v>400</v>
      </c>
      <c r="Z15" s="2">
        <f t="shared" ca="1" si="30"/>
        <v>29200</v>
      </c>
      <c r="AA15" s="2">
        <f t="shared" ca="1" si="31"/>
        <v>57600</v>
      </c>
      <c r="AB15" s="2">
        <f t="shared" ref="AB15" ca="1" si="52">IFERROR(Z15+AA15,"")</f>
        <v>86800</v>
      </c>
      <c r="AC15" s="103"/>
      <c r="AK15" s="142">
        <v>1728</v>
      </c>
      <c r="AM15" s="142">
        <v>3</v>
      </c>
    </row>
    <row r="16" spans="2:121" s="2" customFormat="1" ht="20.100000000000001" customHeight="1">
      <c r="B16" s="110">
        <v>46182</v>
      </c>
      <c r="C16" s="111" t="s">
        <v>446</v>
      </c>
      <c r="D16" s="112" t="s">
        <v>447</v>
      </c>
      <c r="E16" s="113" t="s">
        <v>472</v>
      </c>
      <c r="F16" s="114" t="s">
        <v>474</v>
      </c>
      <c r="G16" s="8" t="str">
        <f t="shared" ref="G16" si="53">C16&amp;F16</f>
        <v>SNKO190260400328(본사)15KG설탕(사료용_KPP)</v>
      </c>
      <c r="H16" s="28">
        <v>3096</v>
      </c>
      <c r="I16" s="41">
        <f t="shared" ref="I16" si="54">ROUNDUP((H16/V16),0)</f>
        <v>43</v>
      </c>
      <c r="J16" s="29">
        <v>0</v>
      </c>
      <c r="K16" s="29">
        <v>0</v>
      </c>
      <c r="L16" s="41">
        <f t="shared" ref="L16" si="55">ROUNDUP((K16/V16),0)</f>
        <v>0</v>
      </c>
      <c r="M16" s="29">
        <v>0</v>
      </c>
      <c r="N16" s="31">
        <f t="shared" ref="N16" si="56">P16-K16+M16</f>
        <v>113</v>
      </c>
      <c r="O16" s="42">
        <f t="shared" ref="O16" si="57">ROUNDUP((N16/V16),0)</f>
        <v>2</v>
      </c>
      <c r="P16" s="31">
        <f t="shared" ref="P16" si="58">H16-T16</f>
        <v>113</v>
      </c>
      <c r="Q16" s="42">
        <f t="shared" ref="Q16" si="59">L16+O16</f>
        <v>2</v>
      </c>
      <c r="R16" s="97">
        <v>247</v>
      </c>
      <c r="S16" s="97">
        <f t="shared" si="27"/>
        <v>2736</v>
      </c>
      <c r="T16" s="97">
        <f t="shared" ref="T16" si="60">R16+S16+J16+M16</f>
        <v>2983</v>
      </c>
      <c r="V16" s="28">
        <v>72</v>
      </c>
      <c r="W16" s="95">
        <f t="shared" ref="W16" si="61">B16+X16</f>
        <v>46212</v>
      </c>
      <c r="X16" s="166">
        <v>30</v>
      </c>
      <c r="Y16" s="79">
        <v>400</v>
      </c>
      <c r="Z16" s="2">
        <f t="shared" ca="1" si="30"/>
        <v>0</v>
      </c>
      <c r="AA16" s="2">
        <f t="shared" ca="1" si="31"/>
        <v>18400</v>
      </c>
      <c r="AB16" s="2">
        <f t="shared" ref="AB16" ca="1" si="62">IFERROR(Z16+AA16,"")</f>
        <v>18400</v>
      </c>
      <c r="AC16" s="103"/>
      <c r="AD16" s="142">
        <v>1728</v>
      </c>
      <c r="AF16" s="142">
        <v>504</v>
      </c>
      <c r="AH16" s="142">
        <v>504</v>
      </c>
    </row>
    <row r="17" spans="2:67" s="2" customFormat="1" ht="20.100000000000001" customHeight="1">
      <c r="B17" s="110">
        <v>46182</v>
      </c>
      <c r="C17" s="111" t="s">
        <v>446</v>
      </c>
      <c r="D17" s="112" t="s">
        <v>447</v>
      </c>
      <c r="E17" s="113" t="s">
        <v>465</v>
      </c>
      <c r="F17" s="114" t="s">
        <v>473</v>
      </c>
      <c r="G17" s="8" t="str">
        <f t="shared" ref="G17" si="63">C17&amp;F17</f>
        <v>SNKO190260400328(본사)15KG설탕(사료용_아주)</v>
      </c>
      <c r="H17" s="28">
        <f>4574+30</f>
        <v>4604</v>
      </c>
      <c r="I17" s="41">
        <f t="shared" ref="I17" si="64">ROUNDUP((H17/V17),0)</f>
        <v>64</v>
      </c>
      <c r="J17" s="29">
        <v>0</v>
      </c>
      <c r="K17" s="29">
        <v>30</v>
      </c>
      <c r="L17" s="41">
        <f t="shared" ref="L17" si="65">ROUNDUP((K17/V17),0)</f>
        <v>1</v>
      </c>
      <c r="M17" s="29">
        <v>0</v>
      </c>
      <c r="N17" s="31">
        <f t="shared" ref="N17" si="66">P17-K17+M17</f>
        <v>0</v>
      </c>
      <c r="O17" s="42">
        <f t="shared" ref="O17" si="67">ROUNDUP((N17/V17),0)</f>
        <v>0</v>
      </c>
      <c r="P17" s="31">
        <f t="shared" ref="P17" si="68">H17-T17</f>
        <v>30</v>
      </c>
      <c r="Q17" s="42">
        <f t="shared" ref="Q17" si="69">L17+O17</f>
        <v>1</v>
      </c>
      <c r="R17" s="97">
        <v>4574</v>
      </c>
      <c r="S17" s="97">
        <f t="shared" si="27"/>
        <v>0</v>
      </c>
      <c r="T17" s="97">
        <f t="shared" ref="T17" si="70">R17+S17+J17+M17</f>
        <v>4574</v>
      </c>
      <c r="V17" s="28">
        <v>72</v>
      </c>
      <c r="W17" s="95">
        <f t="shared" ref="W17" si="71">B17+X17</f>
        <v>46212</v>
      </c>
      <c r="X17" s="166">
        <v>30</v>
      </c>
      <c r="Y17" s="79">
        <v>400</v>
      </c>
      <c r="Z17" s="2">
        <f t="shared" si="30"/>
        <v>0</v>
      </c>
      <c r="AA17" s="2">
        <f t="shared" ca="1" si="31"/>
        <v>9200</v>
      </c>
      <c r="AB17" s="2">
        <f t="shared" ref="AB17" ca="1" si="72">IFERROR(Z17+AA17,"")</f>
        <v>9200</v>
      </c>
      <c r="AC17" s="103"/>
    </row>
    <row r="18" spans="2:67" s="2" customFormat="1" ht="20.100000000000001" customHeight="1">
      <c r="B18" s="110">
        <v>46184</v>
      </c>
      <c r="C18" s="111" t="s">
        <v>471</v>
      </c>
      <c r="D18" s="112"/>
      <c r="E18" s="113" t="s">
        <v>472</v>
      </c>
      <c r="F18" s="114" t="s">
        <v>385</v>
      </c>
      <c r="G18" s="8" t="str">
        <f t="shared" ref="G18" si="73">C18&amp;F18</f>
        <v>SNKO190260400330(본사)15KG설탕(비정제원당)</v>
      </c>
      <c r="H18" s="28">
        <v>15400</v>
      </c>
      <c r="I18" s="41">
        <f t="shared" ref="I18" si="74">ROUNDUP((H18/V18),0)</f>
        <v>214</v>
      </c>
      <c r="J18" s="29">
        <v>1</v>
      </c>
      <c r="K18" s="29">
        <v>0</v>
      </c>
      <c r="L18" s="41">
        <f t="shared" ref="L18" si="75">ROUNDUP((K18/V18),0)</f>
        <v>0</v>
      </c>
      <c r="M18" s="29">
        <v>0</v>
      </c>
      <c r="N18" s="31">
        <f t="shared" ref="N18" si="76">P18-K18+M18</f>
        <v>8614</v>
      </c>
      <c r="O18" s="42">
        <f t="shared" ref="O18" si="77">ROUNDUP((N18/V18),0)</f>
        <v>120</v>
      </c>
      <c r="P18" s="31">
        <f t="shared" ref="P18" si="78">H18-T18</f>
        <v>8614</v>
      </c>
      <c r="Q18" s="42">
        <f t="shared" ref="Q18" si="79">L18+O18</f>
        <v>120</v>
      </c>
      <c r="R18" s="97">
        <v>3257</v>
      </c>
      <c r="S18" s="97">
        <f t="shared" si="27"/>
        <v>3528</v>
      </c>
      <c r="T18" s="97">
        <f t="shared" ref="T18" si="80">R18+S18+J18+M18</f>
        <v>6786</v>
      </c>
      <c r="V18" s="28">
        <v>72</v>
      </c>
      <c r="W18" s="95">
        <f t="shared" ref="W18" si="81">B18+X18</f>
        <v>46244</v>
      </c>
      <c r="X18" s="167">
        <v>60</v>
      </c>
      <c r="Y18" s="79">
        <v>400</v>
      </c>
      <c r="Z18" s="2">
        <f t="shared" ca="1" si="30"/>
        <v>0</v>
      </c>
      <c r="AA18" s="2" t="str">
        <f t="shared" ca="1" si="31"/>
        <v>프리타임기간중</v>
      </c>
      <c r="AB18" s="2" t="str">
        <f t="shared" ref="AB18" ca="1" si="82">IFERROR(Z18+AA18,"")</f>
        <v/>
      </c>
      <c r="AC18" s="103"/>
      <c r="AJ18" s="142">
        <v>1296</v>
      </c>
      <c r="AL18" s="142">
        <v>864</v>
      </c>
      <c r="BA18" s="142">
        <v>72</v>
      </c>
      <c r="BH18" s="142">
        <v>1296</v>
      </c>
    </row>
    <row r="19" spans="2:67" s="2" customFormat="1" ht="20.100000000000001" customHeight="1">
      <c r="B19" s="122">
        <v>46191</v>
      </c>
      <c r="C19" s="123" t="s">
        <v>483</v>
      </c>
      <c r="D19" s="124"/>
      <c r="E19" s="125" t="s">
        <v>203</v>
      </c>
      <c r="F19" s="126" t="s">
        <v>315</v>
      </c>
      <c r="G19" s="8" t="str">
        <f t="shared" ref="G19" si="83">C19&amp;F19</f>
        <v>F2-KMTCLCH565543715KG설탕(비정제원당_부리람)</v>
      </c>
      <c r="H19" s="28">
        <v>7700</v>
      </c>
      <c r="I19" s="41">
        <f t="shared" ref="I19" si="84">ROUNDUP((H19/V19),0)</f>
        <v>107</v>
      </c>
      <c r="J19" s="29">
        <v>0</v>
      </c>
      <c r="K19" s="29">
        <v>0</v>
      </c>
      <c r="L19" s="41">
        <f t="shared" ref="L19" si="85">ROUNDUP((K19/V19),0)</f>
        <v>0</v>
      </c>
      <c r="M19" s="29">
        <v>0</v>
      </c>
      <c r="N19" s="31">
        <f t="shared" ref="N19" si="86">P19-K19+M19</f>
        <v>5951</v>
      </c>
      <c r="O19" s="42">
        <f t="shared" ref="O19" si="87">ROUNDUP((N19/V19),0)</f>
        <v>83</v>
      </c>
      <c r="P19" s="31">
        <f t="shared" ref="P19" si="88">H19-T19</f>
        <v>5951</v>
      </c>
      <c r="Q19" s="42">
        <f t="shared" ref="Q19" si="89">L19+O19</f>
        <v>83</v>
      </c>
      <c r="R19" s="97">
        <v>0</v>
      </c>
      <c r="S19" s="97">
        <f t="shared" si="27"/>
        <v>1749</v>
      </c>
      <c r="T19" s="97">
        <f t="shared" ref="T19" si="90">R19+S19+J19+M19</f>
        <v>1749</v>
      </c>
      <c r="V19" s="28">
        <v>72</v>
      </c>
      <c r="W19" s="95">
        <f t="shared" ref="W19" si="91">B19+X19</f>
        <v>46251</v>
      </c>
      <c r="X19" s="167">
        <v>60</v>
      </c>
      <c r="Y19" s="79">
        <v>400</v>
      </c>
      <c r="Z19" s="2">
        <f t="shared" ca="1" si="30"/>
        <v>0</v>
      </c>
      <c r="AA19" s="2" t="str">
        <f t="shared" ca="1" si="31"/>
        <v>프리타임기간중</v>
      </c>
      <c r="AB19" s="2" t="str">
        <f t="shared" ref="AB19" ca="1" si="92">IFERROR(Z19+AA19,"")</f>
        <v/>
      </c>
      <c r="AC19" s="103"/>
      <c r="AY19" s="142">
        <v>21</v>
      </c>
      <c r="AZ19" s="142">
        <v>360</v>
      </c>
      <c r="BF19" s="142">
        <v>72</v>
      </c>
      <c r="BJ19" s="142">
        <v>1296</v>
      </c>
    </row>
    <row r="20" spans="2:67" s="2" customFormat="1" ht="20.100000000000001" customHeight="1">
      <c r="B20" s="110">
        <v>46197</v>
      </c>
      <c r="C20" s="111" t="s">
        <v>528</v>
      </c>
      <c r="D20" s="112" t="s">
        <v>531</v>
      </c>
      <c r="E20" s="113" t="s">
        <v>534</v>
      </c>
      <c r="F20" s="114" t="s">
        <v>529</v>
      </c>
      <c r="G20" s="8" t="str">
        <f t="shared" ref="G20" si="93">C20&amp;F20</f>
        <v>SMLMBKK6A261260015KG설탕(부리람슈가코리아_사료용)</v>
      </c>
      <c r="H20" s="28">
        <v>12320</v>
      </c>
      <c r="I20" s="41">
        <f t="shared" ref="I20" si="94">ROUNDUP((H20/V20),0)</f>
        <v>172</v>
      </c>
      <c r="J20" s="29">
        <v>0</v>
      </c>
      <c r="K20" s="29">
        <f>46-2</f>
        <v>44</v>
      </c>
      <c r="L20" s="41">
        <f t="shared" ref="L20" si="95">ROUNDUP((K20/V20),0)</f>
        <v>1</v>
      </c>
      <c r="M20" s="29">
        <v>0</v>
      </c>
      <c r="N20" s="31">
        <f t="shared" ref="N20" si="96">P20-K20+M20</f>
        <v>970</v>
      </c>
      <c r="O20" s="42">
        <f t="shared" ref="O20" si="97">ROUNDUP((N20/V20),0)</f>
        <v>14</v>
      </c>
      <c r="P20" s="31">
        <f t="shared" ref="P20" si="98">H20-T20</f>
        <v>1014</v>
      </c>
      <c r="Q20" s="42">
        <f t="shared" ref="Q20" si="99">L20+O20</f>
        <v>15</v>
      </c>
      <c r="R20" s="97">
        <v>0</v>
      </c>
      <c r="S20" s="97">
        <f t="shared" si="27"/>
        <v>11306</v>
      </c>
      <c r="T20" s="97">
        <f t="shared" ref="T20" si="100">R20+S20+J20+M20</f>
        <v>11306</v>
      </c>
      <c r="V20" s="28">
        <v>72</v>
      </c>
      <c r="W20" s="95">
        <f t="shared" ref="W20" si="101">B20+X20</f>
        <v>46227</v>
      </c>
      <c r="X20" s="166">
        <v>30</v>
      </c>
      <c r="Y20" s="79">
        <v>400</v>
      </c>
      <c r="Z20" s="2">
        <f t="shared" ca="1" si="30"/>
        <v>86800</v>
      </c>
      <c r="AA20" s="2">
        <f t="shared" ca="1" si="31"/>
        <v>48000</v>
      </c>
      <c r="AB20" s="2">
        <f t="shared" ref="AB20" ca="1" si="102">IFERROR(Z20+AA20,"")</f>
        <v>134800</v>
      </c>
      <c r="AC20" s="103"/>
      <c r="AE20" s="142">
        <v>1728</v>
      </c>
      <c r="AI20" s="142">
        <v>504</v>
      </c>
      <c r="AN20" s="142">
        <v>720</v>
      </c>
      <c r="AO20" s="142">
        <v>1728</v>
      </c>
      <c r="AP20" s="142">
        <v>864</v>
      </c>
      <c r="AR20" s="142">
        <v>576</v>
      </c>
      <c r="AU20" s="142">
        <v>504</v>
      </c>
      <c r="BB20" s="142">
        <v>720</v>
      </c>
      <c r="BC20" s="142">
        <v>1728</v>
      </c>
      <c r="BD20" s="142">
        <v>2</v>
      </c>
      <c r="BI20" s="142">
        <v>504</v>
      </c>
      <c r="BK20" s="142">
        <v>1728</v>
      </c>
    </row>
    <row r="21" spans="2:67" s="2" customFormat="1" ht="20.100000000000001" customHeight="1">
      <c r="B21" s="110">
        <v>46198</v>
      </c>
      <c r="C21" s="111" t="s">
        <v>528</v>
      </c>
      <c r="D21" s="112" t="s">
        <v>532</v>
      </c>
      <c r="E21" s="113" t="s">
        <v>530</v>
      </c>
      <c r="F21" s="114" t="s">
        <v>533</v>
      </c>
      <c r="G21" s="8" t="str">
        <f t="shared" ref="G21" si="103">C21&amp;F21</f>
        <v>SMLMBKK6A261260015KG설탕(미미슈가_식품용)</v>
      </c>
      <c r="H21" s="28">
        <v>10780</v>
      </c>
      <c r="I21" s="41">
        <f t="shared" ref="I21" si="104">ROUNDUP((H21/V21),0)</f>
        <v>150</v>
      </c>
      <c r="J21" s="29">
        <v>0</v>
      </c>
      <c r="K21" s="29">
        <v>46</v>
      </c>
      <c r="L21" s="41">
        <f t="shared" ref="L21" si="105">ROUNDUP((K21/V21),0)</f>
        <v>1</v>
      </c>
      <c r="M21" s="29">
        <v>0</v>
      </c>
      <c r="N21" s="31">
        <f t="shared" ref="N21" si="106">P21-K21+M21</f>
        <v>4758</v>
      </c>
      <c r="O21" s="42">
        <f t="shared" ref="O21" si="107">ROUNDUP((N21/V21),0)</f>
        <v>67</v>
      </c>
      <c r="P21" s="31">
        <f t="shared" ref="P21" si="108">H21-T21</f>
        <v>4804</v>
      </c>
      <c r="Q21" s="42">
        <f t="shared" ref="Q21" si="109">L21+O21</f>
        <v>68</v>
      </c>
      <c r="R21" s="97">
        <v>0</v>
      </c>
      <c r="S21" s="97">
        <f t="shared" si="27"/>
        <v>5976</v>
      </c>
      <c r="T21" s="97">
        <f t="shared" ref="T21" si="110">R21+S21+J21+M21</f>
        <v>5976</v>
      </c>
      <c r="V21" s="28">
        <v>72</v>
      </c>
      <c r="W21" s="95">
        <f t="shared" ref="W21" si="111">B21+X21</f>
        <v>46228</v>
      </c>
      <c r="X21" s="166">
        <v>30</v>
      </c>
      <c r="Y21" s="79">
        <v>400</v>
      </c>
      <c r="Z21" s="2">
        <f t="shared" ca="1" si="30"/>
        <v>42000</v>
      </c>
      <c r="AA21" s="2">
        <f t="shared" ca="1" si="31"/>
        <v>190400</v>
      </c>
      <c r="AB21" s="2">
        <f t="shared" ref="AB21" ca="1" si="112">IFERROR(Z21+AA21,"")</f>
        <v>232400</v>
      </c>
      <c r="AC21" s="103"/>
      <c r="AQ21" s="2">
        <v>1728</v>
      </c>
      <c r="AS21" s="2">
        <f>72*24</f>
        <v>1728</v>
      </c>
      <c r="BE21" s="2">
        <f>72*11</f>
        <v>792</v>
      </c>
      <c r="BG21" s="2">
        <v>1728</v>
      </c>
    </row>
    <row r="22" spans="2:67" s="2" customFormat="1" ht="20.100000000000001" customHeight="1">
      <c r="B22" s="81">
        <v>46216</v>
      </c>
      <c r="C22" s="99" t="s">
        <v>692</v>
      </c>
      <c r="D22" s="98" t="s">
        <v>870</v>
      </c>
      <c r="E22" s="79" t="s">
        <v>695</v>
      </c>
      <c r="F22" s="8" t="s">
        <v>533</v>
      </c>
      <c r="G22" s="8" t="str">
        <f t="shared" ref="G22" si="113">C22&amp;F22</f>
        <v>KMTCLCH568528515KG설탕(미미슈가_식품용)</v>
      </c>
      <c r="H22" s="28">
        <v>10780</v>
      </c>
      <c r="I22" s="41">
        <f t="shared" ref="I22" si="114">ROUNDUP((H22/V22),0)</f>
        <v>150</v>
      </c>
      <c r="J22" s="29">
        <v>0</v>
      </c>
      <c r="K22" s="29">
        <v>0</v>
      </c>
      <c r="L22" s="41">
        <f t="shared" ref="L22" si="115">ROUNDUP((K22/V22),0)</f>
        <v>0</v>
      </c>
      <c r="M22" s="29">
        <v>0</v>
      </c>
      <c r="N22" s="31">
        <f t="shared" ref="N22" si="116">P22-K22+M22</f>
        <v>0</v>
      </c>
      <c r="O22" s="42">
        <f t="shared" ref="O22" si="117">ROUNDUP((N22/V22),0)</f>
        <v>0</v>
      </c>
      <c r="P22" s="31">
        <f t="shared" ref="P22" si="118">H22-T22</f>
        <v>0</v>
      </c>
      <c r="Q22" s="42">
        <f t="shared" ref="Q22" si="119">L22+O22</f>
        <v>0</v>
      </c>
      <c r="R22" s="97">
        <v>0</v>
      </c>
      <c r="S22" s="97">
        <f>SUM(AD22:KE22)</f>
        <v>10780</v>
      </c>
      <c r="T22" s="97">
        <f t="shared" ref="T22" si="120">R22+S22+J22+M22</f>
        <v>10780</v>
      </c>
      <c r="V22" s="28">
        <v>72</v>
      </c>
      <c r="W22" s="95">
        <f t="shared" ref="W22" si="121">B22+X22</f>
        <v>46246</v>
      </c>
      <c r="X22" s="166">
        <v>30</v>
      </c>
      <c r="Y22" s="79">
        <v>400</v>
      </c>
      <c r="Z22" s="2">
        <f ca="1">SUMIF($AD$6:$NP$6,G22,$AD$12:$NP$12)</f>
        <v>0</v>
      </c>
      <c r="AA22" s="2" t="str">
        <f t="shared" ref="AA22" ca="1" si="122">IF(W22&gt;TODAY(),"프리타임기간중",Q22*Y22*IF(DATE(YEAR(W22),MONTH(W22),1)&lt;DATE(YEAR($AA$2),MONTH($AA$2),1),DATEDIF($AA$2,$AA$3,"D")+1,DATEDIF(W22,$AA$3+1,"d")))</f>
        <v>프리타임기간중</v>
      </c>
      <c r="AB22" s="2" t="str">
        <f t="shared" ref="AB22" ca="1" si="123">IFERROR(Z22+AA22,"")</f>
        <v/>
      </c>
      <c r="AC22" s="103"/>
      <c r="BL22" s="142">
        <v>1540</v>
      </c>
      <c r="BM22" s="142">
        <v>1540</v>
      </c>
      <c r="BN22" s="2">
        <v>1540</v>
      </c>
      <c r="BO22" s="2">
        <f>1540*4</f>
        <v>6160</v>
      </c>
    </row>
    <row r="23" spans="2:67" s="2" customFormat="1" ht="20.100000000000001" customHeight="1">
      <c r="B23" s="81">
        <v>46212</v>
      </c>
      <c r="C23" s="99" t="s">
        <v>771</v>
      </c>
      <c r="D23" s="98" t="s">
        <v>772</v>
      </c>
      <c r="E23" s="79" t="s">
        <v>694</v>
      </c>
      <c r="F23" s="8" t="s">
        <v>693</v>
      </c>
      <c r="G23" s="8" t="str">
        <f t="shared" ref="G23" si="124">C23&amp;F23</f>
        <v>KMTCLCH5685285(본사)15KG설탕(부리람슈가코리아_사료용)</v>
      </c>
      <c r="H23" s="28">
        <v>15400</v>
      </c>
      <c r="I23" s="41">
        <f t="shared" ref="I23" si="125">ROUNDUP((H23/V23),0)</f>
        <v>214</v>
      </c>
      <c r="J23" s="29">
        <v>0</v>
      </c>
      <c r="K23" s="29">
        <v>32</v>
      </c>
      <c r="L23" s="41">
        <f t="shared" ref="L23" si="126">ROUNDUP((K23/V23),0)</f>
        <v>1</v>
      </c>
      <c r="M23" s="29">
        <v>0</v>
      </c>
      <c r="N23" s="31">
        <f t="shared" ref="N23" si="127">P23-K23+M23</f>
        <v>15368</v>
      </c>
      <c r="O23" s="42">
        <f t="shared" ref="O23" si="128">ROUNDUP((N23/V23),0)</f>
        <v>214</v>
      </c>
      <c r="P23" s="31">
        <f t="shared" ref="P23" si="129">H23-T23</f>
        <v>15400</v>
      </c>
      <c r="Q23" s="42">
        <f t="shared" ref="Q23" si="130">L23+O23</f>
        <v>215</v>
      </c>
      <c r="R23" s="97">
        <v>0</v>
      </c>
      <c r="S23" s="97">
        <f t="shared" si="27"/>
        <v>0</v>
      </c>
      <c r="T23" s="97">
        <f t="shared" ref="T23" si="131">R23+S23+J23+M23</f>
        <v>0</v>
      </c>
      <c r="V23" s="28">
        <v>72</v>
      </c>
      <c r="W23" s="95">
        <f t="shared" ref="W23" si="132">B23+X23</f>
        <v>46242</v>
      </c>
      <c r="X23" s="166">
        <v>30</v>
      </c>
      <c r="Y23" s="79">
        <v>400</v>
      </c>
      <c r="Z23" s="2">
        <f t="shared" si="30"/>
        <v>0</v>
      </c>
      <c r="AA23" s="2" t="str">
        <f t="shared" ca="1" si="31"/>
        <v>프리타임기간중</v>
      </c>
      <c r="AB23" s="2" t="str">
        <f t="shared" ref="AB23" ca="1" si="133">IFERROR(Z23+AA23,"")</f>
        <v/>
      </c>
      <c r="AC23" s="103"/>
    </row>
    <row r="24" spans="2:67" s="2" customFormat="1" ht="20.100000000000001" customHeight="1">
      <c r="B24" s="81"/>
      <c r="C24" s="99"/>
      <c r="D24" s="98"/>
      <c r="E24" s="79"/>
      <c r="F24" s="8"/>
      <c r="G24" s="8" t="str">
        <f t="shared" ref="G24" si="134">C24&amp;F24</f>
        <v/>
      </c>
      <c r="H24" s="28"/>
      <c r="I24" s="41">
        <f t="shared" ref="I24" si="135">ROUNDUP((H24/V24),0)</f>
        <v>0</v>
      </c>
      <c r="J24" s="29">
        <v>0</v>
      </c>
      <c r="K24" s="29">
        <v>0</v>
      </c>
      <c r="L24" s="41">
        <f t="shared" ref="L24" si="136">ROUNDUP((K24/V24),0)</f>
        <v>0</v>
      </c>
      <c r="M24" s="29">
        <v>0</v>
      </c>
      <c r="N24" s="31">
        <f t="shared" ref="N24" si="137">P24-K24+M24</f>
        <v>0</v>
      </c>
      <c r="O24" s="42">
        <f t="shared" ref="O24" si="138">ROUNDUP((N24/V24),0)</f>
        <v>0</v>
      </c>
      <c r="P24" s="31">
        <f t="shared" ref="P24" si="139">H24-T24</f>
        <v>0</v>
      </c>
      <c r="Q24" s="42">
        <f t="shared" ref="Q24" si="140">L24+O24</f>
        <v>0</v>
      </c>
      <c r="R24" s="97">
        <v>0</v>
      </c>
      <c r="S24" s="97">
        <f t="shared" si="27"/>
        <v>0</v>
      </c>
      <c r="T24" s="97">
        <f t="shared" ref="T24" si="141">R24+S24+J24+M24</f>
        <v>0</v>
      </c>
      <c r="V24" s="28">
        <v>1</v>
      </c>
      <c r="W24" s="95">
        <f t="shared" ref="W24" si="142">B24+X24</f>
        <v>30</v>
      </c>
      <c r="X24" s="166">
        <v>30</v>
      </c>
      <c r="Y24" s="79">
        <v>400</v>
      </c>
      <c r="Z24" s="2">
        <f t="shared" ca="1" si="30"/>
        <v>0</v>
      </c>
      <c r="AA24" s="2">
        <f t="shared" ref="AA24" ca="1" si="143">IF(W24&gt;TODAY(),"프리타임기간중",Q24*Y24*IF(DATE(YEAR(W24),MONTH(W24),1)&lt;DATE(YEAR($AA$2),MONTH($AA$2),1),DATEDIF($AA$2,$AA$3,"D")+1,DATEDIF(W24,$AA$3+1,"d")))</f>
        <v>0</v>
      </c>
      <c r="AB24" s="2">
        <f t="shared" ref="AB24" ca="1" si="144">IFERROR(Z24+AA24,"")</f>
        <v>0</v>
      </c>
      <c r="AC24" s="103"/>
    </row>
    <row r="25" spans="2:67" s="2" customFormat="1" ht="18.75" customHeight="1">
      <c r="B25" s="81"/>
      <c r="C25" s="99"/>
      <c r="D25" s="98"/>
      <c r="E25" s="79"/>
      <c r="F25" s="8"/>
      <c r="G25" s="8"/>
      <c r="H25" s="28"/>
      <c r="I25" s="41"/>
      <c r="J25" s="29"/>
      <c r="K25" s="29"/>
      <c r="L25" s="41"/>
      <c r="M25" s="29"/>
      <c r="N25" s="31"/>
      <c r="O25" s="42"/>
      <c r="P25" s="31"/>
      <c r="Q25" s="42"/>
      <c r="R25" s="28"/>
      <c r="S25" s="97"/>
      <c r="T25" s="97"/>
      <c r="U25" s="96"/>
      <c r="V25" s="28"/>
      <c r="W25" s="95"/>
      <c r="X25" s="79"/>
      <c r="Y25" s="79"/>
      <c r="AC25" s="103"/>
    </row>
    <row r="26" spans="2:67" s="1" customFormat="1" ht="15" customHeight="1">
      <c r="B26" s="6"/>
      <c r="C26" s="7"/>
      <c r="D26" s="7"/>
      <c r="E26" s="6"/>
      <c r="F26" s="6"/>
      <c r="G26" s="6"/>
      <c r="H26" s="16"/>
      <c r="I26" s="40"/>
      <c r="J26" s="16"/>
      <c r="K26" s="16"/>
      <c r="L26" s="40"/>
      <c r="M26" s="16"/>
      <c r="N26" s="16"/>
      <c r="O26" s="40"/>
      <c r="P26" s="21"/>
      <c r="Q26" s="22"/>
      <c r="R26" s="16">
        <v>0</v>
      </c>
      <c r="S26" s="30"/>
      <c r="T26" s="30"/>
      <c r="U26" s="94"/>
      <c r="V26" s="21"/>
      <c r="W26" s="7"/>
      <c r="X26" s="7"/>
      <c r="Y26" s="7"/>
      <c r="AC26" s="60"/>
    </row>
    <row r="27" spans="2:67" ht="15" customHeight="1">
      <c r="E27" s="115"/>
      <c r="F27" s="115"/>
      <c r="G27" s="115"/>
    </row>
    <row r="28" spans="2:67" ht="15" customHeight="1">
      <c r="B28" s="7"/>
      <c r="C28" s="7" t="s">
        <v>303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Z28" s="7"/>
      <c r="AA28" s="7"/>
      <c r="AB28" s="7"/>
      <c r="AC28" s="7"/>
    </row>
    <row r="29" spans="2:67" ht="15" customHeight="1">
      <c r="B29" s="7"/>
      <c r="C29" s="104">
        <v>46079</v>
      </c>
      <c r="D29" s="7">
        <v>107</v>
      </c>
      <c r="E29" s="7"/>
      <c r="F29" s="7">
        <v>107</v>
      </c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Z29" s="7"/>
      <c r="AA29" s="7"/>
      <c r="AB29" s="7"/>
      <c r="AC29" s="7"/>
    </row>
    <row r="30" spans="2:67" ht="15" customHeight="1">
      <c r="B30" s="7"/>
      <c r="C30" s="120">
        <v>46080</v>
      </c>
      <c r="E30" s="7">
        <v>107</v>
      </c>
      <c r="F30" s="7">
        <f t="shared" ref="F30:F50" si="145">F29+D30-E30</f>
        <v>0</v>
      </c>
      <c r="G30" s="7" t="s">
        <v>307</v>
      </c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Z30" s="7"/>
      <c r="AA30" s="7"/>
      <c r="AB30" s="7"/>
      <c r="AC30" s="7"/>
    </row>
    <row r="31" spans="2:67" ht="15" customHeight="1">
      <c r="B31" s="7"/>
      <c r="C31" s="104">
        <v>46086</v>
      </c>
      <c r="D31" s="7">
        <v>107</v>
      </c>
      <c r="E31" s="7"/>
      <c r="F31" s="7">
        <f t="shared" si="145"/>
        <v>107</v>
      </c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Z31" s="7"/>
      <c r="AA31" s="7"/>
      <c r="AB31" s="7"/>
      <c r="AC31" s="7"/>
    </row>
    <row r="32" spans="2:67" ht="15" customHeight="1">
      <c r="B32" s="7"/>
      <c r="C32" s="104">
        <v>46087</v>
      </c>
      <c r="E32" s="7">
        <v>107</v>
      </c>
      <c r="F32" s="7">
        <f t="shared" si="145"/>
        <v>0</v>
      </c>
      <c r="G32" s="7" t="s">
        <v>320</v>
      </c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Z32" s="7"/>
      <c r="AA32" s="7"/>
      <c r="AB32" s="7"/>
      <c r="AC32" s="7"/>
    </row>
    <row r="33" spans="3:7" s="7" customFormat="1" ht="15" customHeight="1">
      <c r="C33" s="120">
        <v>46134</v>
      </c>
      <c r="D33" s="7">
        <v>1</v>
      </c>
      <c r="F33" s="7">
        <f t="shared" si="145"/>
        <v>1</v>
      </c>
      <c r="G33" s="7" t="s">
        <v>356</v>
      </c>
    </row>
    <row r="34" spans="3:7" s="7" customFormat="1" ht="15" customHeight="1">
      <c r="C34" s="104">
        <v>46133</v>
      </c>
      <c r="D34" s="7">
        <v>107</v>
      </c>
      <c r="F34" s="7">
        <f t="shared" si="145"/>
        <v>108</v>
      </c>
    </row>
    <row r="35" spans="3:7" s="7" customFormat="1" ht="15" customHeight="1">
      <c r="C35" s="104">
        <v>46139</v>
      </c>
      <c r="E35" s="7">
        <v>107</v>
      </c>
      <c r="F35" s="7">
        <f t="shared" si="145"/>
        <v>1</v>
      </c>
      <c r="G35" s="7" t="s">
        <v>370</v>
      </c>
    </row>
    <row r="36" spans="3:7" s="7" customFormat="1" ht="15" customHeight="1">
      <c r="C36" s="104">
        <v>46142</v>
      </c>
      <c r="D36" s="7">
        <v>128</v>
      </c>
      <c r="F36" s="7">
        <f t="shared" si="145"/>
        <v>129</v>
      </c>
    </row>
    <row r="37" spans="3:7" s="7" customFormat="1" ht="15" customHeight="1">
      <c r="C37" s="104">
        <v>46144</v>
      </c>
      <c r="D37" s="7">
        <v>94</v>
      </c>
      <c r="F37" s="7">
        <f t="shared" si="145"/>
        <v>223</v>
      </c>
    </row>
    <row r="38" spans="3:7" s="7" customFormat="1" ht="15" customHeight="1">
      <c r="C38" s="104">
        <v>46148</v>
      </c>
      <c r="D38" s="7">
        <v>1</v>
      </c>
      <c r="F38" s="7">
        <f t="shared" si="145"/>
        <v>224</v>
      </c>
      <c r="G38" s="7" t="s">
        <v>371</v>
      </c>
    </row>
    <row r="39" spans="3:7" s="7" customFormat="1" ht="15" customHeight="1">
      <c r="C39" s="104">
        <v>46148</v>
      </c>
      <c r="E39" s="7">
        <v>223</v>
      </c>
      <c r="F39" s="7">
        <f t="shared" si="145"/>
        <v>1</v>
      </c>
      <c r="G39" s="7" t="s">
        <v>373</v>
      </c>
    </row>
    <row r="40" spans="3:7" s="7" customFormat="1" ht="15" customHeight="1">
      <c r="C40" s="104">
        <v>46150</v>
      </c>
      <c r="D40" s="7">
        <v>1</v>
      </c>
      <c r="F40" s="7">
        <f t="shared" si="145"/>
        <v>2</v>
      </c>
      <c r="G40" s="7" t="s">
        <v>377</v>
      </c>
    </row>
    <row r="41" spans="3:7" s="7" customFormat="1" ht="15" customHeight="1">
      <c r="C41" s="120">
        <v>46163</v>
      </c>
      <c r="E41" s="7">
        <v>107</v>
      </c>
      <c r="F41" s="7">
        <f t="shared" si="145"/>
        <v>-105</v>
      </c>
      <c r="G41" s="7" t="s">
        <v>437</v>
      </c>
    </row>
    <row r="42" spans="3:7" s="7" customFormat="1" ht="15" customHeight="1">
      <c r="C42" s="104">
        <v>46178</v>
      </c>
      <c r="D42" s="7">
        <v>107</v>
      </c>
      <c r="F42" s="7">
        <f t="shared" si="145"/>
        <v>2</v>
      </c>
    </row>
    <row r="43" spans="3:7" s="7" customFormat="1" ht="15" customHeight="1">
      <c r="C43" s="104">
        <v>46181</v>
      </c>
      <c r="D43" s="7">
        <v>107</v>
      </c>
      <c r="E43" s="7">
        <v>108</v>
      </c>
      <c r="F43" s="7">
        <f t="shared" si="145"/>
        <v>1</v>
      </c>
      <c r="G43" s="7" t="s">
        <v>444</v>
      </c>
    </row>
    <row r="44" spans="3:7" s="7" customFormat="1" ht="15" customHeight="1">
      <c r="C44" s="104">
        <v>46190</v>
      </c>
      <c r="D44" s="7">
        <v>109</v>
      </c>
      <c r="F44" s="7">
        <f t="shared" si="145"/>
        <v>110</v>
      </c>
    </row>
    <row r="45" spans="3:7" s="7" customFormat="1" ht="15" customHeight="1">
      <c r="C45" s="104">
        <v>46191</v>
      </c>
      <c r="E45" s="7">
        <v>2</v>
      </c>
      <c r="F45" s="7">
        <f t="shared" si="145"/>
        <v>108</v>
      </c>
      <c r="G45" s="7" t="s">
        <v>482</v>
      </c>
    </row>
    <row r="46" spans="3:7" s="7" customFormat="1" ht="15" customHeight="1">
      <c r="C46" s="104">
        <v>46191</v>
      </c>
      <c r="E46" s="7">
        <v>107</v>
      </c>
      <c r="F46" s="7">
        <f t="shared" si="145"/>
        <v>1</v>
      </c>
      <c r="G46" s="7" t="s">
        <v>549</v>
      </c>
    </row>
    <row r="47" spans="3:7" s="7" customFormat="1" ht="15" customHeight="1">
      <c r="C47" s="120">
        <v>46196</v>
      </c>
      <c r="D47" s="7">
        <v>150</v>
      </c>
      <c r="F47" s="7">
        <f t="shared" si="145"/>
        <v>151</v>
      </c>
      <c r="G47" s="7" t="s">
        <v>548</v>
      </c>
    </row>
    <row r="48" spans="3:7" s="7" customFormat="1" ht="15" customHeight="1">
      <c r="C48" s="120">
        <v>46198</v>
      </c>
      <c r="E48" s="7">
        <v>151</v>
      </c>
      <c r="F48" s="7">
        <f t="shared" si="145"/>
        <v>0</v>
      </c>
    </row>
    <row r="49" spans="3:7" s="7" customFormat="1" ht="15" customHeight="1">
      <c r="C49" s="104">
        <v>46210</v>
      </c>
      <c r="D49" s="7">
        <v>150</v>
      </c>
      <c r="F49" s="7">
        <f t="shared" si="145"/>
        <v>150</v>
      </c>
    </row>
    <row r="50" spans="3:7" s="7" customFormat="1" ht="15" customHeight="1">
      <c r="C50" s="104">
        <v>46216</v>
      </c>
      <c r="E50" s="7">
        <v>150</v>
      </c>
      <c r="F50" s="7">
        <f t="shared" si="145"/>
        <v>0</v>
      </c>
      <c r="G50" s="7" t="s">
        <v>692</v>
      </c>
    </row>
    <row r="51" spans="3:7" s="7" customFormat="1" ht="15" customHeight="1"/>
    <row r="52" spans="3:7" s="7" customFormat="1" ht="15" customHeight="1"/>
    <row r="53" spans="3:7" s="7" customFormat="1" ht="15" customHeight="1">
      <c r="C53" s="7" t="s">
        <v>494</v>
      </c>
    </row>
    <row r="54" spans="3:7" s="7" customFormat="1" ht="15" customHeight="1">
      <c r="C54" s="104">
        <v>46195</v>
      </c>
      <c r="D54" s="7">
        <v>172</v>
      </c>
      <c r="F54" s="7">
        <v>172</v>
      </c>
    </row>
    <row r="55" spans="3:7" s="7" customFormat="1" ht="15" customHeight="1">
      <c r="C55" s="104">
        <v>46197</v>
      </c>
      <c r="E55" s="7">
        <v>172</v>
      </c>
      <c r="F55" s="7">
        <f>F54+D55-E55</f>
        <v>0</v>
      </c>
      <c r="G55" s="7" t="s">
        <v>548</v>
      </c>
    </row>
    <row r="56" spans="3:7" s="7" customFormat="1" ht="15" customHeight="1">
      <c r="F56" s="7">
        <f>F55+D56-E56</f>
        <v>0</v>
      </c>
    </row>
    <row r="57" spans="3:7" s="7" customFormat="1" ht="15" customHeight="1"/>
    <row r="58" spans="3:7" s="7" customFormat="1" ht="15" customHeight="1">
      <c r="C58" s="7" t="s">
        <v>378</v>
      </c>
    </row>
    <row r="59" spans="3:7" s="7" customFormat="1" ht="15" customHeight="1">
      <c r="C59" s="104">
        <v>46150</v>
      </c>
      <c r="D59" s="7">
        <v>48</v>
      </c>
      <c r="F59" s="7">
        <v>48</v>
      </c>
    </row>
    <row r="60" spans="3:7" s="7" customFormat="1" ht="15" customHeight="1">
      <c r="C60" s="104">
        <v>46162</v>
      </c>
      <c r="E60" s="7">
        <v>1</v>
      </c>
      <c r="F60" s="7">
        <f>F59+D60-E60</f>
        <v>47</v>
      </c>
      <c r="G60" s="7" t="s">
        <v>396</v>
      </c>
    </row>
    <row r="61" spans="3:7" s="7" customFormat="1" ht="15" customHeight="1">
      <c r="C61" s="120">
        <v>46170</v>
      </c>
      <c r="E61" s="7">
        <v>25</v>
      </c>
      <c r="F61" s="7">
        <f>F60+D61-E61</f>
        <v>22</v>
      </c>
      <c r="G61" s="7" t="s">
        <v>466</v>
      </c>
    </row>
    <row r="62" spans="3:7" s="7" customFormat="1" ht="15" customHeight="1">
      <c r="C62" s="120">
        <v>46191</v>
      </c>
      <c r="E62" s="7">
        <v>1</v>
      </c>
      <c r="F62" s="7">
        <f t="shared" ref="F62:F64" si="146">F61+D62-E62</f>
        <v>21</v>
      </c>
      <c r="G62" s="7" t="s">
        <v>478</v>
      </c>
    </row>
    <row r="63" spans="3:7" s="7" customFormat="1" ht="15" customHeight="1">
      <c r="F63" s="7">
        <f t="shared" si="146"/>
        <v>21</v>
      </c>
    </row>
    <row r="64" spans="3:7" s="7" customFormat="1" ht="15" customHeight="1">
      <c r="F64" s="7">
        <f t="shared" si="146"/>
        <v>21</v>
      </c>
    </row>
    <row r="65" s="7" customFormat="1" ht="15" customHeight="1"/>
    <row r="66" s="7" customFormat="1" ht="15" customHeight="1"/>
    <row r="67" s="7" customFormat="1" ht="15" customHeight="1"/>
    <row r="68" s="7" customFormat="1" ht="15" customHeight="1"/>
    <row r="69" s="7" customFormat="1" ht="15" customHeight="1"/>
    <row r="70" s="7" customFormat="1" ht="15" customHeight="1"/>
    <row r="71" s="7" customFormat="1" ht="15" customHeight="1"/>
    <row r="72" s="7" customFormat="1" ht="15" customHeight="1"/>
    <row r="73" s="7" customFormat="1" ht="15" customHeight="1"/>
    <row r="74" s="7" customFormat="1" ht="15" customHeight="1"/>
    <row r="75" s="7" customFormat="1" ht="15" customHeight="1"/>
    <row r="76" s="7" customFormat="1" ht="15" customHeight="1"/>
    <row r="77" s="7" customFormat="1" ht="15" customHeight="1"/>
    <row r="78" s="7" customFormat="1" ht="15" customHeight="1"/>
    <row r="79" s="7" customFormat="1" ht="15" customHeight="1"/>
    <row r="80" s="7" customFormat="1" ht="15" customHeight="1"/>
    <row r="81" s="7" customFormat="1" ht="15" customHeight="1"/>
    <row r="82" s="7" customFormat="1" ht="15" customHeight="1"/>
    <row r="83" s="7" customFormat="1" ht="15" customHeight="1"/>
    <row r="84" s="7" customFormat="1" ht="15" customHeight="1"/>
    <row r="85" s="7" customFormat="1" ht="15" customHeight="1"/>
    <row r="86" s="7" customFormat="1" ht="15" customHeight="1"/>
    <row r="87" s="7" customFormat="1" ht="15" customHeight="1"/>
    <row r="88" s="7" customFormat="1" ht="15" customHeight="1"/>
    <row r="89" s="7" customFormat="1" ht="15" customHeight="1"/>
    <row r="90" s="7" customFormat="1" ht="15" customHeight="1"/>
    <row r="91" s="7" customFormat="1" ht="15" customHeight="1"/>
    <row r="92" s="7" customFormat="1" ht="15" customHeight="1"/>
    <row r="93" s="7" customFormat="1" ht="15" customHeight="1"/>
    <row r="94" s="7" customFormat="1" ht="15" customHeight="1"/>
  </sheetData>
  <autoFilter ref="B12:AC24" xr:uid="{CE4CE2B9-9C11-4CF4-8B76-548AC4B7A741}"/>
  <mergeCells count="27">
    <mergeCell ref="G4:G12"/>
    <mergeCell ref="B4:B12"/>
    <mergeCell ref="C4:C12"/>
    <mergeCell ref="D4:D12"/>
    <mergeCell ref="E4:E12"/>
    <mergeCell ref="F4:F12"/>
    <mergeCell ref="S4:S12"/>
    <mergeCell ref="H4:H12"/>
    <mergeCell ref="I4:I12"/>
    <mergeCell ref="J4:J12"/>
    <mergeCell ref="K4:K12"/>
    <mergeCell ref="L4:L12"/>
    <mergeCell ref="M4:M12"/>
    <mergeCell ref="N4:N12"/>
    <mergeCell ref="O4:O12"/>
    <mergeCell ref="P4:P12"/>
    <mergeCell ref="Q4:Q12"/>
    <mergeCell ref="R4:R12"/>
    <mergeCell ref="Z4:Z12"/>
    <mergeCell ref="AA4:AA12"/>
    <mergeCell ref="AB4:AB12"/>
    <mergeCell ref="T4:T12"/>
    <mergeCell ref="U4:U12"/>
    <mergeCell ref="V4:V12"/>
    <mergeCell ref="W4:W12"/>
    <mergeCell ref="X4:X12"/>
    <mergeCell ref="Y4:Y12"/>
  </mergeCells>
  <phoneticPr fontId="2" type="noConversion"/>
  <pageMargins left="0.70866141732283472" right="0.70866141732283472" top="0.74803149606299213" bottom="0.74803149606299213" header="0.31496062992125984" footer="0.31496062992125984"/>
  <pageSetup paperSize="9" orientation="landscape" horizontalDpi="4294967293" verticalDpi="20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1D3A6-6536-43A1-B58B-E16D7EAD3C84}">
  <sheetPr codeName="Sheet30">
    <pageSetUpPr fitToPage="1"/>
  </sheetPr>
  <dimension ref="B1:AY84"/>
  <sheetViews>
    <sheetView zoomScaleNormal="100" workbookViewId="0">
      <pane xSplit="29" ySplit="12" topLeftCell="AD13" activePane="bottomRight" state="frozen"/>
      <selection activeCell="C17" sqref="C17"/>
      <selection pane="topRight" activeCell="C17" sqref="C17"/>
      <selection pane="bottomLeft" activeCell="C17" sqref="C17"/>
      <selection pane="bottomRight" activeCell="F18" sqref="F18"/>
    </sheetView>
  </sheetViews>
  <sheetFormatPr defaultColWidth="9" defaultRowHeight="11.25" outlineLevelCol="1"/>
  <cols>
    <col min="1" max="1" width="2" style="7" customWidth="1"/>
    <col min="2" max="2" width="11" style="6" customWidth="1"/>
    <col min="3" max="3" width="16.75" style="7" bestFit="1" customWidth="1"/>
    <col min="4" max="4" width="17.5" style="7" bestFit="1" customWidth="1"/>
    <col min="5" max="5" width="8.875" style="6" customWidth="1"/>
    <col min="6" max="6" width="19.25" style="6" customWidth="1"/>
    <col min="7" max="7" width="8.5" style="6" hidden="1" customWidth="1" outlineLevel="1"/>
    <col min="8" max="8" width="6.75" style="16" hidden="1" customWidth="1" outlineLevel="1"/>
    <col min="9" max="9" width="6.75" style="40" hidden="1" customWidth="1" outlineLevel="1"/>
    <col min="10" max="11" width="6.75" style="16" hidden="1" customWidth="1" outlineLevel="1"/>
    <col min="12" max="12" width="6.75" style="40" hidden="1" customWidth="1" outlineLevel="1"/>
    <col min="13" max="13" width="6.75" style="16" hidden="1" customWidth="1" outlineLevel="1"/>
    <col min="14" max="14" width="6.75" style="16" customWidth="1" collapsed="1"/>
    <col min="15" max="15" width="7" style="40" customWidth="1"/>
    <col min="16" max="16" width="6.75" style="21" customWidth="1"/>
    <col min="17" max="17" width="6.75" style="22" customWidth="1"/>
    <col min="18" max="18" width="6.75" style="16" hidden="1" customWidth="1" outlineLevel="1"/>
    <col min="19" max="20" width="6.75" style="30" hidden="1" customWidth="1" outlineLevel="1"/>
    <col min="21" max="21" width="15.625" style="1" hidden="1" customWidth="1" outlineLevel="1"/>
    <col min="22" max="22" width="4.625" style="30" hidden="1" customWidth="1" outlineLevel="1"/>
    <col min="23" max="23" width="9.25" style="7" hidden="1" customWidth="1" outlineLevel="1"/>
    <col min="24" max="24" width="5" style="7" hidden="1" customWidth="1" outlineLevel="1"/>
    <col min="25" max="25" width="4.5" style="7" hidden="1" customWidth="1" outlineLevel="1"/>
    <col min="26" max="28" width="7.25" style="1" hidden="1" customWidth="1" outlineLevel="1"/>
    <col min="29" max="29" width="15.75" style="60" customWidth="1" collapsed="1"/>
    <col min="30" max="51" width="20.625" style="7" customWidth="1"/>
    <col min="52" max="16384" width="9" style="7"/>
  </cols>
  <sheetData>
    <row r="1" spans="2:51" s="23" customFormat="1" ht="20.100000000000001" customHeight="1">
      <c r="H1" s="25"/>
      <c r="I1" s="36"/>
      <c r="J1" s="25"/>
      <c r="K1" s="25"/>
      <c r="L1" s="36"/>
      <c r="M1" s="25"/>
      <c r="N1" s="25"/>
      <c r="O1" s="36"/>
      <c r="P1" s="25"/>
      <c r="Q1" s="36"/>
      <c r="R1" s="25"/>
      <c r="S1" s="25"/>
      <c r="T1" s="25"/>
      <c r="U1" s="148"/>
      <c r="V1" s="25"/>
      <c r="AC1" s="54"/>
    </row>
    <row r="2" spans="2:51" s="23" customFormat="1" ht="20.100000000000001" customHeight="1">
      <c r="F2" s="63"/>
      <c r="H2" s="25"/>
      <c r="I2" s="36"/>
      <c r="J2" s="25"/>
      <c r="K2" s="25"/>
      <c r="L2" s="36"/>
      <c r="M2" s="25"/>
      <c r="N2" s="25"/>
      <c r="O2" s="36"/>
      <c r="P2" s="25"/>
      <c r="Q2" s="36"/>
      <c r="R2" s="25"/>
      <c r="S2" s="25"/>
      <c r="T2" s="25"/>
      <c r="U2" s="148"/>
      <c r="V2" s="25"/>
      <c r="Z2" s="23" t="s">
        <v>87</v>
      </c>
      <c r="AA2" s="102">
        <v>46204</v>
      </c>
      <c r="AC2" s="54"/>
    </row>
    <row r="3" spans="2:51" s="23" customFormat="1" ht="20.100000000000001" customHeight="1" thickBot="1">
      <c r="H3" s="25"/>
      <c r="I3" s="36"/>
      <c r="J3" s="25"/>
      <c r="K3" s="25"/>
      <c r="L3" s="36"/>
      <c r="M3" s="25"/>
      <c r="N3" s="25"/>
      <c r="O3" s="36"/>
      <c r="P3" s="25"/>
      <c r="Q3" s="36"/>
      <c r="R3" s="25"/>
      <c r="S3" s="25"/>
      <c r="T3" s="25"/>
      <c r="U3" s="148"/>
      <c r="V3" s="25"/>
      <c r="Z3" s="23" t="s">
        <v>86</v>
      </c>
      <c r="AA3" s="102">
        <v>46234</v>
      </c>
      <c r="AC3" s="54"/>
    </row>
    <row r="4" spans="2:51" s="104" customFormat="1" ht="22.5" customHeight="1">
      <c r="B4" s="187" t="s">
        <v>16</v>
      </c>
      <c r="C4" s="173" t="s">
        <v>17</v>
      </c>
      <c r="D4" s="173" t="s">
        <v>18</v>
      </c>
      <c r="E4" s="173" t="s">
        <v>19</v>
      </c>
      <c r="F4" s="173" t="s">
        <v>20</v>
      </c>
      <c r="G4" s="173" t="s">
        <v>49</v>
      </c>
      <c r="H4" s="179" t="s">
        <v>21</v>
      </c>
      <c r="I4" s="182" t="s">
        <v>22</v>
      </c>
      <c r="J4" s="185" t="s">
        <v>71</v>
      </c>
      <c r="K4" s="185" t="s">
        <v>23</v>
      </c>
      <c r="L4" s="186" t="s">
        <v>9</v>
      </c>
      <c r="M4" s="179" t="s">
        <v>24</v>
      </c>
      <c r="N4" s="179" t="s">
        <v>25</v>
      </c>
      <c r="O4" s="182" t="s">
        <v>26</v>
      </c>
      <c r="P4" s="179" t="s">
        <v>27</v>
      </c>
      <c r="Q4" s="182" t="s">
        <v>28</v>
      </c>
      <c r="R4" s="179" t="s">
        <v>29</v>
      </c>
      <c r="S4" s="179" t="s">
        <v>30</v>
      </c>
      <c r="T4" s="179" t="s">
        <v>31</v>
      </c>
      <c r="U4" s="173" t="s">
        <v>32</v>
      </c>
      <c r="V4" s="179" t="s">
        <v>33</v>
      </c>
      <c r="W4" s="173" t="s">
        <v>34</v>
      </c>
      <c r="X4" s="173" t="s">
        <v>35</v>
      </c>
      <c r="Y4" s="173" t="s">
        <v>36</v>
      </c>
      <c r="Z4" s="173" t="s">
        <v>37</v>
      </c>
      <c r="AA4" s="173" t="s">
        <v>38</v>
      </c>
      <c r="AB4" s="176" t="s">
        <v>39</v>
      </c>
      <c r="AC4" s="135" t="s">
        <v>0</v>
      </c>
      <c r="AD4" s="104">
        <v>46206</v>
      </c>
      <c r="AE4" s="104">
        <v>46213</v>
      </c>
      <c r="AF4" s="104">
        <v>46213</v>
      </c>
      <c r="AG4" s="104">
        <v>46213</v>
      </c>
      <c r="AH4" s="104">
        <v>46225</v>
      </c>
      <c r="AI4" s="104">
        <v>46233</v>
      </c>
    </row>
    <row r="5" spans="2:51" ht="20.100000000000001" customHeight="1">
      <c r="B5" s="188"/>
      <c r="C5" s="174"/>
      <c r="D5" s="174"/>
      <c r="E5" s="174"/>
      <c r="F5" s="174"/>
      <c r="G5" s="174"/>
      <c r="H5" s="180"/>
      <c r="I5" s="183"/>
      <c r="J5" s="180"/>
      <c r="K5" s="180"/>
      <c r="L5" s="183"/>
      <c r="M5" s="180"/>
      <c r="N5" s="180"/>
      <c r="O5" s="183"/>
      <c r="P5" s="180"/>
      <c r="Q5" s="183"/>
      <c r="R5" s="180"/>
      <c r="S5" s="180"/>
      <c r="T5" s="180"/>
      <c r="U5" s="174"/>
      <c r="V5" s="180"/>
      <c r="W5" s="174"/>
      <c r="X5" s="174"/>
      <c r="Y5" s="174"/>
      <c r="Z5" s="174"/>
      <c r="AA5" s="174"/>
      <c r="AB5" s="177"/>
      <c r="AC5" s="70" t="s">
        <v>1</v>
      </c>
      <c r="AD5" s="7" t="s">
        <v>675</v>
      </c>
      <c r="AE5" s="7" t="s">
        <v>613</v>
      </c>
      <c r="AF5" s="7" t="s">
        <v>613</v>
      </c>
      <c r="AG5" s="7" t="s">
        <v>613</v>
      </c>
      <c r="AH5" s="7" t="s">
        <v>613</v>
      </c>
      <c r="AI5" s="7" t="s">
        <v>613</v>
      </c>
    </row>
    <row r="6" spans="2:51" ht="15" customHeight="1">
      <c r="B6" s="188"/>
      <c r="C6" s="174"/>
      <c r="D6" s="174"/>
      <c r="E6" s="174"/>
      <c r="F6" s="174"/>
      <c r="G6" s="174"/>
      <c r="H6" s="180"/>
      <c r="I6" s="183"/>
      <c r="J6" s="180"/>
      <c r="K6" s="180"/>
      <c r="L6" s="183"/>
      <c r="M6" s="180"/>
      <c r="N6" s="180"/>
      <c r="O6" s="183"/>
      <c r="P6" s="180"/>
      <c r="Q6" s="183"/>
      <c r="R6" s="180"/>
      <c r="S6" s="180"/>
      <c r="T6" s="180"/>
      <c r="U6" s="174"/>
      <c r="V6" s="180"/>
      <c r="W6" s="174"/>
      <c r="X6" s="174"/>
      <c r="Y6" s="174"/>
      <c r="Z6" s="174"/>
      <c r="AA6" s="174"/>
      <c r="AB6" s="177"/>
      <c r="AC6" s="58" t="s">
        <v>2</v>
      </c>
      <c r="AD6" s="17" t="str">
        <f>IFERROR(INDEX($G$13:$G$375,MATCH(SUM(AD$13:AD$375),AD$13:AD$375,0),1),"")</f>
        <v>KMTCKHI0692807핑크솔트</v>
      </c>
      <c r="AE6" s="17" t="str">
        <f t="shared" ref="AE6:AH6" si="0">IFERROR(INDEX($G$13:$G$375,MATCH(SUM(AE$13:AE$375),AE$13:AE$375,0),1),"")</f>
        <v>KMTCKHI0692807핑크솔트</v>
      </c>
      <c r="AF6" s="17" t="str">
        <f t="shared" si="0"/>
        <v>KMTCKHI0692807핑크솔트</v>
      </c>
      <c r="AG6" s="17" t="str">
        <f t="shared" si="0"/>
        <v>EGLV09050025019325KG설탕(씨엔트레이드)</v>
      </c>
      <c r="AH6" s="17" t="str">
        <f t="shared" si="0"/>
        <v>NSSLLCICC260018025KG설탕</v>
      </c>
      <c r="AI6" s="17" t="str">
        <f t="shared" ref="AI6:AY6" si="1">IFERROR(INDEX($C$13:$C$375,MATCH(SUM(AI$13:AI$375),AI$13:AI$375,0),1),"")</f>
        <v>NSSLLCICC2600180</v>
      </c>
      <c r="AJ6" s="17" t="str">
        <f t="shared" si="1"/>
        <v/>
      </c>
      <c r="AK6" s="17" t="str">
        <f t="shared" si="1"/>
        <v/>
      </c>
      <c r="AL6" s="17" t="str">
        <f t="shared" si="1"/>
        <v/>
      </c>
      <c r="AM6" s="17" t="str">
        <f t="shared" si="1"/>
        <v/>
      </c>
      <c r="AN6" s="17" t="str">
        <f t="shared" si="1"/>
        <v/>
      </c>
      <c r="AO6" s="17" t="str">
        <f t="shared" si="1"/>
        <v/>
      </c>
      <c r="AP6" s="17" t="str">
        <f t="shared" si="1"/>
        <v/>
      </c>
      <c r="AQ6" s="17" t="str">
        <f t="shared" si="1"/>
        <v/>
      </c>
      <c r="AR6" s="17" t="str">
        <f t="shared" si="1"/>
        <v/>
      </c>
      <c r="AS6" s="17" t="str">
        <f t="shared" si="1"/>
        <v/>
      </c>
      <c r="AT6" s="17" t="str">
        <f t="shared" si="1"/>
        <v/>
      </c>
      <c r="AU6" s="17" t="str">
        <f t="shared" si="1"/>
        <v/>
      </c>
      <c r="AV6" s="17" t="str">
        <f t="shared" si="1"/>
        <v/>
      </c>
      <c r="AW6" s="17" t="str">
        <f t="shared" si="1"/>
        <v/>
      </c>
      <c r="AX6" s="17" t="str">
        <f t="shared" si="1"/>
        <v/>
      </c>
      <c r="AY6" s="17" t="str">
        <f t="shared" si="1"/>
        <v/>
      </c>
    </row>
    <row r="7" spans="2:51" ht="15" customHeight="1">
      <c r="B7" s="188"/>
      <c r="C7" s="174"/>
      <c r="D7" s="174"/>
      <c r="E7" s="174"/>
      <c r="F7" s="174"/>
      <c r="G7" s="174"/>
      <c r="H7" s="180"/>
      <c r="I7" s="183"/>
      <c r="J7" s="180"/>
      <c r="K7" s="180"/>
      <c r="L7" s="183"/>
      <c r="M7" s="180"/>
      <c r="N7" s="180"/>
      <c r="O7" s="183"/>
      <c r="P7" s="180"/>
      <c r="Q7" s="183"/>
      <c r="R7" s="180"/>
      <c r="S7" s="180"/>
      <c r="T7" s="180"/>
      <c r="U7" s="174"/>
      <c r="V7" s="180"/>
      <c r="W7" s="174"/>
      <c r="X7" s="174"/>
      <c r="Y7" s="174"/>
      <c r="Z7" s="174"/>
      <c r="AA7" s="174"/>
      <c r="AB7" s="177"/>
      <c r="AC7" s="58" t="s">
        <v>3</v>
      </c>
      <c r="AD7" s="101" t="str">
        <f t="shared" ref="AD7:AY7" si="2">IFERROR(INDEX($F$13:$F$375,MATCH(SUM(AD$13:AD$375),AD$13:AD$375,0),1),"")</f>
        <v>핑크솔트</v>
      </c>
      <c r="AE7" s="101" t="str">
        <f t="shared" si="2"/>
        <v>핑크솔트</v>
      </c>
      <c r="AF7" s="101" t="str">
        <f t="shared" si="2"/>
        <v>핑크솔트</v>
      </c>
      <c r="AG7" s="101" t="str">
        <f t="shared" si="2"/>
        <v>25KG설탕(씨엔트레이드)</v>
      </c>
      <c r="AH7" s="101" t="str">
        <f t="shared" si="2"/>
        <v>25KG설탕</v>
      </c>
      <c r="AI7" s="101" t="str">
        <f t="shared" si="2"/>
        <v>25KG설탕</v>
      </c>
      <c r="AJ7" s="101" t="str">
        <f t="shared" si="2"/>
        <v/>
      </c>
      <c r="AK7" s="101" t="str">
        <f t="shared" si="2"/>
        <v/>
      </c>
      <c r="AL7" s="101" t="str">
        <f t="shared" si="2"/>
        <v/>
      </c>
      <c r="AM7" s="101" t="str">
        <f t="shared" si="2"/>
        <v/>
      </c>
      <c r="AN7" s="101" t="str">
        <f t="shared" si="2"/>
        <v/>
      </c>
      <c r="AO7" s="101" t="str">
        <f t="shared" si="2"/>
        <v/>
      </c>
      <c r="AP7" s="101" t="str">
        <f t="shared" si="2"/>
        <v/>
      </c>
      <c r="AQ7" s="101" t="str">
        <f t="shared" si="2"/>
        <v/>
      </c>
      <c r="AR7" s="101" t="str">
        <f t="shared" si="2"/>
        <v/>
      </c>
      <c r="AS7" s="101" t="str">
        <f t="shared" si="2"/>
        <v/>
      </c>
      <c r="AT7" s="101" t="str">
        <f t="shared" si="2"/>
        <v/>
      </c>
      <c r="AU7" s="101" t="str">
        <f t="shared" si="2"/>
        <v/>
      </c>
      <c r="AV7" s="101" t="str">
        <f t="shared" si="2"/>
        <v/>
      </c>
      <c r="AW7" s="101" t="str">
        <f t="shared" si="2"/>
        <v/>
      </c>
      <c r="AX7" s="101" t="str">
        <f t="shared" si="2"/>
        <v/>
      </c>
      <c r="AY7" s="101" t="str">
        <f t="shared" si="2"/>
        <v/>
      </c>
    </row>
    <row r="8" spans="2:51" ht="15" customHeight="1">
      <c r="B8" s="188"/>
      <c r="C8" s="174"/>
      <c r="D8" s="174"/>
      <c r="E8" s="174"/>
      <c r="F8" s="174"/>
      <c r="G8" s="174"/>
      <c r="H8" s="180"/>
      <c r="I8" s="183"/>
      <c r="J8" s="180"/>
      <c r="K8" s="180"/>
      <c r="L8" s="183"/>
      <c r="M8" s="180"/>
      <c r="N8" s="180"/>
      <c r="O8" s="183"/>
      <c r="P8" s="180"/>
      <c r="Q8" s="183"/>
      <c r="R8" s="180"/>
      <c r="S8" s="180"/>
      <c r="T8" s="180"/>
      <c r="U8" s="174"/>
      <c r="V8" s="180"/>
      <c r="W8" s="174"/>
      <c r="X8" s="174"/>
      <c r="Y8" s="174"/>
      <c r="Z8" s="174"/>
      <c r="AA8" s="174"/>
      <c r="AB8" s="177"/>
      <c r="AC8" s="59" t="s">
        <v>4</v>
      </c>
      <c r="AD8" s="48">
        <f t="shared" ref="AD8:AY8" si="3">IFERROR(SUM(AD$13:AD$375),"")</f>
        <v>240</v>
      </c>
      <c r="AE8" s="48">
        <f t="shared" si="3"/>
        <v>80</v>
      </c>
      <c r="AF8" s="48">
        <f t="shared" si="3"/>
        <v>44</v>
      </c>
      <c r="AG8" s="48">
        <f t="shared" si="3"/>
        <v>360</v>
      </c>
      <c r="AH8" s="48">
        <f t="shared" si="3"/>
        <v>240</v>
      </c>
      <c r="AI8" s="48">
        <f t="shared" si="3"/>
        <v>40</v>
      </c>
      <c r="AJ8" s="48">
        <f t="shared" si="3"/>
        <v>0</v>
      </c>
      <c r="AK8" s="48">
        <f t="shared" si="3"/>
        <v>0</v>
      </c>
      <c r="AL8" s="48">
        <f t="shared" si="3"/>
        <v>0</v>
      </c>
      <c r="AM8" s="48">
        <f t="shared" si="3"/>
        <v>0</v>
      </c>
      <c r="AN8" s="48">
        <f t="shared" si="3"/>
        <v>0</v>
      </c>
      <c r="AO8" s="48">
        <f t="shared" si="3"/>
        <v>0</v>
      </c>
      <c r="AP8" s="48">
        <f t="shared" si="3"/>
        <v>0</v>
      </c>
      <c r="AQ8" s="48">
        <f t="shared" si="3"/>
        <v>0</v>
      </c>
      <c r="AR8" s="48">
        <f t="shared" si="3"/>
        <v>0</v>
      </c>
      <c r="AS8" s="48">
        <f t="shared" si="3"/>
        <v>0</v>
      </c>
      <c r="AT8" s="48">
        <f t="shared" si="3"/>
        <v>0</v>
      </c>
      <c r="AU8" s="48">
        <f t="shared" si="3"/>
        <v>0</v>
      </c>
      <c r="AV8" s="48">
        <f t="shared" si="3"/>
        <v>0</v>
      </c>
      <c r="AW8" s="48">
        <f t="shared" si="3"/>
        <v>0</v>
      </c>
      <c r="AX8" s="48">
        <f t="shared" si="3"/>
        <v>0</v>
      </c>
      <c r="AY8" s="48">
        <f t="shared" si="3"/>
        <v>0</v>
      </c>
    </row>
    <row r="9" spans="2:51" ht="15" customHeight="1">
      <c r="B9" s="188"/>
      <c r="C9" s="174"/>
      <c r="D9" s="174"/>
      <c r="E9" s="174"/>
      <c r="F9" s="174"/>
      <c r="G9" s="174"/>
      <c r="H9" s="180"/>
      <c r="I9" s="183"/>
      <c r="J9" s="180"/>
      <c r="K9" s="180"/>
      <c r="L9" s="183"/>
      <c r="M9" s="180"/>
      <c r="N9" s="180"/>
      <c r="O9" s="183"/>
      <c r="P9" s="180"/>
      <c r="Q9" s="183"/>
      <c r="R9" s="180"/>
      <c r="S9" s="180"/>
      <c r="T9" s="180"/>
      <c r="U9" s="174"/>
      <c r="V9" s="180"/>
      <c r="W9" s="174"/>
      <c r="X9" s="174"/>
      <c r="Y9" s="174"/>
      <c r="Z9" s="174"/>
      <c r="AA9" s="174"/>
      <c r="AB9" s="177"/>
      <c r="AC9" s="58" t="s">
        <v>5</v>
      </c>
      <c r="AD9" s="20">
        <f t="shared" ref="AD9:AY9" si="4">IFERROR(ROUNDUP((SUM(AD13:AD375)/IFERROR(INDEX($V$13:$V$375,MATCH(SUM(AD$13:AD$375),AD$13:AD$375,0),1),"")),0),"")</f>
        <v>6</v>
      </c>
      <c r="AE9" s="20">
        <f t="shared" si="4"/>
        <v>2</v>
      </c>
      <c r="AF9" s="20">
        <v>1</v>
      </c>
      <c r="AG9" s="20">
        <f t="shared" si="4"/>
        <v>9</v>
      </c>
      <c r="AH9" s="20">
        <f t="shared" si="4"/>
        <v>6</v>
      </c>
      <c r="AI9" s="20">
        <f t="shared" si="4"/>
        <v>1</v>
      </c>
      <c r="AJ9" s="20" t="str">
        <f t="shared" si="4"/>
        <v/>
      </c>
      <c r="AK9" s="20" t="str">
        <f t="shared" si="4"/>
        <v/>
      </c>
      <c r="AL9" s="20" t="str">
        <f t="shared" si="4"/>
        <v/>
      </c>
      <c r="AM9" s="20" t="str">
        <f t="shared" si="4"/>
        <v/>
      </c>
      <c r="AN9" s="20" t="str">
        <f t="shared" si="4"/>
        <v/>
      </c>
      <c r="AO9" s="20" t="str">
        <f t="shared" si="4"/>
        <v/>
      </c>
      <c r="AP9" s="20" t="str">
        <f t="shared" si="4"/>
        <v/>
      </c>
      <c r="AQ9" s="20" t="str">
        <f t="shared" si="4"/>
        <v/>
      </c>
      <c r="AR9" s="20" t="str">
        <f t="shared" si="4"/>
        <v/>
      </c>
      <c r="AS9" s="20" t="str">
        <f t="shared" si="4"/>
        <v/>
      </c>
      <c r="AT9" s="20" t="str">
        <f t="shared" si="4"/>
        <v/>
      </c>
      <c r="AU9" s="20" t="str">
        <f t="shared" si="4"/>
        <v/>
      </c>
      <c r="AV9" s="20" t="str">
        <f t="shared" si="4"/>
        <v/>
      </c>
      <c r="AW9" s="20" t="str">
        <f t="shared" si="4"/>
        <v/>
      </c>
      <c r="AX9" s="20" t="str">
        <f t="shared" si="4"/>
        <v/>
      </c>
      <c r="AY9" s="20" t="str">
        <f t="shared" si="4"/>
        <v/>
      </c>
    </row>
    <row r="10" spans="2:51" ht="15" customHeight="1">
      <c r="B10" s="188"/>
      <c r="C10" s="174"/>
      <c r="D10" s="174"/>
      <c r="E10" s="174"/>
      <c r="F10" s="174"/>
      <c r="G10" s="174"/>
      <c r="H10" s="180"/>
      <c r="I10" s="183"/>
      <c r="J10" s="180"/>
      <c r="K10" s="180"/>
      <c r="L10" s="183"/>
      <c r="M10" s="180"/>
      <c r="N10" s="180"/>
      <c r="O10" s="183"/>
      <c r="P10" s="180"/>
      <c r="Q10" s="183"/>
      <c r="R10" s="180"/>
      <c r="S10" s="180"/>
      <c r="T10" s="180"/>
      <c r="U10" s="174"/>
      <c r="V10" s="180"/>
      <c r="W10" s="174"/>
      <c r="X10" s="174"/>
      <c r="Y10" s="174"/>
      <c r="Z10" s="174"/>
      <c r="AA10" s="174"/>
      <c r="AB10" s="177"/>
      <c r="AC10" s="58" t="s">
        <v>6</v>
      </c>
      <c r="AD10" s="17">
        <f t="shared" ref="AD10:AY10" si="5">IFERROR(INDEX($W$13:$W$375,MATCH(SUM(AD$13:AD$375),AD$13:AD$375,0),1),"")</f>
        <v>46175</v>
      </c>
      <c r="AE10" s="17">
        <f t="shared" si="5"/>
        <v>46175</v>
      </c>
      <c r="AF10" s="17">
        <f t="shared" si="5"/>
        <v>46175</v>
      </c>
      <c r="AG10" s="17">
        <f t="shared" si="5"/>
        <v>46030</v>
      </c>
      <c r="AH10" s="17">
        <f t="shared" si="5"/>
        <v>46180</v>
      </c>
      <c r="AI10" s="17">
        <f t="shared" si="5"/>
        <v>46180</v>
      </c>
      <c r="AJ10" s="17" t="str">
        <f t="shared" si="5"/>
        <v/>
      </c>
      <c r="AK10" s="17" t="str">
        <f t="shared" si="5"/>
        <v/>
      </c>
      <c r="AL10" s="17" t="str">
        <f t="shared" si="5"/>
        <v/>
      </c>
      <c r="AM10" s="17" t="str">
        <f t="shared" si="5"/>
        <v/>
      </c>
      <c r="AN10" s="17" t="str">
        <f t="shared" si="5"/>
        <v/>
      </c>
      <c r="AO10" s="17" t="str">
        <f t="shared" si="5"/>
        <v/>
      </c>
      <c r="AP10" s="17" t="str">
        <f t="shared" si="5"/>
        <v/>
      </c>
      <c r="AQ10" s="17" t="str">
        <f t="shared" si="5"/>
        <v/>
      </c>
      <c r="AR10" s="17" t="str">
        <f t="shared" si="5"/>
        <v/>
      </c>
      <c r="AS10" s="17" t="str">
        <f t="shared" si="5"/>
        <v/>
      </c>
      <c r="AT10" s="17" t="str">
        <f t="shared" si="5"/>
        <v/>
      </c>
      <c r="AU10" s="17" t="str">
        <f t="shared" si="5"/>
        <v/>
      </c>
      <c r="AV10" s="17" t="str">
        <f t="shared" si="5"/>
        <v/>
      </c>
      <c r="AW10" s="17" t="str">
        <f t="shared" si="5"/>
        <v/>
      </c>
      <c r="AX10" s="17" t="str">
        <f t="shared" si="5"/>
        <v/>
      </c>
      <c r="AY10" s="17" t="str">
        <f t="shared" si="5"/>
        <v/>
      </c>
    </row>
    <row r="11" spans="2:51" ht="15" customHeight="1">
      <c r="B11" s="188"/>
      <c r="C11" s="174"/>
      <c r="D11" s="174"/>
      <c r="E11" s="174"/>
      <c r="F11" s="174"/>
      <c r="G11" s="174"/>
      <c r="H11" s="180"/>
      <c r="I11" s="183"/>
      <c r="J11" s="180"/>
      <c r="K11" s="180"/>
      <c r="L11" s="183"/>
      <c r="M11" s="180"/>
      <c r="N11" s="180"/>
      <c r="O11" s="183"/>
      <c r="P11" s="180"/>
      <c r="Q11" s="183"/>
      <c r="R11" s="180"/>
      <c r="S11" s="180"/>
      <c r="T11" s="180"/>
      <c r="U11" s="174"/>
      <c r="V11" s="180"/>
      <c r="W11" s="174"/>
      <c r="X11" s="174"/>
      <c r="Y11" s="174"/>
      <c r="Z11" s="174"/>
      <c r="AA11" s="174"/>
      <c r="AB11" s="177"/>
      <c r="AC11" s="58" t="s">
        <v>7</v>
      </c>
      <c r="AD11" s="20">
        <f t="shared" ref="AD11:AY11" ca="1" si="6">IF(AD5="","",IF(AD10&gt;AD4,"프리타임 기간내 출고",IF(DATE(YEAR(AD4),MONTH(AD4),1)&gt;DATE(YEAR(AD10),MONTH(AD10),1),DATEDIF(DATE(YEAR(NOW()),MONTH(NOW()),1),(AD4)+1,"D"),DATEDIF(AD10,AD4+1,"D"))))</f>
        <v>3</v>
      </c>
      <c r="AE11" s="20">
        <f t="shared" ca="1" si="6"/>
        <v>10</v>
      </c>
      <c r="AF11" s="20">
        <f t="shared" ca="1" si="6"/>
        <v>10</v>
      </c>
      <c r="AG11" s="20">
        <f t="shared" ca="1" si="6"/>
        <v>10</v>
      </c>
      <c r="AH11" s="20">
        <f t="shared" ca="1" si="6"/>
        <v>22</v>
      </c>
      <c r="AI11" s="20">
        <f t="shared" ca="1" si="6"/>
        <v>30</v>
      </c>
      <c r="AJ11" s="20" t="str">
        <f t="shared" ca="1" si="6"/>
        <v/>
      </c>
      <c r="AK11" s="20" t="str">
        <f t="shared" ca="1" si="6"/>
        <v/>
      </c>
      <c r="AL11" s="20" t="str">
        <f t="shared" ca="1" si="6"/>
        <v/>
      </c>
      <c r="AM11" s="20" t="str">
        <f t="shared" ca="1" si="6"/>
        <v/>
      </c>
      <c r="AN11" s="20" t="str">
        <f t="shared" ca="1" si="6"/>
        <v/>
      </c>
      <c r="AO11" s="20" t="str">
        <f t="shared" ca="1" si="6"/>
        <v/>
      </c>
      <c r="AP11" s="20" t="str">
        <f t="shared" ca="1" si="6"/>
        <v/>
      </c>
      <c r="AQ11" s="20" t="str">
        <f t="shared" ca="1" si="6"/>
        <v/>
      </c>
      <c r="AR11" s="20" t="str">
        <f t="shared" ca="1" si="6"/>
        <v/>
      </c>
      <c r="AS11" s="20" t="str">
        <f t="shared" ca="1" si="6"/>
        <v/>
      </c>
      <c r="AT11" s="20" t="str">
        <f t="shared" ca="1" si="6"/>
        <v/>
      </c>
      <c r="AU11" s="20" t="str">
        <f t="shared" ca="1" si="6"/>
        <v/>
      </c>
      <c r="AV11" s="20" t="str">
        <f t="shared" ca="1" si="6"/>
        <v/>
      </c>
      <c r="AW11" s="20" t="str">
        <f t="shared" ca="1" si="6"/>
        <v/>
      </c>
      <c r="AX11" s="20" t="str">
        <f t="shared" ca="1" si="6"/>
        <v/>
      </c>
      <c r="AY11" s="20" t="str">
        <f t="shared" ca="1" si="6"/>
        <v/>
      </c>
    </row>
    <row r="12" spans="2:51" ht="15" customHeight="1" thickBot="1">
      <c r="B12" s="189"/>
      <c r="C12" s="175"/>
      <c r="D12" s="175"/>
      <c r="E12" s="175"/>
      <c r="F12" s="175"/>
      <c r="G12" s="175"/>
      <c r="H12" s="181"/>
      <c r="I12" s="184"/>
      <c r="J12" s="181"/>
      <c r="K12" s="181"/>
      <c r="L12" s="184"/>
      <c r="M12" s="181"/>
      <c r="N12" s="181"/>
      <c r="O12" s="184"/>
      <c r="P12" s="181"/>
      <c r="Q12" s="184"/>
      <c r="R12" s="181"/>
      <c r="S12" s="181"/>
      <c r="T12" s="181"/>
      <c r="U12" s="175"/>
      <c r="V12" s="181"/>
      <c r="W12" s="175"/>
      <c r="X12" s="175"/>
      <c r="Y12" s="175"/>
      <c r="Z12" s="175"/>
      <c r="AA12" s="175"/>
      <c r="AB12" s="178"/>
      <c r="AC12" s="100" t="s">
        <v>8</v>
      </c>
      <c r="AD12" s="19">
        <f t="shared" ref="AD12:AY12" ca="1" si="7">IFERROR(AD11*AD9*(INDEX($Y$13:$Y$375,MATCH(SUM(AD$13:AD$375),AD$13:AD$375,0),1)),"")</f>
        <v>7200</v>
      </c>
      <c r="AE12" s="19">
        <f t="shared" ca="1" si="7"/>
        <v>8000</v>
      </c>
      <c r="AF12" s="19">
        <f t="shared" ca="1" si="7"/>
        <v>4000</v>
      </c>
      <c r="AG12" s="19">
        <f t="shared" ca="1" si="7"/>
        <v>36000</v>
      </c>
      <c r="AH12" s="19">
        <f t="shared" ca="1" si="7"/>
        <v>52800</v>
      </c>
      <c r="AI12" s="19">
        <f t="shared" ca="1" si="7"/>
        <v>12000</v>
      </c>
      <c r="AJ12" s="19" t="str">
        <f t="shared" ca="1" si="7"/>
        <v/>
      </c>
      <c r="AK12" s="19" t="str">
        <f t="shared" ca="1" si="7"/>
        <v/>
      </c>
      <c r="AL12" s="19" t="str">
        <f t="shared" ca="1" si="7"/>
        <v/>
      </c>
      <c r="AM12" s="19" t="str">
        <f t="shared" ca="1" si="7"/>
        <v/>
      </c>
      <c r="AN12" s="19" t="str">
        <f t="shared" ca="1" si="7"/>
        <v/>
      </c>
      <c r="AO12" s="19" t="str">
        <f t="shared" ca="1" si="7"/>
        <v/>
      </c>
      <c r="AP12" s="19" t="str">
        <f t="shared" ca="1" si="7"/>
        <v/>
      </c>
      <c r="AQ12" s="19" t="str">
        <f t="shared" ca="1" si="7"/>
        <v/>
      </c>
      <c r="AR12" s="19" t="str">
        <f t="shared" ca="1" si="7"/>
        <v/>
      </c>
      <c r="AS12" s="19" t="str">
        <f t="shared" ca="1" si="7"/>
        <v/>
      </c>
      <c r="AT12" s="19" t="str">
        <f t="shared" ca="1" si="7"/>
        <v/>
      </c>
      <c r="AU12" s="19" t="str">
        <f t="shared" ca="1" si="7"/>
        <v/>
      </c>
      <c r="AV12" s="19" t="str">
        <f t="shared" ca="1" si="7"/>
        <v/>
      </c>
      <c r="AW12" s="19" t="str">
        <f t="shared" ca="1" si="7"/>
        <v/>
      </c>
      <c r="AX12" s="19" t="str">
        <f t="shared" ca="1" si="7"/>
        <v/>
      </c>
      <c r="AY12" s="19" t="str">
        <f t="shared" ca="1" si="7"/>
        <v/>
      </c>
    </row>
    <row r="13" spans="2:51" s="2" customFormat="1" ht="20.100000000000001" customHeight="1" thickTop="1">
      <c r="B13" s="122">
        <v>46010</v>
      </c>
      <c r="C13" s="123" t="s">
        <v>273</v>
      </c>
      <c r="D13" s="124" t="s">
        <v>276</v>
      </c>
      <c r="E13" s="125" t="s">
        <v>274</v>
      </c>
      <c r="F13" s="126" t="s">
        <v>275</v>
      </c>
      <c r="G13" s="8" t="str">
        <f t="shared" ref="G13" si="8">C13&amp;F13</f>
        <v>EGLV09050025019325KG설탕(씨엔트레이드)</v>
      </c>
      <c r="H13" s="28">
        <v>1120</v>
      </c>
      <c r="I13" s="41">
        <f t="shared" ref="I13" si="9">ROUNDUP((H13/V13),0)</f>
        <v>28</v>
      </c>
      <c r="J13" s="29">
        <v>0</v>
      </c>
      <c r="K13" s="29">
        <v>0</v>
      </c>
      <c r="L13" s="41">
        <f t="shared" ref="L13" si="10">ROUNDUP((K13/V13),0)</f>
        <v>0</v>
      </c>
      <c r="M13" s="29">
        <v>0</v>
      </c>
      <c r="N13" s="31">
        <f t="shared" ref="N13" si="11">P13-K13+M13</f>
        <v>0</v>
      </c>
      <c r="O13" s="42">
        <f t="shared" ref="O13" si="12">ROUNDUP((N13/V13),0)</f>
        <v>0</v>
      </c>
      <c r="P13" s="31">
        <f t="shared" ref="P13" si="13">H13-T13</f>
        <v>0</v>
      </c>
      <c r="Q13" s="42">
        <f t="shared" ref="Q13" si="14">L13+O13</f>
        <v>0</v>
      </c>
      <c r="R13" s="28">
        <v>760</v>
      </c>
      <c r="S13" s="97">
        <f t="shared" ref="S13:S19" si="15">SUM(AD13:OJ13)</f>
        <v>360</v>
      </c>
      <c r="T13" s="97">
        <f t="shared" ref="T13" si="16">R13+S13+J13+M13</f>
        <v>1120</v>
      </c>
      <c r="V13" s="28">
        <v>40</v>
      </c>
      <c r="W13" s="95">
        <f t="shared" ref="W13" si="17">B13+X13</f>
        <v>46030</v>
      </c>
      <c r="X13" s="79">
        <v>20</v>
      </c>
      <c r="Y13" s="79">
        <v>400</v>
      </c>
      <c r="Z13" s="2">
        <f t="shared" ref="Z13:Z19" ca="1" si="18">SUMIF($AD$6:$HF$6,G13,$AD$12:$HF$12)</f>
        <v>36000</v>
      </c>
      <c r="AA13" s="2">
        <f t="shared" ref="AA13" ca="1" si="19">IF(W13&gt;TODAY(),"프리타임기간중",Q13*Y13*IF(DATE(YEAR(W13),MONTH(W13),1)&lt;DATE(YEAR($AA$2),MONTH($AA$2),1),DATEDIF($AA$2,$AA$3,"D")+1,DATEDIF(W13,$AA$3+1,"d")))</f>
        <v>0</v>
      </c>
      <c r="AB13" s="2">
        <f t="shared" ref="AB13" ca="1" si="20">IFERROR(Z13+AA13,"")</f>
        <v>36000</v>
      </c>
      <c r="AC13" s="103"/>
      <c r="AG13" s="142">
        <v>360</v>
      </c>
    </row>
    <row r="14" spans="2:51" s="2" customFormat="1" ht="20.100000000000001" customHeight="1">
      <c r="B14" s="110">
        <v>46078</v>
      </c>
      <c r="C14" s="111" t="s">
        <v>298</v>
      </c>
      <c r="D14" s="112"/>
      <c r="E14" s="113" t="s">
        <v>299</v>
      </c>
      <c r="F14" s="114" t="s">
        <v>300</v>
      </c>
      <c r="G14" s="8" t="str">
        <f t="shared" ref="G14:G18" si="21">C14&amp;F14</f>
        <v>COAU7265664230핑크솔트25KG(2-5mm)</v>
      </c>
      <c r="H14" s="28">
        <v>803</v>
      </c>
      <c r="I14" s="41">
        <f>ROUNDUP((H14/V14),0)-1</f>
        <v>20</v>
      </c>
      <c r="J14" s="29">
        <v>0</v>
      </c>
      <c r="K14" s="29">
        <v>2</v>
      </c>
      <c r="L14" s="41">
        <f>ROUNDUP((K14/V14),0)-1</f>
        <v>0</v>
      </c>
      <c r="M14" s="29">
        <v>0</v>
      </c>
      <c r="N14" s="31">
        <f t="shared" ref="N14" si="22">P14-K14+M14</f>
        <v>0</v>
      </c>
      <c r="O14" s="42">
        <f>ROUNDUP((N14/V14),0)</f>
        <v>0</v>
      </c>
      <c r="P14" s="31">
        <f t="shared" ref="P14" si="23">H14-T14</f>
        <v>2</v>
      </c>
      <c r="Q14" s="42">
        <f t="shared" ref="Q14" si="24">L14+O14</f>
        <v>0</v>
      </c>
      <c r="R14" s="28">
        <v>801</v>
      </c>
      <c r="S14" s="97">
        <f t="shared" si="15"/>
        <v>0</v>
      </c>
      <c r="T14" s="97">
        <f t="shared" ref="T14" si="25">R14+S14+J14+M14</f>
        <v>801</v>
      </c>
      <c r="U14" s="2" t="s">
        <v>308</v>
      </c>
      <c r="V14" s="28">
        <v>40</v>
      </c>
      <c r="W14" s="95">
        <f t="shared" ref="W14" si="26">B14+X14</f>
        <v>46098</v>
      </c>
      <c r="X14" s="79">
        <v>20</v>
      </c>
      <c r="Y14" s="79">
        <v>400</v>
      </c>
      <c r="Z14" s="2">
        <f t="shared" si="18"/>
        <v>0</v>
      </c>
      <c r="AA14" s="2">
        <f t="shared" ref="AA14" ca="1" si="27">IF(W14&gt;TODAY(),"프리타임기간중",Q14*Y14*IF(DATE(YEAR(W14),MONTH(W14),1)&lt;DATE(YEAR($AA$2),MONTH($AA$2),1),DATEDIF($AA$2,$AA$3,"D")+1,DATEDIF(W14,$AA$3+1,"d")))</f>
        <v>0</v>
      </c>
      <c r="AB14" s="2">
        <f t="shared" ref="AB14" ca="1" si="28">IFERROR(Z14+AA14,"")</f>
        <v>0</v>
      </c>
      <c r="AC14" s="103"/>
    </row>
    <row r="15" spans="2:51" s="2" customFormat="1" ht="20.100000000000001" customHeight="1">
      <c r="B15" s="110">
        <v>46078</v>
      </c>
      <c r="C15" s="111" t="s">
        <v>298</v>
      </c>
      <c r="D15" s="112"/>
      <c r="E15" s="113" t="s">
        <v>175</v>
      </c>
      <c r="F15" s="114" t="s">
        <v>301</v>
      </c>
      <c r="G15" s="8" t="str">
        <f t="shared" si="21"/>
        <v>COAU7265664230핑크솔트25KG(20-50mesh)</v>
      </c>
      <c r="H15" s="28">
        <v>802</v>
      </c>
      <c r="I15" s="41">
        <f>ROUNDUP((H15/V15),0)-1</f>
        <v>20</v>
      </c>
      <c r="J15" s="29">
        <v>0</v>
      </c>
      <c r="K15" s="29">
        <v>1</v>
      </c>
      <c r="L15" s="41">
        <f>ROUNDUP((K15/V15),0)-1</f>
        <v>0</v>
      </c>
      <c r="M15" s="29">
        <v>0</v>
      </c>
      <c r="N15" s="31">
        <f t="shared" ref="N15:N17" si="29">P15-K15+M15</f>
        <v>121</v>
      </c>
      <c r="O15" s="42">
        <f>ROUNDUP((N15/V15),0)-1</f>
        <v>3</v>
      </c>
      <c r="P15" s="31">
        <f t="shared" ref="P15:P17" si="30">H15-T15</f>
        <v>122</v>
      </c>
      <c r="Q15" s="42">
        <f t="shared" ref="Q15:Q17" si="31">L15+O15</f>
        <v>3</v>
      </c>
      <c r="R15" s="28">
        <v>680</v>
      </c>
      <c r="S15" s="97">
        <f t="shared" si="15"/>
        <v>0</v>
      </c>
      <c r="T15" s="97">
        <f t="shared" ref="T15:T17" si="32">R15+S15+J15+M15</f>
        <v>680</v>
      </c>
      <c r="U15" s="2" t="s">
        <v>309</v>
      </c>
      <c r="V15" s="28">
        <v>40</v>
      </c>
      <c r="W15" s="95">
        <f t="shared" ref="W15:W17" si="33">B15+X15</f>
        <v>46098</v>
      </c>
      <c r="X15" s="79">
        <v>20</v>
      </c>
      <c r="Y15" s="79">
        <v>400</v>
      </c>
      <c r="Z15" s="2">
        <f t="shared" si="18"/>
        <v>0</v>
      </c>
      <c r="AA15" s="2">
        <f t="shared" ref="AA15:AA17" ca="1" si="34">IF(W15&gt;TODAY(),"프리타임기간중",Q15*Y15*IF(DATE(YEAR(W15),MONTH(W15),1)&lt;DATE(YEAR($AA$2),MONTH($AA$2),1),DATEDIF($AA$2,$AA$3,"D")+1,DATEDIF(W15,$AA$3+1,"d")))</f>
        <v>37200</v>
      </c>
      <c r="AB15" s="2">
        <f t="shared" ref="AB15:AB17" ca="1" si="35">IFERROR(Z15+AA15,"")</f>
        <v>37200</v>
      </c>
      <c r="AC15" s="103"/>
    </row>
    <row r="16" spans="2:51" s="2" customFormat="1" ht="20.100000000000001" customHeight="1">
      <c r="B16" s="110">
        <v>46114</v>
      </c>
      <c r="C16" s="111" t="s">
        <v>333</v>
      </c>
      <c r="D16" s="112"/>
      <c r="E16" s="113" t="s">
        <v>175</v>
      </c>
      <c r="F16" s="114" t="s">
        <v>206</v>
      </c>
      <c r="G16" s="8" t="str">
        <f t="shared" si="21"/>
        <v>KMTCPEN110879925KG설탕</v>
      </c>
      <c r="H16" s="28">
        <v>920</v>
      </c>
      <c r="I16" s="41">
        <f t="shared" ref="I16:I17" si="36">ROUNDUP((H16/V16),0)</f>
        <v>23</v>
      </c>
      <c r="J16" s="29">
        <v>0</v>
      </c>
      <c r="K16" s="29">
        <v>0</v>
      </c>
      <c r="L16" s="41">
        <f>ROUNDUP((K16/V16),0)</f>
        <v>0</v>
      </c>
      <c r="M16" s="29">
        <v>0</v>
      </c>
      <c r="N16" s="31">
        <f t="shared" si="29"/>
        <v>880</v>
      </c>
      <c r="O16" s="42">
        <f t="shared" ref="O16" si="37">ROUNDUP((N16/V16),0)</f>
        <v>22</v>
      </c>
      <c r="P16" s="31">
        <f t="shared" si="30"/>
        <v>880</v>
      </c>
      <c r="Q16" s="42">
        <f t="shared" si="31"/>
        <v>22</v>
      </c>
      <c r="R16" s="28">
        <v>40</v>
      </c>
      <c r="S16" s="97">
        <f t="shared" si="15"/>
        <v>0</v>
      </c>
      <c r="T16" s="97">
        <f t="shared" si="32"/>
        <v>40</v>
      </c>
      <c r="U16" s="2" t="s">
        <v>334</v>
      </c>
      <c r="V16" s="28">
        <v>40</v>
      </c>
      <c r="W16" s="95">
        <f t="shared" si="33"/>
        <v>46134</v>
      </c>
      <c r="X16" s="79">
        <v>20</v>
      </c>
      <c r="Y16" s="79">
        <v>400</v>
      </c>
      <c r="Z16" s="2">
        <f t="shared" si="18"/>
        <v>0</v>
      </c>
      <c r="AA16" s="2">
        <f t="shared" ca="1" si="34"/>
        <v>272800</v>
      </c>
      <c r="AB16" s="2">
        <f t="shared" ca="1" si="35"/>
        <v>272800</v>
      </c>
      <c r="AC16" s="103"/>
    </row>
    <row r="17" spans="2:35" s="2" customFormat="1" ht="20.100000000000001" customHeight="1">
      <c r="B17" s="110">
        <v>46155</v>
      </c>
      <c r="C17" s="111" t="s">
        <v>379</v>
      </c>
      <c r="D17" s="112"/>
      <c r="E17" s="113" t="s">
        <v>380</v>
      </c>
      <c r="F17" s="114" t="s">
        <v>381</v>
      </c>
      <c r="G17" s="8" t="str">
        <f t="shared" ref="G17" si="38">C17&amp;F17</f>
        <v>KMTCKHI0692807핑크솔트</v>
      </c>
      <c r="H17" s="28">
        <v>804</v>
      </c>
      <c r="I17" s="41">
        <f t="shared" si="36"/>
        <v>21</v>
      </c>
      <c r="J17" s="29">
        <v>0</v>
      </c>
      <c r="K17" s="29">
        <v>0</v>
      </c>
      <c r="L17" s="41">
        <f>ROUNDUP((K17/V17),0)</f>
        <v>0</v>
      </c>
      <c r="M17" s="29">
        <v>0</v>
      </c>
      <c r="N17" s="31">
        <f t="shared" si="29"/>
        <v>0</v>
      </c>
      <c r="O17" s="42">
        <f>ROUNDUP((N17/V17),0)</f>
        <v>0</v>
      </c>
      <c r="P17" s="31">
        <f t="shared" si="30"/>
        <v>0</v>
      </c>
      <c r="Q17" s="42">
        <f t="shared" si="31"/>
        <v>0</v>
      </c>
      <c r="R17" s="28">
        <v>440</v>
      </c>
      <c r="S17" s="97">
        <f t="shared" si="15"/>
        <v>364</v>
      </c>
      <c r="T17" s="97">
        <f t="shared" si="32"/>
        <v>804</v>
      </c>
      <c r="U17" s="2" t="s">
        <v>392</v>
      </c>
      <c r="V17" s="28">
        <v>40</v>
      </c>
      <c r="W17" s="95">
        <f t="shared" si="33"/>
        <v>46175</v>
      </c>
      <c r="X17" s="79">
        <v>20</v>
      </c>
      <c r="Y17" s="79">
        <v>400</v>
      </c>
      <c r="Z17" s="2">
        <f t="shared" ca="1" si="18"/>
        <v>19200</v>
      </c>
      <c r="AA17" s="2">
        <f t="shared" ca="1" si="34"/>
        <v>0</v>
      </c>
      <c r="AB17" s="2">
        <f t="shared" ca="1" si="35"/>
        <v>19200</v>
      </c>
      <c r="AC17" s="103"/>
      <c r="AD17" s="142">
        <v>240</v>
      </c>
      <c r="AE17" s="142">
        <v>80</v>
      </c>
      <c r="AF17" s="142">
        <v>44</v>
      </c>
    </row>
    <row r="18" spans="2:35" s="2" customFormat="1" ht="20.100000000000001" customHeight="1">
      <c r="B18" s="122">
        <v>46160</v>
      </c>
      <c r="C18" s="123" t="s">
        <v>395</v>
      </c>
      <c r="D18" s="124"/>
      <c r="E18" s="125" t="s">
        <v>175</v>
      </c>
      <c r="F18" s="126" t="s">
        <v>206</v>
      </c>
      <c r="G18" s="8" t="str">
        <f t="shared" si="21"/>
        <v>NSSLLCICC260018025KG설탕</v>
      </c>
      <c r="H18" s="28">
        <v>4600</v>
      </c>
      <c r="I18" s="41">
        <f t="shared" ref="I18" si="39">ROUNDUP((H18/V18),0)</f>
        <v>115</v>
      </c>
      <c r="J18" s="29">
        <v>0</v>
      </c>
      <c r="K18" s="29">
        <v>1</v>
      </c>
      <c r="L18" s="41">
        <f>ROUNDUP((K18/V18),0)-1</f>
        <v>0</v>
      </c>
      <c r="M18" s="29">
        <v>0</v>
      </c>
      <c r="N18" s="31">
        <f t="shared" ref="N18" si="40">P18-K18+M18</f>
        <v>3959</v>
      </c>
      <c r="O18" s="42">
        <f t="shared" ref="O18" si="41">ROUNDUP((N18/V18),0)</f>
        <v>99</v>
      </c>
      <c r="P18" s="31">
        <f t="shared" ref="P18" si="42">H18-T18</f>
        <v>3960</v>
      </c>
      <c r="Q18" s="42">
        <f t="shared" ref="Q18" si="43">L18+O18</f>
        <v>99</v>
      </c>
      <c r="R18" s="28">
        <v>360</v>
      </c>
      <c r="S18" s="97">
        <f t="shared" si="15"/>
        <v>280</v>
      </c>
      <c r="T18" s="97">
        <f t="shared" ref="T18" si="44">R18+S18+J18+M18</f>
        <v>640</v>
      </c>
      <c r="V18" s="28">
        <v>40</v>
      </c>
      <c r="W18" s="95">
        <f t="shared" ref="W18" si="45">B18+X18</f>
        <v>46180</v>
      </c>
      <c r="X18" s="79">
        <v>20</v>
      </c>
      <c r="Y18" s="79">
        <v>400</v>
      </c>
      <c r="Z18" s="2">
        <f t="shared" ca="1" si="18"/>
        <v>52800</v>
      </c>
      <c r="AA18" s="2">
        <f t="shared" ref="AA18" ca="1" si="46">IF(W18&gt;TODAY(),"프리타임기간중",Q18*Y18*IF(DATE(YEAR(W18),MONTH(W18),1)&lt;DATE(YEAR($AA$2),MONTH($AA$2),1),DATEDIF($AA$2,$AA$3,"D")+1,DATEDIF(W18,$AA$3+1,"d")))</f>
        <v>1227600</v>
      </c>
      <c r="AB18" s="2">
        <f t="shared" ref="AB18" ca="1" si="47">IFERROR(Z18+AA18,"")</f>
        <v>1280400</v>
      </c>
      <c r="AC18" s="103"/>
      <c r="AH18" s="142">
        <v>240</v>
      </c>
      <c r="AI18" s="142">
        <v>40</v>
      </c>
    </row>
    <row r="19" spans="2:35" s="2" customFormat="1" ht="20.100000000000001" customHeight="1">
      <c r="B19" s="81"/>
      <c r="C19" s="99"/>
      <c r="D19" s="98"/>
      <c r="E19" s="79"/>
      <c r="F19" s="8"/>
      <c r="G19" s="8"/>
      <c r="H19" s="28"/>
      <c r="I19" s="41">
        <f t="shared" ref="I19" si="48">ROUNDUP((H19/V19),0)</f>
        <v>0</v>
      </c>
      <c r="J19" s="29">
        <v>0</v>
      </c>
      <c r="K19" s="29">
        <v>0</v>
      </c>
      <c r="L19" s="41">
        <f t="shared" ref="L19" si="49">ROUNDUP((K19/V19),0)</f>
        <v>0</v>
      </c>
      <c r="M19" s="29">
        <v>0</v>
      </c>
      <c r="N19" s="31">
        <f t="shared" ref="N19" si="50">P19-K19+M19</f>
        <v>0</v>
      </c>
      <c r="O19" s="42">
        <f t="shared" ref="O19" si="51">ROUNDUP((N19/V19),0)</f>
        <v>0</v>
      </c>
      <c r="P19" s="31">
        <f t="shared" ref="P19" si="52">H19-T19</f>
        <v>0</v>
      </c>
      <c r="Q19" s="42">
        <f t="shared" ref="Q19" si="53">L19+O19</f>
        <v>0</v>
      </c>
      <c r="R19" s="28">
        <v>0</v>
      </c>
      <c r="S19" s="97">
        <f t="shared" si="15"/>
        <v>0</v>
      </c>
      <c r="T19" s="97">
        <f t="shared" ref="T19" si="54">R19+S19+J19+M19</f>
        <v>0</v>
      </c>
      <c r="V19" s="28">
        <v>40</v>
      </c>
      <c r="W19" s="95">
        <f t="shared" ref="W19" si="55">B19+X19</f>
        <v>20</v>
      </c>
      <c r="X19" s="79">
        <v>20</v>
      </c>
      <c r="Y19" s="79">
        <v>400</v>
      </c>
      <c r="Z19" s="2">
        <f t="shared" si="18"/>
        <v>0</v>
      </c>
      <c r="AA19" s="2">
        <f t="shared" ref="AA19" ca="1" si="56">IF(W19&gt;TODAY(),"프리타임기간중",Q19*Y19*IF(DATE(YEAR(W19),MONTH(W19),1)&lt;DATE(YEAR($AA$2),MONTH($AA$2),1),DATEDIF($AA$2,$AA$3,"D")+1,DATEDIF(W19,$AA$3+1,"d")))</f>
        <v>0</v>
      </c>
      <c r="AB19" s="2">
        <f t="shared" ref="AB19" ca="1" si="57">IFERROR(Z19+AA19,"")</f>
        <v>0</v>
      </c>
      <c r="AC19" s="103"/>
    </row>
    <row r="20" spans="2:35" s="2" customFormat="1" ht="20.100000000000001" customHeight="1">
      <c r="B20" s="81"/>
      <c r="C20" s="99"/>
      <c r="D20" s="98"/>
      <c r="E20" s="79"/>
      <c r="F20" s="8"/>
      <c r="G20" s="8"/>
      <c r="H20" s="28"/>
      <c r="I20" s="41"/>
      <c r="J20" s="29"/>
      <c r="K20" s="29"/>
      <c r="L20" s="41"/>
      <c r="M20" s="29"/>
      <c r="N20" s="31"/>
      <c r="O20" s="42"/>
      <c r="P20" s="31"/>
      <c r="Q20" s="42"/>
      <c r="R20" s="28"/>
      <c r="S20" s="97"/>
      <c r="T20" s="97"/>
      <c r="V20" s="28"/>
      <c r="W20" s="95"/>
      <c r="X20" s="79"/>
      <c r="Y20" s="79"/>
      <c r="AC20" s="103"/>
    </row>
    <row r="21" spans="2:35" s="1" customFormat="1" ht="15" customHeight="1">
      <c r="B21" s="6"/>
      <c r="C21" s="7"/>
      <c r="D21" s="7"/>
      <c r="E21" s="6"/>
      <c r="F21" s="6"/>
      <c r="G21" s="6"/>
      <c r="H21" s="16"/>
      <c r="I21" s="40"/>
      <c r="J21" s="16"/>
      <c r="K21" s="16"/>
      <c r="L21" s="40"/>
      <c r="M21" s="16"/>
      <c r="N21" s="16"/>
      <c r="O21" s="40"/>
      <c r="P21" s="21"/>
      <c r="Q21" s="22"/>
      <c r="R21" s="16">
        <v>0</v>
      </c>
      <c r="S21" s="30"/>
      <c r="T21" s="30"/>
      <c r="V21" s="21"/>
      <c r="W21" s="7"/>
      <c r="X21" s="7"/>
      <c r="Y21" s="7"/>
      <c r="AC21" s="60"/>
    </row>
    <row r="22" spans="2:35" ht="15" customHeight="1">
      <c r="B22" s="7"/>
      <c r="C22" s="120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V22" s="7"/>
      <c r="Z22" s="7"/>
      <c r="AA22" s="7"/>
      <c r="AB22" s="7"/>
      <c r="AC22" s="7"/>
    </row>
    <row r="23" spans="2:35" ht="15" customHeight="1">
      <c r="B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V23" s="7"/>
      <c r="Z23" s="7"/>
      <c r="AA23" s="7"/>
      <c r="AB23" s="7"/>
      <c r="AC23" s="7"/>
    </row>
    <row r="24" spans="2:35" ht="15" customHeight="1">
      <c r="B24" s="7"/>
      <c r="C24" s="7" t="s">
        <v>174</v>
      </c>
      <c r="D24" s="7" t="s">
        <v>141</v>
      </c>
      <c r="E24" s="7" t="s">
        <v>142</v>
      </c>
      <c r="F24" s="7" t="s">
        <v>143</v>
      </c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V24" s="7"/>
      <c r="Z24" s="7"/>
      <c r="AA24" s="7"/>
      <c r="AB24" s="7"/>
      <c r="AC24" s="7"/>
    </row>
    <row r="25" spans="2:35" ht="15" customHeight="1">
      <c r="B25" s="7"/>
      <c r="C25" s="104">
        <v>46149</v>
      </c>
      <c r="D25" s="7">
        <v>181</v>
      </c>
      <c r="E25" s="7"/>
      <c r="F25" s="7">
        <v>181</v>
      </c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V25" s="7"/>
      <c r="Z25" s="7"/>
      <c r="AA25" s="7"/>
      <c r="AB25" s="7"/>
      <c r="AC25" s="7"/>
    </row>
    <row r="26" spans="2:35" ht="15" customHeight="1">
      <c r="B26" s="7"/>
      <c r="C26" s="104">
        <v>46155</v>
      </c>
      <c r="E26" s="7">
        <v>20</v>
      </c>
      <c r="F26" s="7">
        <f>F25+D26-E26</f>
        <v>161</v>
      </c>
      <c r="G26" s="7" t="s">
        <v>379</v>
      </c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V26" s="7"/>
      <c r="Z26" s="7"/>
      <c r="AA26" s="7"/>
      <c r="AB26" s="7"/>
      <c r="AC26" s="7"/>
    </row>
    <row r="27" spans="2:35">
      <c r="B27" s="7"/>
      <c r="C27" s="104">
        <v>46160</v>
      </c>
      <c r="E27" s="7">
        <v>115</v>
      </c>
      <c r="F27" s="7">
        <f t="shared" ref="F27:F28" si="58">F26+D27-E27</f>
        <v>46</v>
      </c>
      <c r="G27" s="7" t="s">
        <v>395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V27" s="7"/>
      <c r="Z27" s="7"/>
      <c r="AA27" s="7"/>
      <c r="AB27" s="7"/>
      <c r="AC27" s="7"/>
    </row>
    <row r="28" spans="2:35" ht="15" customHeight="1">
      <c r="B28" s="7"/>
      <c r="E28" s="7"/>
      <c r="F28" s="7">
        <f t="shared" si="58"/>
        <v>46</v>
      </c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V28" s="7"/>
      <c r="Z28" s="7"/>
      <c r="AA28" s="7"/>
      <c r="AB28" s="7"/>
      <c r="AC28" s="7"/>
    </row>
    <row r="29" spans="2:35" ht="15" customHeight="1">
      <c r="B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V29" s="7"/>
      <c r="Z29" s="7"/>
      <c r="AA29" s="7"/>
      <c r="AB29" s="7"/>
      <c r="AC29" s="7"/>
    </row>
    <row r="30" spans="2:35" ht="15" customHeight="1">
      <c r="B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V30" s="7"/>
      <c r="Z30" s="7"/>
      <c r="AA30" s="7"/>
      <c r="AB30" s="7"/>
      <c r="AC30" s="7"/>
    </row>
    <row r="31" spans="2:35" ht="15" customHeight="1">
      <c r="B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V31" s="7"/>
      <c r="Z31" s="7"/>
      <c r="AA31" s="7"/>
      <c r="AB31" s="7"/>
      <c r="AC31" s="7"/>
    </row>
    <row r="32" spans="2:35" ht="15" customHeight="1">
      <c r="B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V32" s="7"/>
      <c r="Z32" s="7"/>
      <c r="AA32" s="7"/>
      <c r="AB32" s="7"/>
      <c r="AC32" s="7"/>
    </row>
    <row r="33" spans="21:21" s="7" customFormat="1" ht="15" customHeight="1">
      <c r="U33" s="1"/>
    </row>
    <row r="34" spans="21:21" s="7" customFormat="1" ht="15" customHeight="1">
      <c r="U34" s="1"/>
    </row>
    <row r="35" spans="21:21" s="7" customFormat="1" ht="15" customHeight="1">
      <c r="U35" s="1"/>
    </row>
    <row r="36" spans="21:21" s="7" customFormat="1" ht="15" customHeight="1">
      <c r="U36" s="1"/>
    </row>
    <row r="37" spans="21:21" s="7" customFormat="1" ht="15" customHeight="1">
      <c r="U37" s="1"/>
    </row>
    <row r="38" spans="21:21" s="7" customFormat="1" ht="15" customHeight="1">
      <c r="U38" s="1"/>
    </row>
    <row r="39" spans="21:21" s="7" customFormat="1" ht="15" customHeight="1">
      <c r="U39" s="1"/>
    </row>
    <row r="40" spans="21:21" s="7" customFormat="1" ht="15" customHeight="1">
      <c r="U40" s="1"/>
    </row>
    <row r="41" spans="21:21" s="7" customFormat="1" ht="15" customHeight="1">
      <c r="U41" s="1"/>
    </row>
    <row r="42" spans="21:21" s="7" customFormat="1" ht="15" customHeight="1">
      <c r="U42" s="1"/>
    </row>
    <row r="43" spans="21:21" s="7" customFormat="1" ht="15" customHeight="1">
      <c r="U43" s="1"/>
    </row>
    <row r="44" spans="21:21" s="7" customFormat="1" ht="15" customHeight="1">
      <c r="U44" s="1"/>
    </row>
    <row r="45" spans="21:21" s="7" customFormat="1" ht="15" customHeight="1">
      <c r="U45" s="1"/>
    </row>
    <row r="46" spans="21:21" s="7" customFormat="1" ht="15" customHeight="1">
      <c r="U46" s="1"/>
    </row>
    <row r="47" spans="21:21" s="7" customFormat="1" ht="15" customHeight="1">
      <c r="U47" s="1"/>
    </row>
    <row r="48" spans="21:21" s="7" customFormat="1" ht="15" customHeight="1">
      <c r="U48" s="1"/>
    </row>
    <row r="49" spans="21:21" s="7" customFormat="1" ht="15" customHeight="1">
      <c r="U49" s="1"/>
    </row>
    <row r="50" spans="21:21" s="7" customFormat="1" ht="15" customHeight="1">
      <c r="U50" s="1"/>
    </row>
    <row r="51" spans="21:21" s="7" customFormat="1" ht="15" customHeight="1">
      <c r="U51" s="1"/>
    </row>
    <row r="52" spans="21:21" s="7" customFormat="1" ht="15" customHeight="1">
      <c r="U52" s="1"/>
    </row>
    <row r="53" spans="21:21" s="7" customFormat="1" ht="15" customHeight="1">
      <c r="U53" s="1"/>
    </row>
    <row r="54" spans="21:21" s="7" customFormat="1" ht="15" customHeight="1">
      <c r="U54" s="1"/>
    </row>
    <row r="55" spans="21:21" s="7" customFormat="1" ht="15" customHeight="1">
      <c r="U55" s="1"/>
    </row>
    <row r="56" spans="21:21" s="7" customFormat="1" ht="15" customHeight="1">
      <c r="U56" s="1"/>
    </row>
    <row r="57" spans="21:21" s="7" customFormat="1" ht="15" customHeight="1">
      <c r="U57" s="1"/>
    </row>
    <row r="58" spans="21:21" s="7" customFormat="1" ht="15" customHeight="1">
      <c r="U58" s="1"/>
    </row>
    <row r="59" spans="21:21" s="7" customFormat="1" ht="15" customHeight="1">
      <c r="U59" s="1"/>
    </row>
    <row r="60" spans="21:21" s="7" customFormat="1" ht="15" customHeight="1">
      <c r="U60" s="1"/>
    </row>
    <row r="61" spans="21:21" s="7" customFormat="1" ht="15" customHeight="1">
      <c r="U61" s="1"/>
    </row>
    <row r="62" spans="21:21" s="7" customFormat="1" ht="15" customHeight="1">
      <c r="U62" s="1"/>
    </row>
    <row r="63" spans="21:21" s="7" customFormat="1" ht="15" customHeight="1">
      <c r="U63" s="1"/>
    </row>
    <row r="64" spans="21:21" s="7" customFormat="1" ht="15" customHeight="1">
      <c r="U64" s="1"/>
    </row>
    <row r="65" spans="21:21" s="7" customFormat="1" ht="15" customHeight="1">
      <c r="U65" s="1"/>
    </row>
    <row r="66" spans="21:21" s="7" customFormat="1" ht="15" customHeight="1">
      <c r="U66" s="1"/>
    </row>
    <row r="67" spans="21:21" s="7" customFormat="1" ht="15" customHeight="1">
      <c r="U67" s="1"/>
    </row>
    <row r="68" spans="21:21" s="7" customFormat="1" ht="15" customHeight="1">
      <c r="U68" s="1"/>
    </row>
    <row r="69" spans="21:21" s="7" customFormat="1" ht="15" customHeight="1">
      <c r="U69" s="1"/>
    </row>
    <row r="70" spans="21:21" s="7" customFormat="1" ht="15" customHeight="1">
      <c r="U70" s="1"/>
    </row>
    <row r="71" spans="21:21" s="7" customFormat="1" ht="15" customHeight="1">
      <c r="U71" s="1"/>
    </row>
    <row r="72" spans="21:21" s="7" customFormat="1" ht="15" customHeight="1">
      <c r="U72" s="1"/>
    </row>
    <row r="73" spans="21:21" s="7" customFormat="1" ht="15" customHeight="1">
      <c r="U73" s="1"/>
    </row>
    <row r="74" spans="21:21" s="7" customFormat="1" ht="15" customHeight="1">
      <c r="U74" s="1"/>
    </row>
    <row r="75" spans="21:21" s="7" customFormat="1" ht="15" customHeight="1">
      <c r="U75" s="1"/>
    </row>
    <row r="76" spans="21:21" s="7" customFormat="1" ht="15" customHeight="1">
      <c r="U76" s="1"/>
    </row>
    <row r="77" spans="21:21" s="7" customFormat="1" ht="15" customHeight="1">
      <c r="U77" s="1"/>
    </row>
    <row r="78" spans="21:21" s="7" customFormat="1" ht="15" customHeight="1">
      <c r="U78" s="1"/>
    </row>
    <row r="79" spans="21:21" s="7" customFormat="1" ht="15" customHeight="1">
      <c r="U79" s="1"/>
    </row>
    <row r="80" spans="21:21" s="7" customFormat="1" ht="15" customHeight="1">
      <c r="U80" s="1"/>
    </row>
    <row r="81" spans="21:21" s="7" customFormat="1" ht="15" customHeight="1">
      <c r="U81" s="1"/>
    </row>
    <row r="82" spans="21:21" s="7" customFormat="1" ht="15" customHeight="1">
      <c r="U82" s="1"/>
    </row>
    <row r="83" spans="21:21" s="7" customFormat="1" ht="15" customHeight="1">
      <c r="U83" s="1"/>
    </row>
    <row r="84" spans="21:21" s="7" customFormat="1" ht="15" customHeight="1">
      <c r="U84" s="1"/>
    </row>
  </sheetData>
  <autoFilter ref="B12:AC13" xr:uid="{CE4CE2B9-9C11-4CF4-8B76-548AC4B7A741}"/>
  <mergeCells count="27">
    <mergeCell ref="G4:G12"/>
    <mergeCell ref="B4:B12"/>
    <mergeCell ref="C4:C12"/>
    <mergeCell ref="D4:D12"/>
    <mergeCell ref="E4:E12"/>
    <mergeCell ref="F4:F12"/>
    <mergeCell ref="S4:S12"/>
    <mergeCell ref="H4:H12"/>
    <mergeCell ref="I4:I12"/>
    <mergeCell ref="J4:J12"/>
    <mergeCell ref="K4:K12"/>
    <mergeCell ref="L4:L12"/>
    <mergeCell ref="M4:M12"/>
    <mergeCell ref="N4:N12"/>
    <mergeCell ref="O4:O12"/>
    <mergeCell ref="P4:P12"/>
    <mergeCell ref="Q4:Q12"/>
    <mergeCell ref="R4:R12"/>
    <mergeCell ref="Z4:Z12"/>
    <mergeCell ref="AA4:AA12"/>
    <mergeCell ref="AB4:AB12"/>
    <mergeCell ref="T4:T12"/>
    <mergeCell ref="U4:U12"/>
    <mergeCell ref="V4:V12"/>
    <mergeCell ref="W4:W12"/>
    <mergeCell ref="X4:X12"/>
    <mergeCell ref="Y4:Y12"/>
  </mergeCells>
  <phoneticPr fontId="2" type="noConversion"/>
  <pageMargins left="0.70866141732283472" right="0.70866141732283472" top="0.74803149606299213" bottom="0.74803149606299213" header="0.31496062992125984" footer="0.31496062992125984"/>
  <pageSetup paperSize="9" orientation="landscape" horizontalDpi="4294967293" verticalDpi="200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C349D-F5C9-4CD2-B105-906241F2A9FE}">
  <sheetPr codeName="Sheet37">
    <pageSetUpPr fitToPage="1"/>
  </sheetPr>
  <dimension ref="B1:BG76"/>
  <sheetViews>
    <sheetView zoomScaleNormal="100" workbookViewId="0">
      <pane xSplit="29" ySplit="12" topLeftCell="AD13" activePane="bottomRight" state="frozen"/>
      <selection activeCell="C17" sqref="C17"/>
      <selection pane="topRight" activeCell="C17" sqref="C17"/>
      <selection pane="bottomLeft" activeCell="C17" sqref="C17"/>
      <selection pane="bottomRight" activeCell="U14" sqref="U14"/>
    </sheetView>
  </sheetViews>
  <sheetFormatPr defaultColWidth="9" defaultRowHeight="11.25" outlineLevelCol="1"/>
  <cols>
    <col min="1" max="1" width="2" style="7" customWidth="1"/>
    <col min="2" max="2" width="11" style="6" customWidth="1"/>
    <col min="3" max="3" width="16.75" style="7" bestFit="1" customWidth="1"/>
    <col min="4" max="4" width="17.5" style="7" bestFit="1" customWidth="1"/>
    <col min="5" max="5" width="8.875" style="6" customWidth="1"/>
    <col min="6" max="6" width="19.25" style="6" customWidth="1"/>
    <col min="7" max="7" width="8.5" style="6" customWidth="1" outlineLevel="1"/>
    <col min="8" max="8" width="6.75" style="16" customWidth="1" outlineLevel="1"/>
    <col min="9" max="9" width="6.75" style="40" customWidth="1" outlineLevel="1"/>
    <col min="10" max="11" width="6.75" style="16" customWidth="1" outlineLevel="1"/>
    <col min="12" max="12" width="6.75" style="40" customWidth="1" outlineLevel="1"/>
    <col min="13" max="13" width="6.75" style="16" customWidth="1" outlineLevel="1"/>
    <col min="14" max="14" width="6.75" style="16" customWidth="1"/>
    <col min="15" max="15" width="7" style="40" customWidth="1"/>
    <col min="16" max="16" width="6.75" style="21" customWidth="1"/>
    <col min="17" max="17" width="6.75" style="22" customWidth="1"/>
    <col min="18" max="18" width="6.75" style="16" customWidth="1" outlineLevel="1"/>
    <col min="19" max="20" width="6.75" style="30" customWidth="1" outlineLevel="1"/>
    <col min="21" max="21" width="15.625" style="1" customWidth="1" outlineLevel="1"/>
    <col min="22" max="22" width="4.625" style="30" customWidth="1" outlineLevel="1"/>
    <col min="23" max="23" width="9.25" style="7" customWidth="1" outlineLevel="1"/>
    <col min="24" max="24" width="5" style="7" customWidth="1" outlineLevel="1"/>
    <col min="25" max="25" width="4.5" style="7" customWidth="1" outlineLevel="1"/>
    <col min="26" max="28" width="7.25" style="1" customWidth="1" outlineLevel="1"/>
    <col min="29" max="29" width="15.75" style="60" customWidth="1"/>
    <col min="30" max="59" width="20.625" style="7" customWidth="1"/>
    <col min="60" max="16384" width="9" style="7"/>
  </cols>
  <sheetData>
    <row r="1" spans="2:59" s="23" customFormat="1" ht="20.100000000000001" customHeight="1">
      <c r="H1" s="25"/>
      <c r="I1" s="36"/>
      <c r="J1" s="25"/>
      <c r="K1" s="25"/>
      <c r="L1" s="36"/>
      <c r="M1" s="25"/>
      <c r="N1" s="25"/>
      <c r="O1" s="36"/>
      <c r="P1" s="25"/>
      <c r="Q1" s="36"/>
      <c r="R1" s="25"/>
      <c r="S1" s="25"/>
      <c r="T1" s="25"/>
      <c r="U1" s="148"/>
      <c r="V1" s="25"/>
      <c r="AC1" s="54"/>
    </row>
    <row r="2" spans="2:59" s="23" customFormat="1" ht="20.100000000000001" customHeight="1">
      <c r="F2" s="63"/>
      <c r="H2" s="25"/>
      <c r="I2" s="36"/>
      <c r="J2" s="25"/>
      <c r="K2" s="25"/>
      <c r="L2" s="36"/>
      <c r="M2" s="25"/>
      <c r="N2" s="25"/>
      <c r="O2" s="36"/>
      <c r="P2" s="25"/>
      <c r="Q2" s="36"/>
      <c r="R2" s="25"/>
      <c r="S2" s="25"/>
      <c r="T2" s="25"/>
      <c r="U2" s="148"/>
      <c r="V2" s="25"/>
      <c r="Z2" s="23" t="s">
        <v>87</v>
      </c>
      <c r="AA2" s="102">
        <v>46204</v>
      </c>
      <c r="AC2" s="54"/>
    </row>
    <row r="3" spans="2:59" s="23" customFormat="1" ht="20.100000000000001" customHeight="1" thickBot="1">
      <c r="H3" s="25"/>
      <c r="I3" s="36"/>
      <c r="J3" s="25"/>
      <c r="K3" s="25"/>
      <c r="L3" s="36"/>
      <c r="M3" s="25"/>
      <c r="N3" s="25"/>
      <c r="O3" s="36"/>
      <c r="P3" s="25"/>
      <c r="Q3" s="36"/>
      <c r="R3" s="25"/>
      <c r="S3" s="25"/>
      <c r="T3" s="25"/>
      <c r="U3" s="148"/>
      <c r="V3" s="25"/>
      <c r="Z3" s="23" t="s">
        <v>86</v>
      </c>
      <c r="AA3" s="102">
        <v>46234</v>
      </c>
      <c r="AC3" s="54"/>
    </row>
    <row r="4" spans="2:59" s="104" customFormat="1" ht="22.5" customHeight="1">
      <c r="B4" s="187" t="s">
        <v>16</v>
      </c>
      <c r="C4" s="173" t="s">
        <v>17</v>
      </c>
      <c r="D4" s="173" t="s">
        <v>18</v>
      </c>
      <c r="E4" s="173" t="s">
        <v>19</v>
      </c>
      <c r="F4" s="173" t="s">
        <v>20</v>
      </c>
      <c r="G4" s="173" t="s">
        <v>49</v>
      </c>
      <c r="H4" s="179" t="s">
        <v>21</v>
      </c>
      <c r="I4" s="182" t="s">
        <v>22</v>
      </c>
      <c r="J4" s="185" t="s">
        <v>71</v>
      </c>
      <c r="K4" s="185" t="s">
        <v>23</v>
      </c>
      <c r="L4" s="186" t="s">
        <v>9</v>
      </c>
      <c r="M4" s="179" t="s">
        <v>24</v>
      </c>
      <c r="N4" s="179" t="s">
        <v>25</v>
      </c>
      <c r="O4" s="182" t="s">
        <v>26</v>
      </c>
      <c r="P4" s="179" t="s">
        <v>27</v>
      </c>
      <c r="Q4" s="182" t="s">
        <v>28</v>
      </c>
      <c r="R4" s="179" t="s">
        <v>29</v>
      </c>
      <c r="S4" s="179" t="s">
        <v>30</v>
      </c>
      <c r="T4" s="179" t="s">
        <v>31</v>
      </c>
      <c r="U4" s="173" t="s">
        <v>32</v>
      </c>
      <c r="V4" s="179" t="s">
        <v>33</v>
      </c>
      <c r="W4" s="173" t="s">
        <v>34</v>
      </c>
      <c r="X4" s="173" t="s">
        <v>35</v>
      </c>
      <c r="Y4" s="173" t="s">
        <v>36</v>
      </c>
      <c r="Z4" s="173" t="s">
        <v>37</v>
      </c>
      <c r="AA4" s="173" t="s">
        <v>38</v>
      </c>
      <c r="AB4" s="176" t="s">
        <v>39</v>
      </c>
      <c r="AC4" s="135" t="s">
        <v>0</v>
      </c>
      <c r="AD4" s="104">
        <v>46233</v>
      </c>
    </row>
    <row r="5" spans="2:59" ht="20.100000000000001" customHeight="1">
      <c r="B5" s="188"/>
      <c r="C5" s="174"/>
      <c r="D5" s="174"/>
      <c r="E5" s="174"/>
      <c r="F5" s="174"/>
      <c r="G5" s="174"/>
      <c r="H5" s="180"/>
      <c r="I5" s="183"/>
      <c r="J5" s="180"/>
      <c r="K5" s="180"/>
      <c r="L5" s="183"/>
      <c r="M5" s="180"/>
      <c r="N5" s="180"/>
      <c r="O5" s="183"/>
      <c r="P5" s="180"/>
      <c r="Q5" s="183"/>
      <c r="R5" s="180"/>
      <c r="S5" s="180"/>
      <c r="T5" s="180"/>
      <c r="U5" s="174"/>
      <c r="V5" s="180"/>
      <c r="W5" s="174"/>
      <c r="X5" s="174"/>
      <c r="Y5" s="174"/>
      <c r="Z5" s="174"/>
      <c r="AA5" s="174"/>
      <c r="AB5" s="177"/>
      <c r="AC5" s="70" t="s">
        <v>1</v>
      </c>
      <c r="AD5" s="7" t="s">
        <v>860</v>
      </c>
    </row>
    <row r="6" spans="2:59" ht="15" customHeight="1">
      <c r="B6" s="188"/>
      <c r="C6" s="174"/>
      <c r="D6" s="174"/>
      <c r="E6" s="174"/>
      <c r="F6" s="174"/>
      <c r="G6" s="174"/>
      <c r="H6" s="180"/>
      <c r="I6" s="183"/>
      <c r="J6" s="180"/>
      <c r="K6" s="180"/>
      <c r="L6" s="183"/>
      <c r="M6" s="180"/>
      <c r="N6" s="180"/>
      <c r="O6" s="183"/>
      <c r="P6" s="180"/>
      <c r="Q6" s="183"/>
      <c r="R6" s="180"/>
      <c r="S6" s="180"/>
      <c r="T6" s="180"/>
      <c r="U6" s="174"/>
      <c r="V6" s="180"/>
      <c r="W6" s="174"/>
      <c r="X6" s="174"/>
      <c r="Y6" s="174"/>
      <c r="Z6" s="174"/>
      <c r="AA6" s="174"/>
      <c r="AB6" s="177"/>
      <c r="AC6" s="58" t="s">
        <v>2</v>
      </c>
      <c r="AD6" s="17" t="str">
        <f>IFERROR(INDEX($G$13:$G$367,MATCH(SUM(AD$13:AD$367),AD$13:AD$367,0),1),"")</f>
        <v>F2-260720석재</v>
      </c>
      <c r="AE6" s="17" t="str">
        <f t="shared" ref="AE6:BG6" si="0">IFERROR(INDEX($C$13:$C$367,MATCH(SUM(AE$13:AE$367),AE$13:AE$367,0),1),"")</f>
        <v/>
      </c>
      <c r="AF6" s="17" t="str">
        <f t="shared" si="0"/>
        <v/>
      </c>
      <c r="AG6" s="17" t="str">
        <f t="shared" si="0"/>
        <v/>
      </c>
      <c r="AH6" s="17" t="str">
        <f t="shared" si="0"/>
        <v/>
      </c>
      <c r="AI6" s="17" t="str">
        <f t="shared" si="0"/>
        <v/>
      </c>
      <c r="AJ6" s="17" t="str">
        <f t="shared" si="0"/>
        <v/>
      </c>
      <c r="AK6" s="17" t="str">
        <f t="shared" si="0"/>
        <v/>
      </c>
      <c r="AL6" s="17" t="str">
        <f t="shared" si="0"/>
        <v/>
      </c>
      <c r="AM6" s="17" t="str">
        <f t="shared" si="0"/>
        <v/>
      </c>
      <c r="AN6" s="17" t="str">
        <f t="shared" si="0"/>
        <v/>
      </c>
      <c r="AO6" s="17" t="str">
        <f t="shared" si="0"/>
        <v/>
      </c>
      <c r="AP6" s="17" t="str">
        <f t="shared" si="0"/>
        <v/>
      </c>
      <c r="AQ6" s="17" t="str">
        <f t="shared" si="0"/>
        <v/>
      </c>
      <c r="AR6" s="17" t="str">
        <f t="shared" si="0"/>
        <v/>
      </c>
      <c r="AS6" s="17" t="str">
        <f t="shared" si="0"/>
        <v/>
      </c>
      <c r="AT6" s="17" t="str">
        <f t="shared" si="0"/>
        <v/>
      </c>
      <c r="AU6" s="17" t="str">
        <f t="shared" si="0"/>
        <v/>
      </c>
      <c r="AV6" s="17" t="str">
        <f t="shared" si="0"/>
        <v/>
      </c>
      <c r="AW6" s="17" t="str">
        <f t="shared" si="0"/>
        <v/>
      </c>
      <c r="AX6" s="17" t="str">
        <f t="shared" si="0"/>
        <v/>
      </c>
      <c r="AY6" s="17" t="str">
        <f t="shared" si="0"/>
        <v/>
      </c>
      <c r="AZ6" s="17" t="str">
        <f t="shared" si="0"/>
        <v/>
      </c>
      <c r="BA6" s="17" t="str">
        <f t="shared" si="0"/>
        <v/>
      </c>
      <c r="BB6" s="17" t="str">
        <f t="shared" si="0"/>
        <v/>
      </c>
      <c r="BC6" s="17" t="str">
        <f t="shared" si="0"/>
        <v/>
      </c>
      <c r="BD6" s="17" t="str">
        <f t="shared" si="0"/>
        <v/>
      </c>
      <c r="BE6" s="17" t="str">
        <f t="shared" si="0"/>
        <v/>
      </c>
      <c r="BF6" s="17" t="str">
        <f t="shared" si="0"/>
        <v/>
      </c>
      <c r="BG6" s="17" t="str">
        <f t="shared" si="0"/>
        <v/>
      </c>
    </row>
    <row r="7" spans="2:59" ht="15" customHeight="1">
      <c r="B7" s="188"/>
      <c r="C7" s="174"/>
      <c r="D7" s="174"/>
      <c r="E7" s="174"/>
      <c r="F7" s="174"/>
      <c r="G7" s="174"/>
      <c r="H7" s="180"/>
      <c r="I7" s="183"/>
      <c r="J7" s="180"/>
      <c r="K7" s="180"/>
      <c r="L7" s="183"/>
      <c r="M7" s="180"/>
      <c r="N7" s="180"/>
      <c r="O7" s="183"/>
      <c r="P7" s="180"/>
      <c r="Q7" s="183"/>
      <c r="R7" s="180"/>
      <c r="S7" s="180"/>
      <c r="T7" s="180"/>
      <c r="U7" s="174"/>
      <c r="V7" s="180"/>
      <c r="W7" s="174"/>
      <c r="X7" s="174"/>
      <c r="Y7" s="174"/>
      <c r="Z7" s="174"/>
      <c r="AA7" s="174"/>
      <c r="AB7" s="177"/>
      <c r="AC7" s="58" t="s">
        <v>3</v>
      </c>
      <c r="AD7" s="101" t="str">
        <f t="shared" ref="AD7:BG7" si="1">IFERROR(INDEX($F$13:$F$367,MATCH(SUM(AD$13:AD$367),AD$13:AD$367,0),1),"")</f>
        <v>석재</v>
      </c>
      <c r="AE7" s="101" t="str">
        <f t="shared" si="1"/>
        <v/>
      </c>
      <c r="AF7" s="101" t="str">
        <f t="shared" si="1"/>
        <v/>
      </c>
      <c r="AG7" s="101" t="str">
        <f t="shared" si="1"/>
        <v/>
      </c>
      <c r="AH7" s="101" t="str">
        <f t="shared" si="1"/>
        <v/>
      </c>
      <c r="AI7" s="101" t="str">
        <f t="shared" si="1"/>
        <v/>
      </c>
      <c r="AJ7" s="101" t="str">
        <f t="shared" si="1"/>
        <v/>
      </c>
      <c r="AK7" s="101" t="str">
        <f t="shared" si="1"/>
        <v/>
      </c>
      <c r="AL7" s="101" t="str">
        <f t="shared" si="1"/>
        <v/>
      </c>
      <c r="AM7" s="101" t="str">
        <f t="shared" si="1"/>
        <v/>
      </c>
      <c r="AN7" s="101" t="str">
        <f t="shared" si="1"/>
        <v/>
      </c>
      <c r="AO7" s="101" t="str">
        <f t="shared" si="1"/>
        <v/>
      </c>
      <c r="AP7" s="101" t="str">
        <f t="shared" si="1"/>
        <v/>
      </c>
      <c r="AQ7" s="101" t="str">
        <f t="shared" si="1"/>
        <v/>
      </c>
      <c r="AR7" s="101" t="str">
        <f t="shared" si="1"/>
        <v/>
      </c>
      <c r="AS7" s="101" t="str">
        <f t="shared" si="1"/>
        <v/>
      </c>
      <c r="AT7" s="101" t="str">
        <f t="shared" si="1"/>
        <v/>
      </c>
      <c r="AU7" s="101" t="str">
        <f t="shared" si="1"/>
        <v/>
      </c>
      <c r="AV7" s="101" t="str">
        <f t="shared" si="1"/>
        <v/>
      </c>
      <c r="AW7" s="101" t="str">
        <f t="shared" si="1"/>
        <v/>
      </c>
      <c r="AX7" s="101" t="str">
        <f t="shared" si="1"/>
        <v/>
      </c>
      <c r="AY7" s="101" t="str">
        <f t="shared" si="1"/>
        <v/>
      </c>
      <c r="AZ7" s="101" t="str">
        <f t="shared" si="1"/>
        <v/>
      </c>
      <c r="BA7" s="101" t="str">
        <f t="shared" si="1"/>
        <v/>
      </c>
      <c r="BB7" s="101" t="str">
        <f t="shared" si="1"/>
        <v/>
      </c>
      <c r="BC7" s="101" t="str">
        <f t="shared" si="1"/>
        <v/>
      </c>
      <c r="BD7" s="101" t="str">
        <f t="shared" si="1"/>
        <v/>
      </c>
      <c r="BE7" s="101" t="str">
        <f t="shared" si="1"/>
        <v/>
      </c>
      <c r="BF7" s="101" t="str">
        <f t="shared" si="1"/>
        <v/>
      </c>
      <c r="BG7" s="101" t="str">
        <f t="shared" si="1"/>
        <v/>
      </c>
    </row>
    <row r="8" spans="2:59" ht="15" customHeight="1">
      <c r="B8" s="188"/>
      <c r="C8" s="174"/>
      <c r="D8" s="174"/>
      <c r="E8" s="174"/>
      <c r="F8" s="174"/>
      <c r="G8" s="174"/>
      <c r="H8" s="180"/>
      <c r="I8" s="183"/>
      <c r="J8" s="180"/>
      <c r="K8" s="180"/>
      <c r="L8" s="183"/>
      <c r="M8" s="180"/>
      <c r="N8" s="180"/>
      <c r="O8" s="183"/>
      <c r="P8" s="180"/>
      <c r="Q8" s="183"/>
      <c r="R8" s="180"/>
      <c r="S8" s="180"/>
      <c r="T8" s="180"/>
      <c r="U8" s="174"/>
      <c r="V8" s="180"/>
      <c r="W8" s="174"/>
      <c r="X8" s="174"/>
      <c r="Y8" s="174"/>
      <c r="Z8" s="174"/>
      <c r="AA8" s="174"/>
      <c r="AB8" s="177"/>
      <c r="AC8" s="59" t="s">
        <v>4</v>
      </c>
      <c r="AD8" s="48">
        <f t="shared" ref="AD8:BG8" si="2">IFERROR(SUM(AD$13:AD$367),"")</f>
        <v>14</v>
      </c>
      <c r="AE8" s="48">
        <f t="shared" si="2"/>
        <v>0</v>
      </c>
      <c r="AF8" s="48">
        <f t="shared" si="2"/>
        <v>0</v>
      </c>
      <c r="AG8" s="48">
        <f t="shared" si="2"/>
        <v>0</v>
      </c>
      <c r="AH8" s="48">
        <f t="shared" si="2"/>
        <v>0</v>
      </c>
      <c r="AI8" s="48">
        <f t="shared" si="2"/>
        <v>0</v>
      </c>
      <c r="AJ8" s="48">
        <f t="shared" si="2"/>
        <v>0</v>
      </c>
      <c r="AK8" s="48">
        <f t="shared" si="2"/>
        <v>0</v>
      </c>
      <c r="AL8" s="48">
        <f t="shared" si="2"/>
        <v>0</v>
      </c>
      <c r="AM8" s="48">
        <f t="shared" si="2"/>
        <v>0</v>
      </c>
      <c r="AN8" s="48">
        <f t="shared" si="2"/>
        <v>0</v>
      </c>
      <c r="AO8" s="48">
        <f t="shared" si="2"/>
        <v>0</v>
      </c>
      <c r="AP8" s="48">
        <f t="shared" si="2"/>
        <v>0</v>
      </c>
      <c r="AQ8" s="48">
        <f t="shared" si="2"/>
        <v>0</v>
      </c>
      <c r="AR8" s="48">
        <f t="shared" si="2"/>
        <v>0</v>
      </c>
      <c r="AS8" s="48">
        <f t="shared" si="2"/>
        <v>0</v>
      </c>
      <c r="AT8" s="48">
        <f t="shared" si="2"/>
        <v>0</v>
      </c>
      <c r="AU8" s="48">
        <f t="shared" si="2"/>
        <v>0</v>
      </c>
      <c r="AV8" s="48">
        <f t="shared" si="2"/>
        <v>0</v>
      </c>
      <c r="AW8" s="48">
        <f t="shared" si="2"/>
        <v>0</v>
      </c>
      <c r="AX8" s="48">
        <f t="shared" si="2"/>
        <v>0</v>
      </c>
      <c r="AY8" s="48">
        <f t="shared" si="2"/>
        <v>0</v>
      </c>
      <c r="AZ8" s="48">
        <f t="shared" si="2"/>
        <v>0</v>
      </c>
      <c r="BA8" s="48">
        <f t="shared" si="2"/>
        <v>0</v>
      </c>
      <c r="BB8" s="48">
        <f t="shared" si="2"/>
        <v>0</v>
      </c>
      <c r="BC8" s="48">
        <f t="shared" si="2"/>
        <v>0</v>
      </c>
      <c r="BD8" s="48">
        <f t="shared" si="2"/>
        <v>0</v>
      </c>
      <c r="BE8" s="48">
        <f t="shared" si="2"/>
        <v>0</v>
      </c>
      <c r="BF8" s="48">
        <f t="shared" si="2"/>
        <v>0</v>
      </c>
      <c r="BG8" s="48">
        <f t="shared" si="2"/>
        <v>0</v>
      </c>
    </row>
    <row r="9" spans="2:59" ht="15" customHeight="1">
      <c r="B9" s="188"/>
      <c r="C9" s="174"/>
      <c r="D9" s="174"/>
      <c r="E9" s="174"/>
      <c r="F9" s="174"/>
      <c r="G9" s="174"/>
      <c r="H9" s="180"/>
      <c r="I9" s="183"/>
      <c r="J9" s="180"/>
      <c r="K9" s="180"/>
      <c r="L9" s="183"/>
      <c r="M9" s="180"/>
      <c r="N9" s="180"/>
      <c r="O9" s="183"/>
      <c r="P9" s="180"/>
      <c r="Q9" s="183"/>
      <c r="R9" s="180"/>
      <c r="S9" s="180"/>
      <c r="T9" s="180"/>
      <c r="U9" s="174"/>
      <c r="V9" s="180"/>
      <c r="W9" s="174"/>
      <c r="X9" s="174"/>
      <c r="Y9" s="174"/>
      <c r="Z9" s="174"/>
      <c r="AA9" s="174"/>
      <c r="AB9" s="177"/>
      <c r="AC9" s="58" t="s">
        <v>5</v>
      </c>
      <c r="AD9" s="20">
        <f t="shared" ref="AD9:BG9" si="3">IFERROR(ROUNDUP((SUM(AD13:AD367)/IFERROR(INDEX($V$13:$V$367,MATCH(SUM(AD$13:AD$367),AD$13:AD$367,0),1),"")),0),"")</f>
        <v>14</v>
      </c>
      <c r="AE9" s="20" t="str">
        <f t="shared" si="3"/>
        <v/>
      </c>
      <c r="AF9" s="20" t="str">
        <f t="shared" si="3"/>
        <v/>
      </c>
      <c r="AG9" s="20" t="str">
        <f t="shared" si="3"/>
        <v/>
      </c>
      <c r="AH9" s="20" t="str">
        <f t="shared" si="3"/>
        <v/>
      </c>
      <c r="AI9" s="20" t="str">
        <f t="shared" si="3"/>
        <v/>
      </c>
      <c r="AJ9" s="20" t="str">
        <f t="shared" si="3"/>
        <v/>
      </c>
      <c r="AK9" s="20" t="str">
        <f t="shared" si="3"/>
        <v/>
      </c>
      <c r="AL9" s="20" t="str">
        <f t="shared" si="3"/>
        <v/>
      </c>
      <c r="AM9" s="20" t="str">
        <f t="shared" si="3"/>
        <v/>
      </c>
      <c r="AN9" s="20" t="str">
        <f t="shared" si="3"/>
        <v/>
      </c>
      <c r="AO9" s="20" t="str">
        <f t="shared" si="3"/>
        <v/>
      </c>
      <c r="AP9" s="20" t="str">
        <f t="shared" si="3"/>
        <v/>
      </c>
      <c r="AQ9" s="20" t="str">
        <f t="shared" si="3"/>
        <v/>
      </c>
      <c r="AR9" s="20" t="str">
        <f t="shared" si="3"/>
        <v/>
      </c>
      <c r="AS9" s="20" t="str">
        <f t="shared" si="3"/>
        <v/>
      </c>
      <c r="AT9" s="20" t="str">
        <f t="shared" si="3"/>
        <v/>
      </c>
      <c r="AU9" s="20" t="str">
        <f t="shared" si="3"/>
        <v/>
      </c>
      <c r="AV9" s="20" t="str">
        <f t="shared" si="3"/>
        <v/>
      </c>
      <c r="AW9" s="20" t="str">
        <f t="shared" si="3"/>
        <v/>
      </c>
      <c r="AX9" s="20" t="str">
        <f t="shared" si="3"/>
        <v/>
      </c>
      <c r="AY9" s="20" t="str">
        <f t="shared" si="3"/>
        <v/>
      </c>
      <c r="AZ9" s="20" t="str">
        <f t="shared" si="3"/>
        <v/>
      </c>
      <c r="BA9" s="20" t="str">
        <f t="shared" si="3"/>
        <v/>
      </c>
      <c r="BB9" s="20" t="str">
        <f t="shared" si="3"/>
        <v/>
      </c>
      <c r="BC9" s="20" t="str">
        <f t="shared" si="3"/>
        <v/>
      </c>
      <c r="BD9" s="20" t="str">
        <f t="shared" si="3"/>
        <v/>
      </c>
      <c r="BE9" s="20" t="str">
        <f t="shared" si="3"/>
        <v/>
      </c>
      <c r="BF9" s="20" t="str">
        <f t="shared" si="3"/>
        <v/>
      </c>
      <c r="BG9" s="20" t="str">
        <f t="shared" si="3"/>
        <v/>
      </c>
    </row>
    <row r="10" spans="2:59" ht="15" customHeight="1">
      <c r="B10" s="188"/>
      <c r="C10" s="174"/>
      <c r="D10" s="174"/>
      <c r="E10" s="174"/>
      <c r="F10" s="174"/>
      <c r="G10" s="174"/>
      <c r="H10" s="180"/>
      <c r="I10" s="183"/>
      <c r="J10" s="180"/>
      <c r="K10" s="180"/>
      <c r="L10" s="183"/>
      <c r="M10" s="180"/>
      <c r="N10" s="180"/>
      <c r="O10" s="183"/>
      <c r="P10" s="180"/>
      <c r="Q10" s="183"/>
      <c r="R10" s="180"/>
      <c r="S10" s="180"/>
      <c r="T10" s="180"/>
      <c r="U10" s="174"/>
      <c r="V10" s="180"/>
      <c r="W10" s="174"/>
      <c r="X10" s="174"/>
      <c r="Y10" s="174"/>
      <c r="Z10" s="174"/>
      <c r="AA10" s="174"/>
      <c r="AB10" s="177"/>
      <c r="AC10" s="58" t="s">
        <v>6</v>
      </c>
      <c r="AD10" s="17">
        <f t="shared" ref="AD10:BG10" si="4">IFERROR(INDEX($W$13:$W$367,MATCH(SUM(AD$13:AD$367),AD$13:AD$367,0),1),"")</f>
        <v>46223</v>
      </c>
      <c r="AE10" s="17" t="str">
        <f t="shared" si="4"/>
        <v/>
      </c>
      <c r="AF10" s="17" t="str">
        <f t="shared" si="4"/>
        <v/>
      </c>
      <c r="AG10" s="17" t="str">
        <f t="shared" si="4"/>
        <v/>
      </c>
      <c r="AH10" s="17" t="str">
        <f t="shared" si="4"/>
        <v/>
      </c>
      <c r="AI10" s="17" t="str">
        <f t="shared" si="4"/>
        <v/>
      </c>
      <c r="AJ10" s="17" t="str">
        <f t="shared" si="4"/>
        <v/>
      </c>
      <c r="AK10" s="17" t="str">
        <f t="shared" si="4"/>
        <v/>
      </c>
      <c r="AL10" s="17" t="str">
        <f t="shared" si="4"/>
        <v/>
      </c>
      <c r="AM10" s="17" t="str">
        <f t="shared" si="4"/>
        <v/>
      </c>
      <c r="AN10" s="17" t="str">
        <f t="shared" si="4"/>
        <v/>
      </c>
      <c r="AO10" s="17" t="str">
        <f t="shared" si="4"/>
        <v/>
      </c>
      <c r="AP10" s="17" t="str">
        <f t="shared" si="4"/>
        <v/>
      </c>
      <c r="AQ10" s="17" t="str">
        <f t="shared" si="4"/>
        <v/>
      </c>
      <c r="AR10" s="17" t="str">
        <f t="shared" si="4"/>
        <v/>
      </c>
      <c r="AS10" s="17" t="str">
        <f t="shared" si="4"/>
        <v/>
      </c>
      <c r="AT10" s="17" t="str">
        <f t="shared" si="4"/>
        <v/>
      </c>
      <c r="AU10" s="17" t="str">
        <f t="shared" si="4"/>
        <v/>
      </c>
      <c r="AV10" s="17" t="str">
        <f t="shared" si="4"/>
        <v/>
      </c>
      <c r="AW10" s="17" t="str">
        <f t="shared" si="4"/>
        <v/>
      </c>
      <c r="AX10" s="17" t="str">
        <f t="shared" si="4"/>
        <v/>
      </c>
      <c r="AY10" s="17" t="str">
        <f t="shared" si="4"/>
        <v/>
      </c>
      <c r="AZ10" s="17" t="str">
        <f t="shared" si="4"/>
        <v/>
      </c>
      <c r="BA10" s="17" t="str">
        <f t="shared" si="4"/>
        <v/>
      </c>
      <c r="BB10" s="17" t="str">
        <f t="shared" si="4"/>
        <v/>
      </c>
      <c r="BC10" s="17" t="str">
        <f t="shared" si="4"/>
        <v/>
      </c>
      <c r="BD10" s="17" t="str">
        <f t="shared" si="4"/>
        <v/>
      </c>
      <c r="BE10" s="17" t="str">
        <f t="shared" si="4"/>
        <v/>
      </c>
      <c r="BF10" s="17" t="str">
        <f t="shared" si="4"/>
        <v/>
      </c>
      <c r="BG10" s="17" t="str">
        <f t="shared" si="4"/>
        <v/>
      </c>
    </row>
    <row r="11" spans="2:59" ht="15" customHeight="1">
      <c r="B11" s="188"/>
      <c r="C11" s="174"/>
      <c r="D11" s="174"/>
      <c r="E11" s="174"/>
      <c r="F11" s="174"/>
      <c r="G11" s="174"/>
      <c r="H11" s="180"/>
      <c r="I11" s="183"/>
      <c r="J11" s="180"/>
      <c r="K11" s="180"/>
      <c r="L11" s="183"/>
      <c r="M11" s="180"/>
      <c r="N11" s="180"/>
      <c r="O11" s="183"/>
      <c r="P11" s="180"/>
      <c r="Q11" s="183"/>
      <c r="R11" s="180"/>
      <c r="S11" s="180"/>
      <c r="T11" s="180"/>
      <c r="U11" s="174"/>
      <c r="V11" s="180"/>
      <c r="W11" s="174"/>
      <c r="X11" s="174"/>
      <c r="Y11" s="174"/>
      <c r="Z11" s="174"/>
      <c r="AA11" s="174"/>
      <c r="AB11" s="177"/>
      <c r="AC11" s="58" t="s">
        <v>7</v>
      </c>
      <c r="AD11" s="20">
        <f t="shared" ref="AD11:BG11" ca="1" si="5">IF(AD5="","",IF(AD10&gt;AD4,"프리타임 기간내 출고",IF(DATE(YEAR(AD4),MONTH(AD4),1)&gt;DATE(YEAR(AD10),MONTH(AD10),1),DATEDIF(DATE(YEAR(NOW()),MONTH(NOW()),1),(AD4)+1,"D"),DATEDIF(AD10,AD4+1,"D"))))</f>
        <v>11</v>
      </c>
      <c r="AE11" s="20" t="str">
        <f t="shared" ca="1" si="5"/>
        <v/>
      </c>
      <c r="AF11" s="20" t="str">
        <f t="shared" ca="1" si="5"/>
        <v/>
      </c>
      <c r="AG11" s="20" t="str">
        <f t="shared" ca="1" si="5"/>
        <v/>
      </c>
      <c r="AH11" s="20" t="str">
        <f t="shared" ca="1" si="5"/>
        <v/>
      </c>
      <c r="AI11" s="20" t="str">
        <f t="shared" ca="1" si="5"/>
        <v/>
      </c>
      <c r="AJ11" s="20" t="str">
        <f t="shared" ca="1" si="5"/>
        <v/>
      </c>
      <c r="AK11" s="20" t="str">
        <f t="shared" ca="1" si="5"/>
        <v/>
      </c>
      <c r="AL11" s="20" t="str">
        <f t="shared" ca="1" si="5"/>
        <v/>
      </c>
      <c r="AM11" s="20" t="str">
        <f t="shared" ca="1" si="5"/>
        <v/>
      </c>
      <c r="AN11" s="20" t="str">
        <f t="shared" ca="1" si="5"/>
        <v/>
      </c>
      <c r="AO11" s="20" t="str">
        <f t="shared" ca="1" si="5"/>
        <v/>
      </c>
      <c r="AP11" s="20" t="str">
        <f t="shared" ca="1" si="5"/>
        <v/>
      </c>
      <c r="AQ11" s="20" t="str">
        <f t="shared" ca="1" si="5"/>
        <v/>
      </c>
      <c r="AR11" s="20" t="str">
        <f t="shared" ca="1" si="5"/>
        <v/>
      </c>
      <c r="AS11" s="20" t="str">
        <f t="shared" ca="1" si="5"/>
        <v/>
      </c>
      <c r="AT11" s="20" t="str">
        <f t="shared" ca="1" si="5"/>
        <v/>
      </c>
      <c r="AU11" s="20" t="str">
        <f t="shared" ca="1" si="5"/>
        <v/>
      </c>
      <c r="AV11" s="20" t="str">
        <f t="shared" ca="1" si="5"/>
        <v/>
      </c>
      <c r="AW11" s="20" t="str">
        <f t="shared" ca="1" si="5"/>
        <v/>
      </c>
      <c r="AX11" s="20" t="str">
        <f t="shared" ca="1" si="5"/>
        <v/>
      </c>
      <c r="AY11" s="20" t="str">
        <f t="shared" ca="1" si="5"/>
        <v/>
      </c>
      <c r="AZ11" s="20" t="str">
        <f t="shared" ca="1" si="5"/>
        <v/>
      </c>
      <c r="BA11" s="20" t="str">
        <f t="shared" ca="1" si="5"/>
        <v/>
      </c>
      <c r="BB11" s="20" t="str">
        <f t="shared" ca="1" si="5"/>
        <v/>
      </c>
      <c r="BC11" s="20" t="str">
        <f t="shared" ca="1" si="5"/>
        <v/>
      </c>
      <c r="BD11" s="20" t="str">
        <f t="shared" ca="1" si="5"/>
        <v/>
      </c>
      <c r="BE11" s="20" t="str">
        <f t="shared" ca="1" si="5"/>
        <v/>
      </c>
      <c r="BF11" s="20" t="str">
        <f t="shared" ca="1" si="5"/>
        <v/>
      </c>
      <c r="BG11" s="20" t="str">
        <f t="shared" ca="1" si="5"/>
        <v/>
      </c>
    </row>
    <row r="12" spans="2:59" ht="15" customHeight="1" thickBot="1">
      <c r="B12" s="189"/>
      <c r="C12" s="175"/>
      <c r="D12" s="175"/>
      <c r="E12" s="175"/>
      <c r="F12" s="175"/>
      <c r="G12" s="175"/>
      <c r="H12" s="181"/>
      <c r="I12" s="184"/>
      <c r="J12" s="181"/>
      <c r="K12" s="181"/>
      <c r="L12" s="184"/>
      <c r="M12" s="181"/>
      <c r="N12" s="181"/>
      <c r="O12" s="184"/>
      <c r="P12" s="181"/>
      <c r="Q12" s="184"/>
      <c r="R12" s="181"/>
      <c r="S12" s="181"/>
      <c r="T12" s="181"/>
      <c r="U12" s="175"/>
      <c r="V12" s="181"/>
      <c r="W12" s="175"/>
      <c r="X12" s="175"/>
      <c r="Y12" s="175"/>
      <c r="Z12" s="175"/>
      <c r="AA12" s="175"/>
      <c r="AB12" s="178"/>
      <c r="AC12" s="100" t="s">
        <v>8</v>
      </c>
      <c r="AD12" s="19">
        <f t="shared" ref="AD12:BG12" ca="1" si="6">IFERROR(AD11*AD9*(INDEX($Y$13:$Y$367,MATCH(SUM(AD$13:AD$367),AD$13:AD$367,0),1)),"")</f>
        <v>46200</v>
      </c>
      <c r="AE12" s="19" t="str">
        <f t="shared" ca="1" si="6"/>
        <v/>
      </c>
      <c r="AF12" s="19" t="str">
        <f t="shared" ca="1" si="6"/>
        <v/>
      </c>
      <c r="AG12" s="19" t="str">
        <f t="shared" ca="1" si="6"/>
        <v/>
      </c>
      <c r="AH12" s="19" t="str">
        <f t="shared" ca="1" si="6"/>
        <v/>
      </c>
      <c r="AI12" s="19" t="str">
        <f t="shared" ca="1" si="6"/>
        <v/>
      </c>
      <c r="AJ12" s="19" t="str">
        <f t="shared" ca="1" si="6"/>
        <v/>
      </c>
      <c r="AK12" s="19" t="str">
        <f t="shared" ca="1" si="6"/>
        <v/>
      </c>
      <c r="AL12" s="19" t="str">
        <f t="shared" ca="1" si="6"/>
        <v/>
      </c>
      <c r="AM12" s="19" t="str">
        <f t="shared" ca="1" si="6"/>
        <v/>
      </c>
      <c r="AN12" s="19" t="str">
        <f t="shared" ca="1" si="6"/>
        <v/>
      </c>
      <c r="AO12" s="19" t="str">
        <f t="shared" ca="1" si="6"/>
        <v/>
      </c>
      <c r="AP12" s="19" t="str">
        <f t="shared" ca="1" si="6"/>
        <v/>
      </c>
      <c r="AQ12" s="19" t="str">
        <f t="shared" ca="1" si="6"/>
        <v/>
      </c>
      <c r="AR12" s="19" t="str">
        <f t="shared" ca="1" si="6"/>
        <v/>
      </c>
      <c r="AS12" s="19" t="str">
        <f t="shared" ca="1" si="6"/>
        <v/>
      </c>
      <c r="AT12" s="19" t="str">
        <f t="shared" ca="1" si="6"/>
        <v/>
      </c>
      <c r="AU12" s="19" t="str">
        <f t="shared" ca="1" si="6"/>
        <v/>
      </c>
      <c r="AV12" s="19" t="str">
        <f t="shared" ca="1" si="6"/>
        <v/>
      </c>
      <c r="AW12" s="19" t="str">
        <f t="shared" ca="1" si="6"/>
        <v/>
      </c>
      <c r="AX12" s="19" t="str">
        <f t="shared" ca="1" si="6"/>
        <v/>
      </c>
      <c r="AY12" s="19" t="str">
        <f t="shared" ca="1" si="6"/>
        <v/>
      </c>
      <c r="AZ12" s="19" t="str">
        <f t="shared" ca="1" si="6"/>
        <v/>
      </c>
      <c r="BA12" s="19" t="str">
        <f t="shared" ca="1" si="6"/>
        <v/>
      </c>
      <c r="BB12" s="19" t="str">
        <f t="shared" ca="1" si="6"/>
        <v/>
      </c>
      <c r="BC12" s="19" t="str">
        <f t="shared" ca="1" si="6"/>
        <v/>
      </c>
      <c r="BD12" s="19" t="str">
        <f t="shared" ca="1" si="6"/>
        <v/>
      </c>
      <c r="BE12" s="19" t="str">
        <f t="shared" ca="1" si="6"/>
        <v/>
      </c>
      <c r="BF12" s="19" t="str">
        <f t="shared" ca="1" si="6"/>
        <v/>
      </c>
      <c r="BG12" s="19" t="str">
        <f t="shared" ca="1" si="6"/>
        <v/>
      </c>
    </row>
    <row r="13" spans="2:59" s="2" customFormat="1" ht="20.100000000000001" customHeight="1" thickTop="1">
      <c r="B13" s="110">
        <v>46170</v>
      </c>
      <c r="C13" s="171" t="s">
        <v>439</v>
      </c>
      <c r="D13" s="112" t="s">
        <v>418</v>
      </c>
      <c r="E13" s="113" t="s">
        <v>416</v>
      </c>
      <c r="F13" s="114" t="s">
        <v>426</v>
      </c>
      <c r="G13" s="8" t="str">
        <f t="shared" ref="G13:G15" si="7">C13&amp;F13</f>
        <v>454610011640누들</v>
      </c>
      <c r="H13" s="28">
        <v>890</v>
      </c>
      <c r="I13" s="41">
        <f t="shared" ref="I13:I14" si="8">ROUNDUP((H13/V13),0)</f>
        <v>23</v>
      </c>
      <c r="J13" s="29">
        <v>0</v>
      </c>
      <c r="K13" s="29">
        <v>0</v>
      </c>
      <c r="L13" s="41">
        <f>ROUNDUP((K13/V13),0)</f>
        <v>0</v>
      </c>
      <c r="M13" s="29">
        <v>0</v>
      </c>
      <c r="N13" s="31">
        <f t="shared" ref="N13:N14" si="9">P13-K13+M13</f>
        <v>0</v>
      </c>
      <c r="O13" s="42">
        <f t="shared" ref="O13:O14" si="10">ROUNDUP((N13/V13),0)</f>
        <v>0</v>
      </c>
      <c r="P13" s="31">
        <f t="shared" ref="P13:P14" si="11">H13-T13</f>
        <v>0</v>
      </c>
      <c r="Q13" s="42">
        <f t="shared" ref="Q13:Q14" si="12">L13+O13</f>
        <v>0</v>
      </c>
      <c r="R13" s="28">
        <v>890</v>
      </c>
      <c r="S13" s="97">
        <f>SUM(AD13:OR13)</f>
        <v>0</v>
      </c>
      <c r="T13" s="97">
        <f t="shared" ref="T13:T14" si="13">R13+S13+J13+M13</f>
        <v>890</v>
      </c>
      <c r="U13" s="2" t="s">
        <v>431</v>
      </c>
      <c r="V13" s="28">
        <v>40</v>
      </c>
      <c r="W13" s="95">
        <f t="shared" ref="W13:W14" si="14">B13+X13</f>
        <v>46170</v>
      </c>
      <c r="X13" s="79">
        <v>0</v>
      </c>
      <c r="Y13" s="79">
        <v>800</v>
      </c>
      <c r="Z13" s="2">
        <f>SUMIF($AD$6:$HN$6,G13,$AD$12:$HN$12)</f>
        <v>0</v>
      </c>
      <c r="AA13" s="2">
        <f t="shared" ref="AA13:AA14" ca="1" si="15">IF(W13&gt;TODAY(),"프리타임기간중",Q13*Y13*IF(DATE(YEAR(W13),MONTH(W13),1)&lt;DATE(YEAR($AA$2),MONTH($AA$2),1),DATEDIF($AA$2,$AA$3,"D")+1,DATEDIF(W13,$AA$3+1,"d")))</f>
        <v>0</v>
      </c>
      <c r="AB13" s="2">
        <f t="shared" ref="AB13:AB14" ca="1" si="16">IFERROR(Z13+AA13,"")</f>
        <v>0</v>
      </c>
      <c r="AC13" s="103"/>
    </row>
    <row r="14" spans="2:59" s="2" customFormat="1" ht="20.100000000000001" customHeight="1">
      <c r="B14" s="81">
        <v>46170</v>
      </c>
      <c r="C14" s="99" t="s">
        <v>414</v>
      </c>
      <c r="D14" s="98"/>
      <c r="E14" s="79" t="s">
        <v>416</v>
      </c>
      <c r="F14" s="8" t="s">
        <v>415</v>
      </c>
      <c r="G14" s="8" t="str">
        <f t="shared" si="7"/>
        <v>454610011640커스터드</v>
      </c>
      <c r="H14" s="28">
        <v>65</v>
      </c>
      <c r="I14" s="41">
        <f t="shared" si="8"/>
        <v>2</v>
      </c>
      <c r="J14" s="29">
        <v>0</v>
      </c>
      <c r="K14" s="29">
        <v>0</v>
      </c>
      <c r="L14" s="41">
        <f t="shared" ref="L14" si="17">ROUNDUP((K14/V14),0)</f>
        <v>0</v>
      </c>
      <c r="M14" s="29">
        <v>0</v>
      </c>
      <c r="N14" s="31">
        <f t="shared" si="9"/>
        <v>65</v>
      </c>
      <c r="O14" s="42">
        <f t="shared" si="10"/>
        <v>2</v>
      </c>
      <c r="P14" s="31">
        <f t="shared" si="11"/>
        <v>65</v>
      </c>
      <c r="Q14" s="42">
        <f t="shared" si="12"/>
        <v>2</v>
      </c>
      <c r="R14" s="28">
        <v>0</v>
      </c>
      <c r="S14" s="97">
        <f>SUM(AD14:OR14)</f>
        <v>0</v>
      </c>
      <c r="T14" s="97">
        <f t="shared" si="13"/>
        <v>0</v>
      </c>
      <c r="U14" s="2" t="s">
        <v>676</v>
      </c>
      <c r="V14" s="28">
        <v>40</v>
      </c>
      <c r="W14" s="95">
        <f t="shared" si="14"/>
        <v>46170</v>
      </c>
      <c r="X14" s="79">
        <v>0</v>
      </c>
      <c r="Y14" s="79">
        <v>800</v>
      </c>
      <c r="Z14" s="2">
        <f>SUMIF($AD$6:$HN$6,G14,$AD$12:$HN$12)</f>
        <v>0</v>
      </c>
      <c r="AA14" s="2">
        <f t="shared" ca="1" si="15"/>
        <v>49600</v>
      </c>
      <c r="AB14" s="2">
        <f t="shared" ca="1" si="16"/>
        <v>49600</v>
      </c>
      <c r="AC14" s="103"/>
    </row>
    <row r="15" spans="2:59" s="2" customFormat="1" ht="20.100000000000001" customHeight="1">
      <c r="B15" s="81">
        <v>46223</v>
      </c>
      <c r="C15" s="99" t="s">
        <v>785</v>
      </c>
      <c r="D15" s="98" t="s">
        <v>786</v>
      </c>
      <c r="E15" s="79"/>
      <c r="F15" s="8" t="s">
        <v>787</v>
      </c>
      <c r="G15" s="8" t="str">
        <f t="shared" si="7"/>
        <v>F2-260720석재</v>
      </c>
      <c r="H15" s="28">
        <v>14</v>
      </c>
      <c r="I15" s="41">
        <f t="shared" ref="I15" si="18">ROUNDUP((H15/V15),0)</f>
        <v>14</v>
      </c>
      <c r="J15" s="29">
        <v>0</v>
      </c>
      <c r="K15" s="29">
        <v>0</v>
      </c>
      <c r="L15" s="41">
        <f t="shared" ref="L15" si="19">ROUNDUP((K15/V15),0)</f>
        <v>0</v>
      </c>
      <c r="M15" s="29">
        <v>0</v>
      </c>
      <c r="N15" s="31">
        <f t="shared" ref="N15" si="20">P15-K15+M15</f>
        <v>0</v>
      </c>
      <c r="O15" s="42">
        <f t="shared" ref="O15" si="21">ROUNDUP((N15/V15),0)</f>
        <v>0</v>
      </c>
      <c r="P15" s="31">
        <f t="shared" ref="P15" si="22">H15-T15</f>
        <v>0</v>
      </c>
      <c r="Q15" s="42">
        <f t="shared" ref="Q15" si="23">L15+O15</f>
        <v>0</v>
      </c>
      <c r="R15" s="28">
        <v>0</v>
      </c>
      <c r="S15" s="97">
        <f>SUM(AD15:OR15)</f>
        <v>14</v>
      </c>
      <c r="T15" s="97">
        <f t="shared" ref="T15" si="24">R15+S15+J15+M15</f>
        <v>14</v>
      </c>
      <c r="U15" s="2" t="s">
        <v>788</v>
      </c>
      <c r="V15" s="28">
        <v>1</v>
      </c>
      <c r="W15" s="95">
        <f t="shared" ref="W15" si="25">B15+X15</f>
        <v>46223</v>
      </c>
      <c r="X15" s="79">
        <v>0</v>
      </c>
      <c r="Y15" s="79">
        <v>300</v>
      </c>
      <c r="Z15" s="2">
        <f ca="1">SUMIF($AD$6:$HN$6,G15,$AD$12:$HN$12)</f>
        <v>46200</v>
      </c>
      <c r="AA15" s="2">
        <f t="shared" ref="AA15" ca="1" si="26">IF(W15&gt;TODAY(),"프리타임기간중",Q15*Y15*IF(DATE(YEAR(W15),MONTH(W15),1)&lt;DATE(YEAR($AA$2),MONTH($AA$2),1),DATEDIF($AA$2,$AA$3,"D")+1,DATEDIF(W15,$AA$3+1,"d")))</f>
        <v>0</v>
      </c>
      <c r="AB15" s="2">
        <f t="shared" ref="AB15" ca="1" si="27">IFERROR(Z15+AA15,"")</f>
        <v>46200</v>
      </c>
      <c r="AC15" s="103"/>
      <c r="AD15" s="142">
        <v>14</v>
      </c>
    </row>
    <row r="16" spans="2:59" s="2" customFormat="1" ht="20.100000000000001" customHeight="1">
      <c r="B16" s="81"/>
      <c r="C16" s="99"/>
      <c r="D16" s="98"/>
      <c r="E16" s="79"/>
      <c r="F16" s="8"/>
      <c r="G16" s="8"/>
      <c r="H16" s="28"/>
      <c r="I16" s="41">
        <f t="shared" ref="I16" si="28">ROUNDUP((H16/V16),0)</f>
        <v>0</v>
      </c>
      <c r="J16" s="29">
        <v>0</v>
      </c>
      <c r="K16" s="29">
        <v>0</v>
      </c>
      <c r="L16" s="41">
        <f t="shared" ref="L16" si="29">ROUNDUP((K16/V16),0)</f>
        <v>0</v>
      </c>
      <c r="M16" s="29">
        <v>0</v>
      </c>
      <c r="N16" s="31">
        <f t="shared" ref="N16" si="30">P16-K16+M16</f>
        <v>0</v>
      </c>
      <c r="O16" s="42">
        <f t="shared" ref="O16" si="31">ROUNDUP((N16/V16),0)</f>
        <v>0</v>
      </c>
      <c r="P16" s="31">
        <f t="shared" ref="P16" si="32">H16-T16</f>
        <v>0</v>
      </c>
      <c r="Q16" s="42">
        <f t="shared" ref="Q16" si="33">L16+O16</f>
        <v>0</v>
      </c>
      <c r="R16" s="28">
        <v>0</v>
      </c>
      <c r="S16" s="97">
        <f>SUM(AD16:OR16)</f>
        <v>0</v>
      </c>
      <c r="T16" s="97">
        <f t="shared" ref="T16" si="34">R16+S16+J16+M16</f>
        <v>0</v>
      </c>
      <c r="V16" s="28">
        <v>40</v>
      </c>
      <c r="W16" s="95">
        <f t="shared" ref="W16" si="35">B16+X16</f>
        <v>20</v>
      </c>
      <c r="X16" s="79">
        <v>20</v>
      </c>
      <c r="Y16" s="79">
        <v>400</v>
      </c>
      <c r="Z16" s="2">
        <f>SUMIF($AD$6:$HN$6,G16,$AD$12:$HN$12)</f>
        <v>0</v>
      </c>
      <c r="AA16" s="2">
        <f t="shared" ref="AA16" ca="1" si="36">IF(W16&gt;TODAY(),"프리타임기간중",Q16*Y16*IF(DATE(YEAR(W16),MONTH(W16),1)&lt;DATE(YEAR($AA$2),MONTH($AA$2),1),DATEDIF($AA$2,$AA$3,"D")+1,DATEDIF(W16,$AA$3+1,"d")))</f>
        <v>0</v>
      </c>
      <c r="AB16" s="2">
        <f t="shared" ref="AB16" ca="1" si="37">IFERROR(Z16+AA16,"")</f>
        <v>0</v>
      </c>
      <c r="AC16" s="103"/>
    </row>
    <row r="17" spans="2:29" s="2" customFormat="1" ht="20.100000000000001" customHeight="1">
      <c r="B17" s="81"/>
      <c r="C17" s="99"/>
      <c r="D17" s="98"/>
      <c r="E17" s="79"/>
      <c r="F17" s="8"/>
      <c r="G17" s="8"/>
      <c r="H17" s="28"/>
      <c r="I17" s="41"/>
      <c r="J17" s="29"/>
      <c r="K17" s="29"/>
      <c r="L17" s="41"/>
      <c r="M17" s="29"/>
      <c r="N17" s="31"/>
      <c r="O17" s="42"/>
      <c r="P17" s="31"/>
      <c r="Q17" s="42"/>
      <c r="R17" s="28"/>
      <c r="S17" s="97"/>
      <c r="T17" s="97"/>
      <c r="V17" s="28"/>
      <c r="W17" s="95"/>
      <c r="X17" s="79"/>
      <c r="Y17" s="79"/>
      <c r="AC17" s="103"/>
    </row>
    <row r="18" spans="2:29" s="1" customFormat="1" ht="15" customHeight="1">
      <c r="B18" s="6"/>
      <c r="C18" s="7"/>
      <c r="D18" s="7"/>
      <c r="E18" s="6"/>
      <c r="F18" s="6"/>
      <c r="G18" s="6"/>
      <c r="H18" s="16"/>
      <c r="I18" s="40"/>
      <c r="J18" s="16"/>
      <c r="K18" s="16"/>
      <c r="L18" s="40"/>
      <c r="M18" s="16"/>
      <c r="N18" s="16"/>
      <c r="O18" s="40"/>
      <c r="P18" s="21"/>
      <c r="Q18" s="22"/>
      <c r="R18" s="16">
        <v>0</v>
      </c>
      <c r="S18" s="30"/>
      <c r="T18" s="30"/>
      <c r="V18" s="21"/>
      <c r="W18" s="7"/>
      <c r="X18" s="7"/>
      <c r="Y18" s="7"/>
      <c r="AC18" s="60"/>
    </row>
    <row r="19" spans="2:29" ht="15" customHeight="1">
      <c r="B19" s="7"/>
      <c r="C19" s="120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V19" s="7"/>
      <c r="Z19" s="7"/>
      <c r="AA19" s="7"/>
      <c r="AB19" s="7"/>
      <c r="AC19" s="7"/>
    </row>
    <row r="20" spans="2:29" ht="15" customHeight="1">
      <c r="B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V20" s="7"/>
      <c r="Z20" s="7"/>
      <c r="AA20" s="7"/>
      <c r="AB20" s="7"/>
      <c r="AC20" s="7"/>
    </row>
    <row r="21" spans="2:29" ht="15" customHeight="1">
      <c r="B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V21" s="7"/>
      <c r="Z21" s="7"/>
      <c r="AA21" s="7"/>
      <c r="AB21" s="7"/>
      <c r="AC21" s="7"/>
    </row>
    <row r="22" spans="2:29" ht="15" customHeight="1">
      <c r="B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V22" s="7"/>
      <c r="Z22" s="7"/>
      <c r="AA22" s="7"/>
      <c r="AB22" s="7"/>
      <c r="AC22" s="7"/>
    </row>
    <row r="23" spans="2:29" ht="15" customHeight="1">
      <c r="B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V23" s="7"/>
      <c r="Z23" s="7"/>
      <c r="AA23" s="7"/>
      <c r="AB23" s="7"/>
      <c r="AC23" s="7"/>
    </row>
    <row r="24" spans="2:29" ht="15" customHeight="1">
      <c r="B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V24" s="7"/>
      <c r="Z24" s="7"/>
      <c r="AA24" s="7"/>
      <c r="AB24" s="7"/>
      <c r="AC24" s="7"/>
    </row>
    <row r="25" spans="2:29" ht="15" customHeight="1">
      <c r="B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V25" s="7"/>
      <c r="Z25" s="7"/>
      <c r="AA25" s="7"/>
      <c r="AB25" s="7"/>
      <c r="AC25" s="7"/>
    </row>
    <row r="26" spans="2:29" ht="15" customHeight="1">
      <c r="B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V26" s="7"/>
      <c r="Z26" s="7"/>
      <c r="AA26" s="7"/>
      <c r="AB26" s="7"/>
      <c r="AC26" s="7"/>
    </row>
    <row r="27" spans="2:29" ht="15" customHeight="1">
      <c r="B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V27" s="7"/>
      <c r="Z27" s="7"/>
      <c r="AA27" s="7"/>
      <c r="AB27" s="7"/>
      <c r="AC27" s="7"/>
    </row>
    <row r="28" spans="2:29" ht="15" customHeight="1">
      <c r="B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V28" s="7"/>
      <c r="Z28" s="7"/>
      <c r="AA28" s="7"/>
      <c r="AB28" s="7"/>
      <c r="AC28" s="7"/>
    </row>
    <row r="29" spans="2:29" ht="15" customHeight="1">
      <c r="B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V29" s="7"/>
      <c r="Z29" s="7"/>
      <c r="AA29" s="7"/>
      <c r="AB29" s="7"/>
      <c r="AC29" s="7"/>
    </row>
    <row r="30" spans="2:29" ht="15" customHeight="1">
      <c r="B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V30" s="7"/>
      <c r="Z30" s="7"/>
      <c r="AA30" s="7"/>
      <c r="AB30" s="7"/>
      <c r="AC30" s="7"/>
    </row>
    <row r="31" spans="2:29" ht="15" customHeight="1">
      <c r="B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V31" s="7"/>
      <c r="Z31" s="7"/>
      <c r="AA31" s="7"/>
      <c r="AB31" s="7"/>
      <c r="AC31" s="7"/>
    </row>
    <row r="32" spans="2:29" ht="15" customHeight="1">
      <c r="B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V32" s="7"/>
      <c r="Z32" s="7"/>
      <c r="AA32" s="7"/>
      <c r="AB32" s="7"/>
      <c r="AC32" s="7"/>
    </row>
    <row r="33" spans="21:21" s="7" customFormat="1" ht="15" customHeight="1">
      <c r="U33" s="1"/>
    </row>
    <row r="34" spans="21:21" s="7" customFormat="1" ht="15" customHeight="1">
      <c r="U34" s="1"/>
    </row>
    <row r="35" spans="21:21" s="7" customFormat="1" ht="15" customHeight="1">
      <c r="U35" s="1"/>
    </row>
    <row r="36" spans="21:21" s="7" customFormat="1" ht="15" customHeight="1">
      <c r="U36" s="1"/>
    </row>
    <row r="37" spans="21:21" s="7" customFormat="1" ht="15" customHeight="1">
      <c r="U37" s="1"/>
    </row>
    <row r="38" spans="21:21" s="7" customFormat="1" ht="15" customHeight="1">
      <c r="U38" s="1"/>
    </row>
    <row r="39" spans="21:21" s="7" customFormat="1" ht="15" customHeight="1">
      <c r="U39" s="1"/>
    </row>
    <row r="40" spans="21:21" s="7" customFormat="1" ht="15" customHeight="1">
      <c r="U40" s="1"/>
    </row>
    <row r="41" spans="21:21" s="7" customFormat="1" ht="15" customHeight="1">
      <c r="U41" s="1"/>
    </row>
    <row r="42" spans="21:21" s="7" customFormat="1" ht="15" customHeight="1">
      <c r="U42" s="1"/>
    </row>
    <row r="43" spans="21:21" s="7" customFormat="1" ht="15" customHeight="1">
      <c r="U43" s="1"/>
    </row>
    <row r="44" spans="21:21" s="7" customFormat="1" ht="15" customHeight="1">
      <c r="U44" s="1"/>
    </row>
    <row r="45" spans="21:21" s="7" customFormat="1" ht="15" customHeight="1">
      <c r="U45" s="1"/>
    </row>
    <row r="46" spans="21:21" s="7" customFormat="1" ht="15" customHeight="1">
      <c r="U46" s="1"/>
    </row>
    <row r="47" spans="21:21" s="7" customFormat="1" ht="15" customHeight="1">
      <c r="U47" s="1"/>
    </row>
    <row r="48" spans="21:21" s="7" customFormat="1" ht="15" customHeight="1">
      <c r="U48" s="1"/>
    </row>
    <row r="49" spans="21:21" s="7" customFormat="1" ht="15" customHeight="1">
      <c r="U49" s="1"/>
    </row>
    <row r="50" spans="21:21" s="7" customFormat="1" ht="15" customHeight="1">
      <c r="U50" s="1"/>
    </row>
    <row r="51" spans="21:21" s="7" customFormat="1" ht="15" customHeight="1">
      <c r="U51" s="1"/>
    </row>
    <row r="52" spans="21:21" s="7" customFormat="1" ht="15" customHeight="1">
      <c r="U52" s="1"/>
    </row>
    <row r="53" spans="21:21" s="7" customFormat="1" ht="15" customHeight="1">
      <c r="U53" s="1"/>
    </row>
    <row r="54" spans="21:21" s="7" customFormat="1" ht="15" customHeight="1">
      <c r="U54" s="1"/>
    </row>
    <row r="55" spans="21:21" s="7" customFormat="1" ht="15" customHeight="1">
      <c r="U55" s="1"/>
    </row>
    <row r="56" spans="21:21" s="7" customFormat="1" ht="15" customHeight="1">
      <c r="U56" s="1"/>
    </row>
    <row r="57" spans="21:21" s="7" customFormat="1" ht="15" customHeight="1">
      <c r="U57" s="1"/>
    </row>
    <row r="58" spans="21:21" s="7" customFormat="1" ht="15" customHeight="1">
      <c r="U58" s="1"/>
    </row>
    <row r="59" spans="21:21" s="7" customFormat="1" ht="15" customHeight="1">
      <c r="U59" s="1"/>
    </row>
    <row r="60" spans="21:21" s="7" customFormat="1" ht="15" customHeight="1">
      <c r="U60" s="1"/>
    </row>
    <row r="61" spans="21:21" s="7" customFormat="1" ht="15" customHeight="1">
      <c r="U61" s="1"/>
    </row>
    <row r="62" spans="21:21" s="7" customFormat="1" ht="15" customHeight="1">
      <c r="U62" s="1"/>
    </row>
    <row r="63" spans="21:21" s="7" customFormat="1" ht="15" customHeight="1">
      <c r="U63" s="1"/>
    </row>
    <row r="64" spans="21:21" s="7" customFormat="1" ht="15" customHeight="1">
      <c r="U64" s="1"/>
    </row>
    <row r="65" spans="21:21" s="7" customFormat="1" ht="15" customHeight="1">
      <c r="U65" s="1"/>
    </row>
    <row r="66" spans="21:21" s="7" customFormat="1" ht="15" customHeight="1">
      <c r="U66" s="1"/>
    </row>
    <row r="67" spans="21:21" s="7" customFormat="1" ht="15" customHeight="1">
      <c r="U67" s="1"/>
    </row>
    <row r="68" spans="21:21" s="7" customFormat="1" ht="15" customHeight="1">
      <c r="U68" s="1"/>
    </row>
    <row r="69" spans="21:21" s="7" customFormat="1" ht="15" customHeight="1">
      <c r="U69" s="1"/>
    </row>
    <row r="70" spans="21:21" s="7" customFormat="1" ht="15" customHeight="1">
      <c r="U70" s="1"/>
    </row>
    <row r="71" spans="21:21" s="7" customFormat="1" ht="15" customHeight="1">
      <c r="U71" s="1"/>
    </row>
    <row r="72" spans="21:21" s="7" customFormat="1" ht="15" customHeight="1">
      <c r="U72" s="1"/>
    </row>
    <row r="73" spans="21:21" s="7" customFormat="1" ht="15" customHeight="1">
      <c r="U73" s="1"/>
    </row>
    <row r="74" spans="21:21" s="7" customFormat="1" ht="15" customHeight="1">
      <c r="U74" s="1"/>
    </row>
    <row r="75" spans="21:21" s="7" customFormat="1" ht="15" customHeight="1">
      <c r="U75" s="1"/>
    </row>
    <row r="76" spans="21:21" s="7" customFormat="1" ht="15" customHeight="1">
      <c r="U76" s="1"/>
    </row>
  </sheetData>
  <autoFilter ref="B12:AC12" xr:uid="{CE4CE2B9-9C11-4CF4-8B76-548AC4B7A741}"/>
  <mergeCells count="27">
    <mergeCell ref="G4:G12"/>
    <mergeCell ref="B4:B12"/>
    <mergeCell ref="C4:C12"/>
    <mergeCell ref="D4:D12"/>
    <mergeCell ref="E4:E12"/>
    <mergeCell ref="F4:F12"/>
    <mergeCell ref="S4:S12"/>
    <mergeCell ref="H4:H12"/>
    <mergeCell ref="I4:I12"/>
    <mergeCell ref="J4:J12"/>
    <mergeCell ref="K4:K12"/>
    <mergeCell ref="L4:L12"/>
    <mergeCell ref="M4:M12"/>
    <mergeCell ref="N4:N12"/>
    <mergeCell ref="O4:O12"/>
    <mergeCell ref="P4:P12"/>
    <mergeCell ref="Q4:Q12"/>
    <mergeCell ref="R4:R12"/>
    <mergeCell ref="Z4:Z12"/>
    <mergeCell ref="AA4:AA12"/>
    <mergeCell ref="AB4:AB12"/>
    <mergeCell ref="T4:T12"/>
    <mergeCell ref="U4:U12"/>
    <mergeCell ref="V4:V12"/>
    <mergeCell ref="W4:W12"/>
    <mergeCell ref="X4:X12"/>
    <mergeCell ref="Y4:Y12"/>
  </mergeCells>
  <phoneticPr fontId="2" type="noConversion"/>
  <pageMargins left="0.70866141732283472" right="0.70866141732283472" top="0.74803149606299213" bottom="0.74803149606299213" header="0.31496062992125984" footer="0.31496062992125984"/>
  <pageSetup paperSize="9" orientation="landscape" horizontalDpi="4294967293" verticalDpi="2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FE167"/>
  <sheetViews>
    <sheetView zoomScaleNormal="100" workbookViewId="0">
      <pane xSplit="29" ySplit="12" topLeftCell="AD38" activePane="bottomRight" state="frozen"/>
      <selection activeCell="C17" sqref="C17"/>
      <selection pane="topRight" activeCell="C17" sqref="C17"/>
      <selection pane="bottomLeft" activeCell="C17" sqref="C17"/>
      <selection pane="bottomRight" activeCell="H46" sqref="H46"/>
    </sheetView>
  </sheetViews>
  <sheetFormatPr defaultColWidth="10" defaultRowHeight="11.25" outlineLevelCol="1"/>
  <cols>
    <col min="1" max="1" width="2" style="7" customWidth="1"/>
    <col min="2" max="2" width="11" style="104" customWidth="1"/>
    <col min="3" max="3" width="18.875" style="7" customWidth="1"/>
    <col min="4" max="4" width="16.625" style="7" customWidth="1"/>
    <col min="5" max="5" width="13.375" style="7" customWidth="1"/>
    <col min="6" max="6" width="11.75" style="6" customWidth="1"/>
    <col min="7" max="7" width="13.5" style="7" customWidth="1"/>
    <col min="8" max="8" width="6.75" style="16" customWidth="1" outlineLevel="1"/>
    <col min="9" max="9" width="6.75" style="40" customWidth="1" outlineLevel="1"/>
    <col min="10" max="11" width="6.75" style="16" customWidth="1" outlineLevel="1"/>
    <col min="12" max="12" width="6.75" style="40" customWidth="1" outlineLevel="1"/>
    <col min="13" max="13" width="6.75" style="16" customWidth="1" outlineLevel="1"/>
    <col min="14" max="14" width="6.75" style="16" customWidth="1"/>
    <col min="15" max="15" width="6.625" style="40" customWidth="1"/>
    <col min="16" max="16" width="6.75" style="21" customWidth="1"/>
    <col min="17" max="17" width="6.75" style="22" customWidth="1"/>
    <col min="18" max="18" width="6.75" style="16" customWidth="1" outlineLevel="1"/>
    <col min="19" max="20" width="6.75" style="30" customWidth="1" outlineLevel="1"/>
    <col min="21" max="21" width="15" style="10" customWidth="1" outlineLevel="1"/>
    <col min="22" max="22" width="4.625" style="30" customWidth="1" outlineLevel="1"/>
    <col min="23" max="23" width="9.25" style="7" customWidth="1" outlineLevel="1"/>
    <col min="24" max="24" width="5" style="7" customWidth="1" outlineLevel="1"/>
    <col min="25" max="25" width="4.5" style="7" customWidth="1" outlineLevel="1"/>
    <col min="26" max="26" width="9.125" style="1" customWidth="1" outlineLevel="1"/>
    <col min="27" max="27" width="8.75" style="1" customWidth="1" outlineLevel="1"/>
    <col min="28" max="28" width="7.25" style="1" customWidth="1" outlineLevel="1"/>
    <col min="29" max="29" width="15.25" style="60" bestFit="1" customWidth="1"/>
    <col min="30" max="53" width="20.625" style="7" hidden="1" customWidth="1"/>
    <col min="54" max="161" width="20.625" style="7" customWidth="1"/>
    <col min="162" max="16384" width="10" style="7"/>
  </cols>
  <sheetData>
    <row r="1" spans="2:161" s="23" customFormat="1" ht="20.100000000000001" customHeight="1">
      <c r="B1" s="53"/>
      <c r="H1" s="25"/>
      <c r="I1" s="36"/>
      <c r="J1" s="25"/>
      <c r="K1" s="25"/>
      <c r="L1" s="36"/>
      <c r="M1" s="25"/>
      <c r="N1" s="25"/>
      <c r="O1" s="36"/>
      <c r="P1" s="25"/>
      <c r="Q1" s="36"/>
      <c r="R1" s="25"/>
      <c r="S1" s="25"/>
      <c r="T1" s="25"/>
      <c r="V1" s="25"/>
      <c r="AC1" s="54"/>
    </row>
    <row r="2" spans="2:161" s="23" customFormat="1" ht="20.100000000000001" customHeight="1">
      <c r="B2" s="53"/>
      <c r="F2" s="63"/>
      <c r="G2" s="13" t="s">
        <v>40</v>
      </c>
      <c r="H2" s="25"/>
      <c r="I2" s="36"/>
      <c r="J2" s="25"/>
      <c r="K2" s="25"/>
      <c r="L2" s="36"/>
      <c r="M2" s="25"/>
      <c r="N2" s="25"/>
      <c r="O2" s="36"/>
      <c r="P2" s="25"/>
      <c r="Q2" s="36"/>
      <c r="R2" s="25"/>
      <c r="S2" s="25"/>
      <c r="T2" s="25"/>
      <c r="V2" s="25"/>
      <c r="Z2" s="23" t="s">
        <v>88</v>
      </c>
      <c r="AA2" s="53">
        <v>46204</v>
      </c>
      <c r="AC2" s="54"/>
    </row>
    <row r="3" spans="2:161" s="23" customFormat="1" ht="20.100000000000001" customHeight="1" thickBot="1">
      <c r="B3" s="53"/>
      <c r="H3" s="25"/>
      <c r="I3" s="36"/>
      <c r="J3" s="25"/>
      <c r="K3" s="25"/>
      <c r="L3" s="36"/>
      <c r="M3" s="25"/>
      <c r="N3" s="25"/>
      <c r="O3" s="36"/>
      <c r="P3" s="25"/>
      <c r="Q3" s="36"/>
      <c r="R3" s="25"/>
      <c r="S3" s="25"/>
      <c r="T3" s="25"/>
      <c r="V3" s="25"/>
      <c r="Z3" s="23" t="s">
        <v>89</v>
      </c>
      <c r="AA3" s="53">
        <v>46234</v>
      </c>
      <c r="AC3" s="54"/>
      <c r="AH3" s="23" t="s">
        <v>574</v>
      </c>
    </row>
    <row r="4" spans="2:161" ht="22.5" customHeight="1">
      <c r="B4" s="233" t="s">
        <v>44</v>
      </c>
      <c r="C4" s="173" t="s">
        <v>45</v>
      </c>
      <c r="D4" s="173" t="s">
        <v>46</v>
      </c>
      <c r="E4" s="173" t="s">
        <v>70</v>
      </c>
      <c r="F4" s="173" t="s">
        <v>48</v>
      </c>
      <c r="G4" s="173" t="s">
        <v>49</v>
      </c>
      <c r="H4" s="179" t="s">
        <v>50</v>
      </c>
      <c r="I4" s="182" t="s">
        <v>51</v>
      </c>
      <c r="J4" s="185" t="s">
        <v>147</v>
      </c>
      <c r="K4" s="185" t="s">
        <v>53</v>
      </c>
      <c r="L4" s="186" t="s">
        <v>52</v>
      </c>
      <c r="M4" s="179" t="s">
        <v>54</v>
      </c>
      <c r="N4" s="179" t="s">
        <v>55</v>
      </c>
      <c r="O4" s="182" t="s">
        <v>56</v>
      </c>
      <c r="P4" s="179" t="s">
        <v>27</v>
      </c>
      <c r="Q4" s="182" t="s">
        <v>58</v>
      </c>
      <c r="R4" s="190" t="s">
        <v>10</v>
      </c>
      <c r="S4" s="179" t="s">
        <v>60</v>
      </c>
      <c r="T4" s="179" t="s">
        <v>61</v>
      </c>
      <c r="U4" s="173" t="s">
        <v>62</v>
      </c>
      <c r="V4" s="179" t="s">
        <v>63</v>
      </c>
      <c r="W4" s="173" t="s">
        <v>11</v>
      </c>
      <c r="X4" s="173" t="s">
        <v>65</v>
      </c>
      <c r="Y4" s="173" t="s">
        <v>66</v>
      </c>
      <c r="Z4" s="173" t="s">
        <v>67</v>
      </c>
      <c r="AA4" s="173" t="s">
        <v>68</v>
      </c>
      <c r="AB4" s="176" t="s">
        <v>69</v>
      </c>
      <c r="AC4" s="70" t="s">
        <v>0</v>
      </c>
      <c r="AD4" s="73">
        <v>46204</v>
      </c>
      <c r="AE4" s="73">
        <v>46204</v>
      </c>
      <c r="AF4" s="73">
        <v>46204</v>
      </c>
      <c r="AG4" s="73">
        <v>46204</v>
      </c>
      <c r="AH4" s="73">
        <v>46204</v>
      </c>
      <c r="AI4" s="73">
        <v>46204</v>
      </c>
      <c r="AJ4" s="73">
        <v>46206</v>
      </c>
      <c r="AK4" s="73">
        <v>46206</v>
      </c>
      <c r="AL4" s="73">
        <v>46209</v>
      </c>
      <c r="AM4" s="73">
        <v>46209</v>
      </c>
      <c r="AN4" s="73">
        <v>46209</v>
      </c>
      <c r="AO4" s="73">
        <v>46209</v>
      </c>
      <c r="AP4" s="73">
        <v>46211</v>
      </c>
      <c r="AQ4" s="73">
        <v>46211</v>
      </c>
      <c r="AR4" s="73">
        <v>46213</v>
      </c>
      <c r="AS4" s="73">
        <v>46218</v>
      </c>
      <c r="AT4" s="73">
        <v>46219</v>
      </c>
      <c r="AU4" s="73">
        <v>46224</v>
      </c>
      <c r="AV4" s="73">
        <v>46224</v>
      </c>
      <c r="AW4" s="73">
        <v>46224</v>
      </c>
      <c r="AX4" s="73">
        <v>46224</v>
      </c>
      <c r="AY4" s="73">
        <v>46225</v>
      </c>
      <c r="AZ4" s="73">
        <v>46227</v>
      </c>
      <c r="BA4" s="73">
        <v>46230</v>
      </c>
      <c r="BB4" s="73">
        <v>46231</v>
      </c>
      <c r="BC4" s="73">
        <v>46231</v>
      </c>
      <c r="BD4" s="73">
        <v>46231</v>
      </c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</row>
    <row r="5" spans="2:161" ht="20.100000000000001" customHeight="1">
      <c r="B5" s="234"/>
      <c r="C5" s="174"/>
      <c r="D5" s="174"/>
      <c r="E5" s="174"/>
      <c r="F5" s="174"/>
      <c r="G5" s="174"/>
      <c r="H5" s="180"/>
      <c r="I5" s="183"/>
      <c r="J5" s="180"/>
      <c r="K5" s="180"/>
      <c r="L5" s="183"/>
      <c r="M5" s="180"/>
      <c r="N5" s="180"/>
      <c r="O5" s="183"/>
      <c r="P5" s="180"/>
      <c r="Q5" s="183"/>
      <c r="R5" s="191"/>
      <c r="S5" s="180"/>
      <c r="T5" s="180"/>
      <c r="U5" s="174"/>
      <c r="V5" s="180"/>
      <c r="W5" s="174"/>
      <c r="X5" s="174"/>
      <c r="Y5" s="174"/>
      <c r="Z5" s="174"/>
      <c r="AA5" s="174"/>
      <c r="AB5" s="177"/>
      <c r="AC5" s="70" t="s">
        <v>1</v>
      </c>
      <c r="AD5" s="74" t="s">
        <v>322</v>
      </c>
      <c r="AE5" s="74" t="s">
        <v>419</v>
      </c>
      <c r="AF5" s="74" t="s">
        <v>443</v>
      </c>
      <c r="AG5" s="74" t="s">
        <v>557</v>
      </c>
      <c r="AH5" s="74" t="s">
        <v>573</v>
      </c>
      <c r="AI5" s="74" t="s">
        <v>577</v>
      </c>
      <c r="AJ5" s="74" t="s">
        <v>322</v>
      </c>
      <c r="AK5" s="74" t="s">
        <v>442</v>
      </c>
      <c r="AL5" s="74" t="s">
        <v>611</v>
      </c>
      <c r="AM5" s="74" t="s">
        <v>612</v>
      </c>
      <c r="AN5" s="74" t="s">
        <v>577</v>
      </c>
      <c r="AO5" s="74" t="s">
        <v>577</v>
      </c>
      <c r="AP5" s="74" t="s">
        <v>632</v>
      </c>
      <c r="AQ5" s="74" t="s">
        <v>632</v>
      </c>
      <c r="AR5" s="74" t="s">
        <v>661</v>
      </c>
      <c r="AS5" s="74" t="s">
        <v>716</v>
      </c>
      <c r="AT5" s="74" t="s">
        <v>739</v>
      </c>
      <c r="AU5" s="74" t="s">
        <v>777</v>
      </c>
      <c r="AV5" s="74" t="s">
        <v>777</v>
      </c>
      <c r="AW5" s="74" t="s">
        <v>577</v>
      </c>
      <c r="AX5" s="74" t="s">
        <v>809</v>
      </c>
      <c r="AY5" s="74" t="s">
        <v>813</v>
      </c>
      <c r="AZ5" s="74" t="s">
        <v>632</v>
      </c>
      <c r="BA5" s="74" t="s">
        <v>849</v>
      </c>
      <c r="BB5" s="74" t="s">
        <v>855</v>
      </c>
      <c r="BC5" s="74" t="s">
        <v>855</v>
      </c>
      <c r="BD5" s="74" t="s">
        <v>611</v>
      </c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4"/>
      <c r="CD5" s="74"/>
      <c r="CE5" s="74"/>
      <c r="CF5" s="74"/>
      <c r="CG5" s="74"/>
      <c r="CH5" s="74"/>
      <c r="CI5" s="74"/>
      <c r="CJ5" s="74"/>
      <c r="CK5" s="74"/>
      <c r="CL5" s="74"/>
      <c r="CM5" s="74"/>
      <c r="CN5" s="74"/>
      <c r="CO5" s="74"/>
      <c r="CP5" s="74"/>
      <c r="CQ5" s="74"/>
      <c r="CR5" s="74"/>
      <c r="CS5" s="74"/>
      <c r="CT5" s="74"/>
      <c r="CU5" s="74"/>
      <c r="CV5" s="74"/>
      <c r="CW5" s="74"/>
      <c r="CX5" s="74"/>
      <c r="CY5" s="74"/>
      <c r="CZ5" s="74"/>
      <c r="DA5" s="74"/>
      <c r="DB5" s="74"/>
      <c r="DC5" s="74"/>
      <c r="DD5" s="74"/>
      <c r="DE5" s="74"/>
      <c r="DF5" s="74"/>
      <c r="DG5" s="74"/>
      <c r="DH5" s="74"/>
      <c r="DI5" s="74"/>
      <c r="DJ5" s="74"/>
      <c r="DK5" s="74"/>
      <c r="DL5" s="74"/>
      <c r="DM5" s="74"/>
      <c r="DN5" s="74"/>
      <c r="DO5" s="74"/>
      <c r="DP5" s="74"/>
      <c r="DQ5" s="74"/>
      <c r="DR5" s="74"/>
      <c r="DS5" s="74"/>
      <c r="DT5" s="74"/>
      <c r="DU5" s="74"/>
      <c r="DV5" s="74"/>
      <c r="DW5" s="74"/>
      <c r="DX5" s="74"/>
      <c r="DY5" s="74"/>
      <c r="DZ5" s="74"/>
      <c r="EA5" s="74"/>
      <c r="EB5" s="74"/>
      <c r="EC5" s="74"/>
      <c r="ED5" s="74"/>
      <c r="EE5" s="74"/>
      <c r="EF5" s="74"/>
      <c r="EG5" s="74"/>
      <c r="EH5" s="74"/>
      <c r="EI5" s="74"/>
      <c r="EJ5" s="74"/>
      <c r="EK5" s="74"/>
      <c r="EL5" s="74"/>
      <c r="EM5" s="74"/>
      <c r="EN5" s="74"/>
      <c r="EO5" s="74"/>
      <c r="EP5" s="74"/>
      <c r="EQ5" s="74"/>
      <c r="ER5" s="74"/>
      <c r="ES5" s="74"/>
      <c r="ET5" s="74"/>
      <c r="EU5" s="74"/>
      <c r="EV5" s="74"/>
      <c r="EW5" s="74"/>
      <c r="EX5" s="74"/>
      <c r="EY5" s="74"/>
      <c r="EZ5" s="74"/>
      <c r="FA5" s="74"/>
      <c r="FB5" s="74"/>
      <c r="FC5" s="74"/>
      <c r="FD5" s="74"/>
      <c r="FE5" s="74"/>
    </row>
    <row r="6" spans="2:161" ht="20.100000000000001" customHeight="1">
      <c r="B6" s="234"/>
      <c r="C6" s="174"/>
      <c r="D6" s="174"/>
      <c r="E6" s="174"/>
      <c r="F6" s="174"/>
      <c r="G6" s="174"/>
      <c r="H6" s="180"/>
      <c r="I6" s="183"/>
      <c r="J6" s="180"/>
      <c r="K6" s="180"/>
      <c r="L6" s="183"/>
      <c r="M6" s="180"/>
      <c r="N6" s="180"/>
      <c r="O6" s="183"/>
      <c r="P6" s="180"/>
      <c r="Q6" s="183"/>
      <c r="R6" s="191"/>
      <c r="S6" s="180"/>
      <c r="T6" s="180"/>
      <c r="U6" s="174"/>
      <c r="V6" s="180"/>
      <c r="W6" s="174"/>
      <c r="X6" s="174"/>
      <c r="Y6" s="174"/>
      <c r="Z6" s="174"/>
      <c r="AA6" s="174"/>
      <c r="AB6" s="177"/>
      <c r="AC6" s="58" t="s">
        <v>2</v>
      </c>
      <c r="AD6" s="7" t="str">
        <f>IFERROR(INDEX($C$13:$C$529,MATCH(SUM(AD$13:AD$527),AD$13:AD$527,0),1),"")</f>
        <v>KMTCLCH5560733</v>
      </c>
      <c r="AE6" s="7" t="str">
        <f t="shared" ref="AE6:BO6" si="0">IFERROR(INDEX($C$13:$C$529,MATCH(SUM(AE$13:AE$527),AE$13:AE$527,0),1),"")</f>
        <v>KMTCLCH5560733</v>
      </c>
      <c r="AF6" s="7" t="str">
        <f t="shared" si="0"/>
        <v>ONEYANRG06354900</v>
      </c>
      <c r="AG6" s="7" t="str">
        <f t="shared" si="0"/>
        <v>ONEYANRG06354900</v>
      </c>
      <c r="AH6" s="7" t="str">
        <f t="shared" si="0"/>
        <v>ONEYANRG06354900</v>
      </c>
      <c r="AI6" s="7" t="str">
        <f t="shared" si="0"/>
        <v>ONEYGOAG08782700</v>
      </c>
      <c r="AJ6" s="7" t="str">
        <f t="shared" si="0"/>
        <v>SNLGLCKL013611</v>
      </c>
      <c r="AK6" s="7" t="str">
        <f t="shared" si="0"/>
        <v>ONEYANRG06354900</v>
      </c>
      <c r="AL6" s="7" t="str">
        <f t="shared" si="0"/>
        <v>SNLGLCKL013611</v>
      </c>
      <c r="AM6" s="7" t="str">
        <f t="shared" si="0"/>
        <v>ONEYANRG06354900</v>
      </c>
      <c r="AN6" s="7" t="str">
        <f t="shared" si="0"/>
        <v>ONEYGOAG08782700</v>
      </c>
      <c r="AO6" s="7" t="str">
        <f t="shared" si="0"/>
        <v>ONEYGOAG08782701</v>
      </c>
      <c r="AP6" s="7" t="str">
        <f t="shared" si="0"/>
        <v>SNLGLCKL013611</v>
      </c>
      <c r="AQ6" s="7" t="str">
        <f t="shared" si="0"/>
        <v>EGLV050600583438</v>
      </c>
      <c r="AR6" s="7" t="str">
        <f t="shared" si="0"/>
        <v>EGLV050600583438</v>
      </c>
      <c r="AS6" s="7" t="str">
        <f t="shared" si="0"/>
        <v>EGLV050600583438</v>
      </c>
      <c r="AT6" s="7" t="str">
        <f t="shared" si="0"/>
        <v>EGLV050600583438</v>
      </c>
      <c r="AU6" s="7" t="str">
        <f t="shared" si="0"/>
        <v>MAEU720639431</v>
      </c>
      <c r="AV6" s="7" t="str">
        <f t="shared" si="0"/>
        <v>MAEU720639431</v>
      </c>
      <c r="AW6" s="7" t="str">
        <f t="shared" si="0"/>
        <v>MEDUWW382990</v>
      </c>
      <c r="AX6" s="7" t="str">
        <f t="shared" si="0"/>
        <v>EGLV050600583438</v>
      </c>
      <c r="AY6" s="7" t="str">
        <f t="shared" si="0"/>
        <v>EGLV050600583438</v>
      </c>
      <c r="AZ6" s="7" t="str">
        <f t="shared" si="0"/>
        <v>EGLV050600583438</v>
      </c>
      <c r="BA6" s="7" t="str">
        <f t="shared" si="0"/>
        <v>ONEYANRF22416500</v>
      </c>
      <c r="BB6" s="7" t="str">
        <f t="shared" si="0"/>
        <v>EGLV050600583438</v>
      </c>
      <c r="BC6" s="7" t="str">
        <f t="shared" si="0"/>
        <v>EGLV050600743559</v>
      </c>
      <c r="BD6" s="7" t="str">
        <f t="shared" si="0"/>
        <v>EGLV050600743559</v>
      </c>
      <c r="BE6" s="7" t="str">
        <f t="shared" si="0"/>
        <v/>
      </c>
      <c r="BF6" s="7" t="str">
        <f t="shared" si="0"/>
        <v/>
      </c>
      <c r="BG6" s="7" t="str">
        <f t="shared" si="0"/>
        <v/>
      </c>
      <c r="BH6" s="7" t="str">
        <f t="shared" si="0"/>
        <v/>
      </c>
      <c r="BI6" s="7" t="str">
        <f t="shared" si="0"/>
        <v/>
      </c>
      <c r="BJ6" s="7" t="str">
        <f t="shared" si="0"/>
        <v/>
      </c>
      <c r="BK6" s="7" t="str">
        <f t="shared" si="0"/>
        <v/>
      </c>
      <c r="BL6" s="7" t="str">
        <f t="shared" si="0"/>
        <v/>
      </c>
      <c r="BM6" s="7" t="str">
        <f t="shared" si="0"/>
        <v/>
      </c>
      <c r="BN6" s="7" t="str">
        <f t="shared" si="0"/>
        <v/>
      </c>
      <c r="BO6" s="7" t="str">
        <f t="shared" si="0"/>
        <v/>
      </c>
      <c r="BP6" s="7" t="str">
        <f t="shared" ref="BP6:CM6" si="1">IFERROR(INDEX($D$13:$D$529,MATCH(SUM(BP$13:BP$527),BP$13:BP$527,0),1),"")</f>
        <v/>
      </c>
      <c r="BQ6" s="7" t="str">
        <f t="shared" si="1"/>
        <v/>
      </c>
      <c r="BR6" s="7" t="str">
        <f t="shared" si="1"/>
        <v/>
      </c>
      <c r="BS6" s="7" t="str">
        <f t="shared" si="1"/>
        <v/>
      </c>
      <c r="BT6" s="7" t="str">
        <f t="shared" si="1"/>
        <v/>
      </c>
      <c r="BU6" s="7" t="str">
        <f t="shared" si="1"/>
        <v/>
      </c>
      <c r="BV6" s="7" t="str">
        <f t="shared" si="1"/>
        <v/>
      </c>
      <c r="BW6" s="7" t="str">
        <f t="shared" si="1"/>
        <v/>
      </c>
      <c r="BX6" s="7" t="str">
        <f t="shared" si="1"/>
        <v/>
      </c>
      <c r="BY6" s="7" t="str">
        <f t="shared" si="1"/>
        <v/>
      </c>
      <c r="BZ6" s="7" t="str">
        <f t="shared" si="1"/>
        <v/>
      </c>
      <c r="CA6" s="7" t="str">
        <f t="shared" si="1"/>
        <v/>
      </c>
      <c r="CB6" s="7" t="str">
        <f t="shared" si="1"/>
        <v/>
      </c>
      <c r="CC6" s="7" t="str">
        <f t="shared" si="1"/>
        <v/>
      </c>
      <c r="CD6" s="7" t="str">
        <f t="shared" si="1"/>
        <v/>
      </c>
      <c r="CE6" s="7" t="str">
        <f t="shared" si="1"/>
        <v/>
      </c>
      <c r="CF6" s="7" t="str">
        <f t="shared" si="1"/>
        <v/>
      </c>
      <c r="CG6" s="7" t="str">
        <f t="shared" si="1"/>
        <v/>
      </c>
      <c r="CH6" s="7" t="str">
        <f t="shared" si="1"/>
        <v/>
      </c>
      <c r="CI6" s="7" t="str">
        <f t="shared" si="1"/>
        <v/>
      </c>
      <c r="CJ6" s="7" t="str">
        <f t="shared" si="1"/>
        <v/>
      </c>
      <c r="CK6" s="7" t="str">
        <f t="shared" si="1"/>
        <v/>
      </c>
      <c r="CL6" s="7" t="str">
        <f t="shared" si="1"/>
        <v/>
      </c>
      <c r="CM6" s="7" t="str">
        <f t="shared" si="1"/>
        <v/>
      </c>
      <c r="CN6" s="7" t="str">
        <f t="shared" ref="CN6:DS6" si="2">IFERROR(INDEX($D$13:$D$529,MATCH(SUM(CN$13:CN$527),CN$13:CN$527,0),1),"")</f>
        <v/>
      </c>
      <c r="CO6" s="7" t="str">
        <f t="shared" si="2"/>
        <v/>
      </c>
      <c r="CP6" s="7" t="str">
        <f t="shared" si="2"/>
        <v/>
      </c>
      <c r="CQ6" s="7" t="str">
        <f t="shared" si="2"/>
        <v/>
      </c>
      <c r="CR6" s="7" t="str">
        <f t="shared" si="2"/>
        <v/>
      </c>
      <c r="CS6" s="7" t="str">
        <f t="shared" si="2"/>
        <v/>
      </c>
      <c r="CT6" s="7" t="str">
        <f t="shared" si="2"/>
        <v/>
      </c>
      <c r="CU6" s="7" t="str">
        <f t="shared" si="2"/>
        <v/>
      </c>
      <c r="CV6" s="7" t="str">
        <f t="shared" si="2"/>
        <v/>
      </c>
      <c r="CW6" s="7" t="str">
        <f t="shared" si="2"/>
        <v/>
      </c>
      <c r="CX6" s="7" t="str">
        <f t="shared" si="2"/>
        <v/>
      </c>
      <c r="CY6" s="7" t="str">
        <f t="shared" si="2"/>
        <v/>
      </c>
      <c r="CZ6" s="7" t="str">
        <f t="shared" si="2"/>
        <v/>
      </c>
      <c r="DA6" s="7" t="str">
        <f t="shared" si="2"/>
        <v/>
      </c>
      <c r="DB6" s="7" t="str">
        <f t="shared" si="2"/>
        <v/>
      </c>
      <c r="DC6" s="7" t="str">
        <f t="shared" si="2"/>
        <v/>
      </c>
      <c r="DD6" s="7" t="str">
        <f t="shared" si="2"/>
        <v/>
      </c>
      <c r="DE6" s="7" t="str">
        <f t="shared" si="2"/>
        <v/>
      </c>
      <c r="DF6" s="7" t="str">
        <f t="shared" si="2"/>
        <v/>
      </c>
      <c r="DG6" s="7" t="str">
        <f t="shared" si="2"/>
        <v/>
      </c>
      <c r="DH6" s="7" t="str">
        <f t="shared" si="2"/>
        <v/>
      </c>
      <c r="DI6" s="7" t="str">
        <f t="shared" si="2"/>
        <v/>
      </c>
      <c r="DJ6" s="7" t="str">
        <f t="shared" si="2"/>
        <v/>
      </c>
      <c r="DK6" s="7" t="str">
        <f t="shared" si="2"/>
        <v/>
      </c>
      <c r="DL6" s="7" t="str">
        <f t="shared" si="2"/>
        <v/>
      </c>
      <c r="DM6" s="7" t="str">
        <f t="shared" si="2"/>
        <v/>
      </c>
      <c r="DN6" s="7" t="str">
        <f t="shared" si="2"/>
        <v/>
      </c>
      <c r="DO6" s="7" t="str">
        <f t="shared" si="2"/>
        <v/>
      </c>
      <c r="DP6" s="7" t="str">
        <f t="shared" si="2"/>
        <v/>
      </c>
      <c r="DQ6" s="7" t="str">
        <f t="shared" si="2"/>
        <v/>
      </c>
      <c r="DR6" s="7" t="str">
        <f t="shared" si="2"/>
        <v/>
      </c>
      <c r="DS6" s="7" t="str">
        <f t="shared" si="2"/>
        <v/>
      </c>
      <c r="DT6" s="7" t="str">
        <f t="shared" ref="DT6:EY6" si="3">IFERROR(INDEX($D$13:$D$529,MATCH(SUM(DT$13:DT$527),DT$13:DT$527,0),1),"")</f>
        <v/>
      </c>
      <c r="DU6" s="7" t="str">
        <f t="shared" si="3"/>
        <v/>
      </c>
      <c r="DV6" s="7" t="str">
        <f t="shared" si="3"/>
        <v/>
      </c>
      <c r="DW6" s="7" t="str">
        <f t="shared" si="3"/>
        <v/>
      </c>
      <c r="DX6" s="7" t="str">
        <f t="shared" si="3"/>
        <v/>
      </c>
      <c r="DY6" s="7" t="str">
        <f t="shared" si="3"/>
        <v/>
      </c>
      <c r="DZ6" s="7" t="str">
        <f t="shared" si="3"/>
        <v/>
      </c>
      <c r="EA6" s="7" t="str">
        <f t="shared" si="3"/>
        <v/>
      </c>
      <c r="EB6" s="7" t="str">
        <f t="shared" si="3"/>
        <v/>
      </c>
      <c r="EC6" s="7" t="str">
        <f t="shared" si="3"/>
        <v/>
      </c>
      <c r="ED6" s="7" t="str">
        <f t="shared" si="3"/>
        <v/>
      </c>
      <c r="EE6" s="7" t="str">
        <f t="shared" si="3"/>
        <v/>
      </c>
      <c r="EF6" s="7" t="str">
        <f t="shared" si="3"/>
        <v/>
      </c>
      <c r="EG6" s="7" t="str">
        <f t="shared" si="3"/>
        <v/>
      </c>
      <c r="EH6" s="7" t="str">
        <f t="shared" si="3"/>
        <v/>
      </c>
      <c r="EI6" s="7" t="str">
        <f t="shared" si="3"/>
        <v/>
      </c>
      <c r="EJ6" s="7" t="str">
        <f t="shared" si="3"/>
        <v/>
      </c>
      <c r="EK6" s="7" t="str">
        <f t="shared" si="3"/>
        <v/>
      </c>
      <c r="EL6" s="7" t="str">
        <f t="shared" si="3"/>
        <v/>
      </c>
      <c r="EM6" s="7" t="str">
        <f t="shared" si="3"/>
        <v/>
      </c>
      <c r="EN6" s="7" t="str">
        <f t="shared" si="3"/>
        <v/>
      </c>
      <c r="EO6" s="7" t="str">
        <f t="shared" si="3"/>
        <v/>
      </c>
      <c r="EP6" s="7" t="str">
        <f t="shared" si="3"/>
        <v/>
      </c>
      <c r="EQ6" s="7" t="str">
        <f t="shared" si="3"/>
        <v/>
      </c>
      <c r="ER6" s="7" t="str">
        <f t="shared" si="3"/>
        <v/>
      </c>
      <c r="ES6" s="7" t="str">
        <f t="shared" si="3"/>
        <v/>
      </c>
      <c r="ET6" s="7" t="str">
        <f t="shared" si="3"/>
        <v/>
      </c>
      <c r="EU6" s="7" t="str">
        <f t="shared" si="3"/>
        <v/>
      </c>
      <c r="EV6" s="7" t="str">
        <f t="shared" si="3"/>
        <v/>
      </c>
      <c r="EW6" s="7" t="str">
        <f t="shared" si="3"/>
        <v/>
      </c>
      <c r="EX6" s="7" t="str">
        <f t="shared" si="3"/>
        <v/>
      </c>
      <c r="EY6" s="7" t="str">
        <f t="shared" si="3"/>
        <v/>
      </c>
      <c r="EZ6" s="7" t="str">
        <f t="shared" ref="EZ6:FE6" si="4">IFERROR(INDEX($D$13:$D$529,MATCH(SUM(EZ$13:EZ$527),EZ$13:EZ$527,0),1),"")</f>
        <v/>
      </c>
      <c r="FA6" s="7" t="str">
        <f t="shared" si="4"/>
        <v/>
      </c>
      <c r="FB6" s="7" t="str">
        <f t="shared" si="4"/>
        <v/>
      </c>
      <c r="FC6" s="7" t="str">
        <f t="shared" si="4"/>
        <v/>
      </c>
      <c r="FD6" s="7" t="str">
        <f t="shared" si="4"/>
        <v/>
      </c>
      <c r="FE6" s="7" t="str">
        <f t="shared" si="4"/>
        <v/>
      </c>
    </row>
    <row r="7" spans="2:161" ht="15" customHeight="1">
      <c r="B7" s="234"/>
      <c r="C7" s="174"/>
      <c r="D7" s="174"/>
      <c r="E7" s="174"/>
      <c r="F7" s="174"/>
      <c r="G7" s="174"/>
      <c r="H7" s="180"/>
      <c r="I7" s="183"/>
      <c r="J7" s="180"/>
      <c r="K7" s="180"/>
      <c r="L7" s="183"/>
      <c r="M7" s="180"/>
      <c r="N7" s="180"/>
      <c r="O7" s="183"/>
      <c r="P7" s="180"/>
      <c r="Q7" s="183"/>
      <c r="R7" s="191"/>
      <c r="S7" s="180"/>
      <c r="T7" s="180"/>
      <c r="U7" s="174"/>
      <c r="V7" s="180"/>
      <c r="W7" s="174"/>
      <c r="X7" s="174"/>
      <c r="Y7" s="174"/>
      <c r="Z7" s="174"/>
      <c r="AA7" s="174"/>
      <c r="AB7" s="177"/>
      <c r="AC7" s="58" t="s">
        <v>3</v>
      </c>
      <c r="AD7" s="7">
        <f t="shared" ref="AD7:BG7" si="5">IFERROR(INDEX($F$13:$F$529,MATCH(SUM(AD$13:AD$527),AD$13:AD$527,0),1),"")</f>
        <v>60145719</v>
      </c>
      <c r="AE7" s="7">
        <f t="shared" si="5"/>
        <v>60145719</v>
      </c>
      <c r="AF7" s="7" t="str">
        <f t="shared" si="5"/>
        <v>FB2222RA3</v>
      </c>
      <c r="AG7" s="7" t="str">
        <f t="shared" si="5"/>
        <v>FB2222RA3</v>
      </c>
      <c r="AH7" s="7" t="str">
        <f t="shared" si="5"/>
        <v>FB2222RA3</v>
      </c>
      <c r="AI7" s="7" t="str">
        <f t="shared" si="5"/>
        <v>EL2311RUP</v>
      </c>
      <c r="AJ7" s="7">
        <f t="shared" si="5"/>
        <v>60145719</v>
      </c>
      <c r="AK7" s="7" t="str">
        <f t="shared" si="5"/>
        <v>FB2222RA3</v>
      </c>
      <c r="AL7" s="7">
        <f t="shared" si="5"/>
        <v>60145719</v>
      </c>
      <c r="AM7" s="7" t="str">
        <f t="shared" si="5"/>
        <v>FB2222RA3</v>
      </c>
      <c r="AN7" s="7" t="str">
        <f t="shared" si="5"/>
        <v>EL2311RUP</v>
      </c>
      <c r="AO7" s="7" t="str">
        <f t="shared" si="5"/>
        <v>EL2311RUP</v>
      </c>
      <c r="AP7" s="7">
        <f t="shared" si="5"/>
        <v>60145721</v>
      </c>
      <c r="AQ7" s="7">
        <f t="shared" si="5"/>
        <v>60144237</v>
      </c>
      <c r="AR7" s="7">
        <f t="shared" si="5"/>
        <v>60145721</v>
      </c>
      <c r="AS7" s="7">
        <f t="shared" si="5"/>
        <v>60145721</v>
      </c>
      <c r="AT7" s="7">
        <f t="shared" si="5"/>
        <v>60145721</v>
      </c>
      <c r="AU7" s="7" t="str">
        <f t="shared" si="5"/>
        <v>DK0711RRT</v>
      </c>
      <c r="AV7" s="7" t="str">
        <f t="shared" si="5"/>
        <v>DM1311RYD</v>
      </c>
      <c r="AW7" s="7" t="str">
        <f t="shared" si="5"/>
        <v>FD1911RDH</v>
      </c>
      <c r="AX7" s="7">
        <f t="shared" si="5"/>
        <v>60145721</v>
      </c>
      <c r="AY7" s="7">
        <f t="shared" si="5"/>
        <v>60145721</v>
      </c>
      <c r="AZ7" s="7">
        <f t="shared" si="5"/>
        <v>60145721</v>
      </c>
      <c r="BA7" s="7" t="str">
        <f t="shared" si="5"/>
        <v>EA1522RC2</v>
      </c>
      <c r="BB7" s="7">
        <f t="shared" si="5"/>
        <v>60145719</v>
      </c>
      <c r="BC7" s="7">
        <f t="shared" si="5"/>
        <v>60145721</v>
      </c>
      <c r="BD7" s="7">
        <f t="shared" si="5"/>
        <v>60145721</v>
      </c>
      <c r="BE7" s="7" t="str">
        <f t="shared" si="5"/>
        <v/>
      </c>
      <c r="BF7" s="7" t="str">
        <f t="shared" si="5"/>
        <v/>
      </c>
      <c r="BG7" s="7" t="str">
        <f t="shared" si="5"/>
        <v/>
      </c>
      <c r="BH7" s="7" t="str">
        <f t="shared" ref="BH7:CM7" si="6">IFERROR(INDEX($F$13:$F$529,MATCH(SUM(BH$13:BH$527),BH$13:BH$527,0),1),"")</f>
        <v/>
      </c>
      <c r="BI7" s="7" t="str">
        <f t="shared" si="6"/>
        <v/>
      </c>
      <c r="BJ7" s="7" t="str">
        <f t="shared" si="6"/>
        <v/>
      </c>
      <c r="BK7" s="7" t="str">
        <f t="shared" si="6"/>
        <v/>
      </c>
      <c r="BL7" s="7" t="str">
        <f t="shared" si="6"/>
        <v/>
      </c>
      <c r="BM7" s="7" t="str">
        <f t="shared" si="6"/>
        <v/>
      </c>
      <c r="BN7" s="7" t="str">
        <f t="shared" si="6"/>
        <v/>
      </c>
      <c r="BO7" s="7" t="str">
        <f t="shared" si="6"/>
        <v/>
      </c>
      <c r="BP7" s="7" t="str">
        <f t="shared" si="6"/>
        <v/>
      </c>
      <c r="BQ7" s="7" t="str">
        <f t="shared" si="6"/>
        <v/>
      </c>
      <c r="BR7" s="7" t="str">
        <f t="shared" si="6"/>
        <v/>
      </c>
      <c r="BS7" s="7" t="str">
        <f t="shared" si="6"/>
        <v/>
      </c>
      <c r="BT7" s="7" t="str">
        <f t="shared" si="6"/>
        <v/>
      </c>
      <c r="BU7" s="7" t="str">
        <f t="shared" si="6"/>
        <v/>
      </c>
      <c r="BV7" s="7" t="str">
        <f t="shared" si="6"/>
        <v/>
      </c>
      <c r="BW7" s="7" t="str">
        <f t="shared" si="6"/>
        <v/>
      </c>
      <c r="BX7" s="7" t="str">
        <f t="shared" si="6"/>
        <v/>
      </c>
      <c r="BY7" s="7" t="str">
        <f t="shared" si="6"/>
        <v/>
      </c>
      <c r="BZ7" s="7" t="str">
        <f t="shared" si="6"/>
        <v/>
      </c>
      <c r="CA7" s="7" t="str">
        <f t="shared" si="6"/>
        <v/>
      </c>
      <c r="CB7" s="7" t="str">
        <f t="shared" si="6"/>
        <v/>
      </c>
      <c r="CC7" s="7" t="str">
        <f t="shared" si="6"/>
        <v/>
      </c>
      <c r="CD7" s="7" t="str">
        <f t="shared" si="6"/>
        <v/>
      </c>
      <c r="CE7" s="7" t="str">
        <f t="shared" si="6"/>
        <v/>
      </c>
      <c r="CF7" s="7" t="str">
        <f t="shared" si="6"/>
        <v/>
      </c>
      <c r="CG7" s="7" t="str">
        <f t="shared" si="6"/>
        <v/>
      </c>
      <c r="CH7" s="7" t="str">
        <f t="shared" si="6"/>
        <v/>
      </c>
      <c r="CI7" s="7" t="str">
        <f t="shared" si="6"/>
        <v/>
      </c>
      <c r="CJ7" s="7" t="str">
        <f t="shared" si="6"/>
        <v/>
      </c>
      <c r="CK7" s="7" t="str">
        <f t="shared" si="6"/>
        <v/>
      </c>
      <c r="CL7" s="7" t="str">
        <f t="shared" si="6"/>
        <v/>
      </c>
      <c r="CM7" s="7" t="str">
        <f t="shared" si="6"/>
        <v/>
      </c>
      <c r="CN7" s="7" t="str">
        <f t="shared" ref="CN7:DS7" si="7">IFERROR(INDEX($F$13:$F$529,MATCH(SUM(CN$13:CN$527),CN$13:CN$527,0),1),"")</f>
        <v/>
      </c>
      <c r="CO7" s="7" t="str">
        <f t="shared" si="7"/>
        <v/>
      </c>
      <c r="CP7" s="7" t="str">
        <f t="shared" si="7"/>
        <v/>
      </c>
      <c r="CQ7" s="7" t="str">
        <f t="shared" si="7"/>
        <v/>
      </c>
      <c r="CR7" s="7" t="str">
        <f t="shared" si="7"/>
        <v/>
      </c>
      <c r="CS7" s="7" t="str">
        <f t="shared" si="7"/>
        <v/>
      </c>
      <c r="CT7" s="7" t="str">
        <f t="shared" si="7"/>
        <v/>
      </c>
      <c r="CU7" s="7" t="str">
        <f t="shared" si="7"/>
        <v/>
      </c>
      <c r="CV7" s="7" t="str">
        <f t="shared" si="7"/>
        <v/>
      </c>
      <c r="CW7" s="7" t="str">
        <f t="shared" si="7"/>
        <v/>
      </c>
      <c r="CX7" s="7" t="str">
        <f t="shared" si="7"/>
        <v/>
      </c>
      <c r="CY7" s="7" t="str">
        <f t="shared" si="7"/>
        <v/>
      </c>
      <c r="CZ7" s="7" t="str">
        <f t="shared" si="7"/>
        <v/>
      </c>
      <c r="DA7" s="7" t="str">
        <f t="shared" si="7"/>
        <v/>
      </c>
      <c r="DB7" s="7" t="str">
        <f t="shared" si="7"/>
        <v/>
      </c>
      <c r="DC7" s="7" t="str">
        <f t="shared" si="7"/>
        <v/>
      </c>
      <c r="DD7" s="7" t="str">
        <f t="shared" si="7"/>
        <v/>
      </c>
      <c r="DE7" s="7" t="str">
        <f t="shared" si="7"/>
        <v/>
      </c>
      <c r="DF7" s="7" t="str">
        <f t="shared" si="7"/>
        <v/>
      </c>
      <c r="DG7" s="7" t="str">
        <f t="shared" si="7"/>
        <v/>
      </c>
      <c r="DH7" s="7" t="str">
        <f t="shared" si="7"/>
        <v/>
      </c>
      <c r="DI7" s="7" t="str">
        <f t="shared" si="7"/>
        <v/>
      </c>
      <c r="DJ7" s="7" t="str">
        <f t="shared" si="7"/>
        <v/>
      </c>
      <c r="DK7" s="7" t="str">
        <f t="shared" si="7"/>
        <v/>
      </c>
      <c r="DL7" s="7" t="str">
        <f t="shared" si="7"/>
        <v/>
      </c>
      <c r="DM7" s="7" t="str">
        <f t="shared" si="7"/>
        <v/>
      </c>
      <c r="DN7" s="7" t="str">
        <f t="shared" si="7"/>
        <v/>
      </c>
      <c r="DO7" s="7" t="str">
        <f t="shared" si="7"/>
        <v/>
      </c>
      <c r="DP7" s="7" t="str">
        <f t="shared" si="7"/>
        <v/>
      </c>
      <c r="DQ7" s="7" t="str">
        <f t="shared" si="7"/>
        <v/>
      </c>
      <c r="DR7" s="7" t="str">
        <f t="shared" si="7"/>
        <v/>
      </c>
      <c r="DS7" s="7" t="str">
        <f t="shared" si="7"/>
        <v/>
      </c>
      <c r="DT7" s="7" t="str">
        <f t="shared" ref="DT7:EY7" si="8">IFERROR(INDEX($F$13:$F$529,MATCH(SUM(DT$13:DT$527),DT$13:DT$527,0),1),"")</f>
        <v/>
      </c>
      <c r="DU7" s="7" t="str">
        <f t="shared" si="8"/>
        <v/>
      </c>
      <c r="DV7" s="7" t="str">
        <f t="shared" si="8"/>
        <v/>
      </c>
      <c r="DW7" s="7" t="str">
        <f t="shared" si="8"/>
        <v/>
      </c>
      <c r="DX7" s="7" t="str">
        <f t="shared" si="8"/>
        <v/>
      </c>
      <c r="DY7" s="7" t="str">
        <f t="shared" si="8"/>
        <v/>
      </c>
      <c r="DZ7" s="7" t="str">
        <f t="shared" si="8"/>
        <v/>
      </c>
      <c r="EA7" s="7" t="str">
        <f t="shared" si="8"/>
        <v/>
      </c>
      <c r="EB7" s="7" t="str">
        <f t="shared" si="8"/>
        <v/>
      </c>
      <c r="EC7" s="7" t="str">
        <f t="shared" si="8"/>
        <v/>
      </c>
      <c r="ED7" s="7" t="str">
        <f t="shared" si="8"/>
        <v/>
      </c>
      <c r="EE7" s="7" t="str">
        <f t="shared" si="8"/>
        <v/>
      </c>
      <c r="EF7" s="7" t="str">
        <f t="shared" si="8"/>
        <v/>
      </c>
      <c r="EG7" s="7" t="str">
        <f t="shared" si="8"/>
        <v/>
      </c>
      <c r="EH7" s="7" t="str">
        <f t="shared" si="8"/>
        <v/>
      </c>
      <c r="EI7" s="7" t="str">
        <f t="shared" si="8"/>
        <v/>
      </c>
      <c r="EJ7" s="7" t="str">
        <f t="shared" si="8"/>
        <v/>
      </c>
      <c r="EK7" s="7" t="str">
        <f t="shared" si="8"/>
        <v/>
      </c>
      <c r="EL7" s="7" t="str">
        <f t="shared" si="8"/>
        <v/>
      </c>
      <c r="EM7" s="7" t="str">
        <f t="shared" si="8"/>
        <v/>
      </c>
      <c r="EN7" s="7" t="str">
        <f t="shared" si="8"/>
        <v/>
      </c>
      <c r="EO7" s="7" t="str">
        <f t="shared" si="8"/>
        <v/>
      </c>
      <c r="EP7" s="7" t="str">
        <f t="shared" si="8"/>
        <v/>
      </c>
      <c r="EQ7" s="7" t="str">
        <f t="shared" si="8"/>
        <v/>
      </c>
      <c r="ER7" s="7" t="str">
        <f t="shared" si="8"/>
        <v/>
      </c>
      <c r="ES7" s="7" t="str">
        <f t="shared" si="8"/>
        <v/>
      </c>
      <c r="ET7" s="7" t="str">
        <f t="shared" si="8"/>
        <v/>
      </c>
      <c r="EU7" s="7" t="str">
        <f t="shared" si="8"/>
        <v/>
      </c>
      <c r="EV7" s="7" t="str">
        <f t="shared" si="8"/>
        <v/>
      </c>
      <c r="EW7" s="7" t="str">
        <f t="shared" si="8"/>
        <v/>
      </c>
      <c r="EX7" s="7" t="str">
        <f t="shared" si="8"/>
        <v/>
      </c>
      <c r="EY7" s="7" t="str">
        <f t="shared" si="8"/>
        <v/>
      </c>
      <c r="EZ7" s="7" t="str">
        <f t="shared" ref="EZ7:FE7" si="9">IFERROR(INDEX($F$13:$F$529,MATCH(SUM(EZ$13:EZ$527),EZ$13:EZ$527,0),1),"")</f>
        <v/>
      </c>
      <c r="FA7" s="7" t="str">
        <f t="shared" si="9"/>
        <v/>
      </c>
      <c r="FB7" s="7" t="str">
        <f t="shared" si="9"/>
        <v/>
      </c>
      <c r="FC7" s="7" t="str">
        <f t="shared" si="9"/>
        <v/>
      </c>
      <c r="FD7" s="7" t="str">
        <f t="shared" si="9"/>
        <v/>
      </c>
      <c r="FE7" s="7" t="str">
        <f t="shared" si="9"/>
        <v/>
      </c>
    </row>
    <row r="8" spans="2:161" ht="15" customHeight="1">
      <c r="B8" s="234"/>
      <c r="C8" s="174"/>
      <c r="D8" s="174"/>
      <c r="E8" s="174"/>
      <c r="F8" s="174"/>
      <c r="G8" s="174"/>
      <c r="H8" s="180"/>
      <c r="I8" s="183"/>
      <c r="J8" s="180"/>
      <c r="K8" s="180"/>
      <c r="L8" s="183"/>
      <c r="M8" s="180"/>
      <c r="N8" s="180"/>
      <c r="O8" s="183"/>
      <c r="P8" s="180"/>
      <c r="Q8" s="183"/>
      <c r="R8" s="191"/>
      <c r="S8" s="180"/>
      <c r="T8" s="180"/>
      <c r="U8" s="174"/>
      <c r="V8" s="180"/>
      <c r="W8" s="174"/>
      <c r="X8" s="174"/>
      <c r="Y8" s="174"/>
      <c r="Z8" s="174"/>
      <c r="AA8" s="174"/>
      <c r="AB8" s="177"/>
      <c r="AC8" s="58" t="s">
        <v>4</v>
      </c>
      <c r="AD8" s="7">
        <f t="shared" ref="AD8:BG8" si="10">IFERROR(SUM(AD$13:AD$527),"")</f>
        <v>360</v>
      </c>
      <c r="AE8" s="7">
        <f t="shared" si="10"/>
        <v>240</v>
      </c>
      <c r="AF8" s="7">
        <f t="shared" si="10"/>
        <v>165</v>
      </c>
      <c r="AG8" s="7">
        <f t="shared" si="10"/>
        <v>110</v>
      </c>
      <c r="AH8" s="7">
        <f t="shared" si="10"/>
        <v>15</v>
      </c>
      <c r="AI8" s="7">
        <f t="shared" si="10"/>
        <v>770</v>
      </c>
      <c r="AJ8" s="7">
        <f t="shared" si="10"/>
        <v>360</v>
      </c>
      <c r="AK8" s="7">
        <f t="shared" si="10"/>
        <v>55</v>
      </c>
      <c r="AL8" s="7">
        <f t="shared" si="10"/>
        <v>120</v>
      </c>
      <c r="AM8" s="7">
        <f t="shared" si="10"/>
        <v>55</v>
      </c>
      <c r="AN8" s="7">
        <f t="shared" si="10"/>
        <v>165</v>
      </c>
      <c r="AO8" s="7">
        <f t="shared" si="10"/>
        <v>495</v>
      </c>
      <c r="AP8" s="7">
        <f t="shared" si="10"/>
        <v>240</v>
      </c>
      <c r="AQ8" s="7">
        <f t="shared" si="10"/>
        <v>120</v>
      </c>
      <c r="AR8" s="7">
        <f t="shared" si="10"/>
        <v>240</v>
      </c>
      <c r="AS8" s="7">
        <f t="shared" si="10"/>
        <v>360</v>
      </c>
      <c r="AT8" s="7">
        <f t="shared" si="10"/>
        <v>240</v>
      </c>
      <c r="AU8" s="7">
        <f t="shared" si="10"/>
        <v>55</v>
      </c>
      <c r="AV8" s="7">
        <f t="shared" si="10"/>
        <v>165</v>
      </c>
      <c r="AW8" s="7">
        <f t="shared" si="10"/>
        <v>770</v>
      </c>
      <c r="AX8" s="7">
        <f t="shared" si="10"/>
        <v>360</v>
      </c>
      <c r="AY8" s="7">
        <f t="shared" si="10"/>
        <v>120</v>
      </c>
      <c r="AZ8" s="7">
        <f t="shared" si="10"/>
        <v>300</v>
      </c>
      <c r="BA8" s="7">
        <f t="shared" si="10"/>
        <v>495</v>
      </c>
      <c r="BB8" s="7">
        <f t="shared" si="10"/>
        <v>180</v>
      </c>
      <c r="BC8" s="7">
        <f t="shared" si="10"/>
        <v>120</v>
      </c>
      <c r="BD8" s="7">
        <f t="shared" si="10"/>
        <v>60</v>
      </c>
      <c r="BE8" s="7">
        <f t="shared" si="10"/>
        <v>0</v>
      </c>
      <c r="BF8" s="7">
        <f t="shared" si="10"/>
        <v>0</v>
      </c>
      <c r="BG8" s="7">
        <f t="shared" si="10"/>
        <v>0</v>
      </c>
      <c r="BH8" s="7">
        <f t="shared" ref="BH8:CM8" si="11">IFERROR(SUM(BH$13:BH$527),"")</f>
        <v>0</v>
      </c>
      <c r="BI8" s="7">
        <f t="shared" si="11"/>
        <v>0</v>
      </c>
      <c r="BJ8" s="7">
        <f t="shared" si="11"/>
        <v>0</v>
      </c>
      <c r="BK8" s="7">
        <f t="shared" si="11"/>
        <v>0</v>
      </c>
      <c r="BL8" s="7">
        <f t="shared" si="11"/>
        <v>0</v>
      </c>
      <c r="BM8" s="7">
        <f t="shared" si="11"/>
        <v>0</v>
      </c>
      <c r="BN8" s="7">
        <f t="shared" si="11"/>
        <v>0</v>
      </c>
      <c r="BO8" s="7">
        <f t="shared" si="11"/>
        <v>0</v>
      </c>
      <c r="BP8" s="7">
        <f t="shared" si="11"/>
        <v>0</v>
      </c>
      <c r="BQ8" s="7">
        <f t="shared" si="11"/>
        <v>0</v>
      </c>
      <c r="BR8" s="7">
        <f t="shared" si="11"/>
        <v>0</v>
      </c>
      <c r="BS8" s="7">
        <f t="shared" si="11"/>
        <v>0</v>
      </c>
      <c r="BT8" s="7">
        <f t="shared" si="11"/>
        <v>0</v>
      </c>
      <c r="BU8" s="7">
        <f t="shared" si="11"/>
        <v>0</v>
      </c>
      <c r="BV8" s="7">
        <f t="shared" si="11"/>
        <v>0</v>
      </c>
      <c r="BW8" s="7">
        <f t="shared" si="11"/>
        <v>0</v>
      </c>
      <c r="BX8" s="7">
        <f t="shared" si="11"/>
        <v>0</v>
      </c>
      <c r="BY8" s="7">
        <f t="shared" si="11"/>
        <v>0</v>
      </c>
      <c r="BZ8" s="7">
        <f t="shared" si="11"/>
        <v>0</v>
      </c>
      <c r="CA8" s="7">
        <f t="shared" si="11"/>
        <v>0</v>
      </c>
      <c r="CB8" s="7">
        <f t="shared" si="11"/>
        <v>0</v>
      </c>
      <c r="CC8" s="7">
        <f t="shared" si="11"/>
        <v>0</v>
      </c>
      <c r="CD8" s="7">
        <f t="shared" si="11"/>
        <v>0</v>
      </c>
      <c r="CE8" s="7">
        <f t="shared" si="11"/>
        <v>0</v>
      </c>
      <c r="CF8" s="7">
        <f t="shared" si="11"/>
        <v>0</v>
      </c>
      <c r="CG8" s="7">
        <f t="shared" si="11"/>
        <v>0</v>
      </c>
      <c r="CH8" s="7">
        <f t="shared" si="11"/>
        <v>0</v>
      </c>
      <c r="CI8" s="7">
        <f t="shared" si="11"/>
        <v>0</v>
      </c>
      <c r="CJ8" s="7">
        <f t="shared" si="11"/>
        <v>0</v>
      </c>
      <c r="CK8" s="7">
        <f t="shared" si="11"/>
        <v>0</v>
      </c>
      <c r="CL8" s="7">
        <f t="shared" si="11"/>
        <v>0</v>
      </c>
      <c r="CM8" s="7">
        <f t="shared" si="11"/>
        <v>0</v>
      </c>
      <c r="CN8" s="7">
        <f t="shared" ref="CN8:DS8" si="12">IFERROR(SUM(CN$13:CN$527),"")</f>
        <v>0</v>
      </c>
      <c r="CO8" s="7">
        <f t="shared" si="12"/>
        <v>0</v>
      </c>
      <c r="CP8" s="7">
        <f t="shared" si="12"/>
        <v>0</v>
      </c>
      <c r="CQ8" s="7">
        <f t="shared" si="12"/>
        <v>0</v>
      </c>
      <c r="CR8" s="7">
        <f t="shared" si="12"/>
        <v>0</v>
      </c>
      <c r="CS8" s="7">
        <f t="shared" si="12"/>
        <v>0</v>
      </c>
      <c r="CT8" s="7">
        <f t="shared" si="12"/>
        <v>0</v>
      </c>
      <c r="CU8" s="7">
        <f t="shared" si="12"/>
        <v>0</v>
      </c>
      <c r="CV8" s="7">
        <f t="shared" si="12"/>
        <v>0</v>
      </c>
      <c r="CW8" s="7">
        <f t="shared" si="12"/>
        <v>0</v>
      </c>
      <c r="CX8" s="7">
        <f t="shared" si="12"/>
        <v>0</v>
      </c>
      <c r="CY8" s="7">
        <f t="shared" si="12"/>
        <v>0</v>
      </c>
      <c r="CZ8" s="7">
        <f t="shared" si="12"/>
        <v>0</v>
      </c>
      <c r="DA8" s="7">
        <f t="shared" si="12"/>
        <v>0</v>
      </c>
      <c r="DB8" s="7">
        <f t="shared" si="12"/>
        <v>0</v>
      </c>
      <c r="DC8" s="7">
        <f t="shared" si="12"/>
        <v>0</v>
      </c>
      <c r="DD8" s="7">
        <f t="shared" si="12"/>
        <v>0</v>
      </c>
      <c r="DE8" s="7">
        <f t="shared" si="12"/>
        <v>0</v>
      </c>
      <c r="DF8" s="7">
        <f t="shared" si="12"/>
        <v>0</v>
      </c>
      <c r="DG8" s="7">
        <f t="shared" si="12"/>
        <v>0</v>
      </c>
      <c r="DH8" s="7">
        <f t="shared" si="12"/>
        <v>0</v>
      </c>
      <c r="DI8" s="7">
        <f t="shared" si="12"/>
        <v>0</v>
      </c>
      <c r="DJ8" s="7">
        <f t="shared" si="12"/>
        <v>0</v>
      </c>
      <c r="DK8" s="7">
        <f t="shared" si="12"/>
        <v>0</v>
      </c>
      <c r="DL8" s="7">
        <f t="shared" si="12"/>
        <v>0</v>
      </c>
      <c r="DM8" s="7">
        <f t="shared" si="12"/>
        <v>0</v>
      </c>
      <c r="DN8" s="7">
        <f t="shared" si="12"/>
        <v>0</v>
      </c>
      <c r="DO8" s="7">
        <f t="shared" si="12"/>
        <v>0</v>
      </c>
      <c r="DP8" s="7">
        <f t="shared" si="12"/>
        <v>0</v>
      </c>
      <c r="DQ8" s="7">
        <f t="shared" si="12"/>
        <v>0</v>
      </c>
      <c r="DR8" s="7">
        <f t="shared" si="12"/>
        <v>0</v>
      </c>
      <c r="DS8" s="7">
        <f t="shared" si="12"/>
        <v>0</v>
      </c>
      <c r="DT8" s="7">
        <f t="shared" ref="DT8:EY8" si="13">IFERROR(SUM(DT$13:DT$527),"")</f>
        <v>0</v>
      </c>
      <c r="DU8" s="7">
        <f t="shared" si="13"/>
        <v>0</v>
      </c>
      <c r="DV8" s="7">
        <f t="shared" si="13"/>
        <v>0</v>
      </c>
      <c r="DW8" s="7">
        <f t="shared" si="13"/>
        <v>0</v>
      </c>
      <c r="DX8" s="7">
        <f t="shared" si="13"/>
        <v>0</v>
      </c>
      <c r="DY8" s="7">
        <f t="shared" si="13"/>
        <v>0</v>
      </c>
      <c r="DZ8" s="7">
        <f t="shared" si="13"/>
        <v>0</v>
      </c>
      <c r="EA8" s="7">
        <f t="shared" si="13"/>
        <v>0</v>
      </c>
      <c r="EB8" s="7">
        <f t="shared" si="13"/>
        <v>0</v>
      </c>
      <c r="EC8" s="7">
        <f t="shared" si="13"/>
        <v>0</v>
      </c>
      <c r="ED8" s="7">
        <f t="shared" si="13"/>
        <v>0</v>
      </c>
      <c r="EE8" s="7">
        <f t="shared" si="13"/>
        <v>0</v>
      </c>
      <c r="EF8" s="7">
        <f t="shared" si="13"/>
        <v>0</v>
      </c>
      <c r="EG8" s="7">
        <f t="shared" si="13"/>
        <v>0</v>
      </c>
      <c r="EH8" s="7">
        <f t="shared" si="13"/>
        <v>0</v>
      </c>
      <c r="EI8" s="7">
        <f t="shared" si="13"/>
        <v>0</v>
      </c>
      <c r="EJ8" s="7">
        <f t="shared" si="13"/>
        <v>0</v>
      </c>
      <c r="EK8" s="7">
        <f t="shared" si="13"/>
        <v>0</v>
      </c>
      <c r="EL8" s="7">
        <f t="shared" si="13"/>
        <v>0</v>
      </c>
      <c r="EM8" s="7">
        <f t="shared" si="13"/>
        <v>0</v>
      </c>
      <c r="EN8" s="7">
        <f t="shared" si="13"/>
        <v>0</v>
      </c>
      <c r="EO8" s="7">
        <f t="shared" si="13"/>
        <v>0</v>
      </c>
      <c r="EP8" s="7">
        <f t="shared" si="13"/>
        <v>0</v>
      </c>
      <c r="EQ8" s="7">
        <f t="shared" si="13"/>
        <v>0</v>
      </c>
      <c r="ER8" s="7">
        <f t="shared" si="13"/>
        <v>0</v>
      </c>
      <c r="ES8" s="7">
        <f t="shared" si="13"/>
        <v>0</v>
      </c>
      <c r="ET8" s="7">
        <f t="shared" si="13"/>
        <v>0</v>
      </c>
      <c r="EU8" s="7">
        <f t="shared" si="13"/>
        <v>0</v>
      </c>
      <c r="EV8" s="7">
        <f t="shared" si="13"/>
        <v>0</v>
      </c>
      <c r="EW8" s="7">
        <f t="shared" si="13"/>
        <v>0</v>
      </c>
      <c r="EX8" s="7">
        <f t="shared" si="13"/>
        <v>0</v>
      </c>
      <c r="EY8" s="7">
        <f t="shared" si="13"/>
        <v>0</v>
      </c>
      <c r="EZ8" s="7">
        <f t="shared" ref="EZ8:FE8" si="14">IFERROR(SUM(EZ$13:EZ$527),"")</f>
        <v>0</v>
      </c>
      <c r="FA8" s="7">
        <f t="shared" si="14"/>
        <v>0</v>
      </c>
      <c r="FB8" s="7">
        <f t="shared" si="14"/>
        <v>0</v>
      </c>
      <c r="FC8" s="7">
        <f t="shared" si="14"/>
        <v>0</v>
      </c>
      <c r="FD8" s="7">
        <f t="shared" si="14"/>
        <v>0</v>
      </c>
      <c r="FE8" s="7">
        <f t="shared" si="14"/>
        <v>0</v>
      </c>
    </row>
    <row r="9" spans="2:161" ht="15" customHeight="1">
      <c r="B9" s="234"/>
      <c r="C9" s="174"/>
      <c r="D9" s="174"/>
      <c r="E9" s="174"/>
      <c r="F9" s="174"/>
      <c r="G9" s="174"/>
      <c r="H9" s="180"/>
      <c r="I9" s="183"/>
      <c r="J9" s="180"/>
      <c r="K9" s="180"/>
      <c r="L9" s="183"/>
      <c r="M9" s="180"/>
      <c r="N9" s="180"/>
      <c r="O9" s="183"/>
      <c r="P9" s="180"/>
      <c r="Q9" s="183"/>
      <c r="R9" s="191"/>
      <c r="S9" s="180"/>
      <c r="T9" s="180"/>
      <c r="U9" s="174"/>
      <c r="V9" s="180"/>
      <c r="W9" s="174"/>
      <c r="X9" s="174"/>
      <c r="Y9" s="174"/>
      <c r="Z9" s="174"/>
      <c r="AA9" s="174"/>
      <c r="AB9" s="177"/>
      <c r="AC9" s="59" t="s">
        <v>12</v>
      </c>
      <c r="AD9" s="7">
        <f>IFERROR(IF(AD8&lt;INDEX($V$13:$V$475,MATCH(SUM(AD$13:AD$474),AD$13:AD$474,0),1),"분할출고",
ROUNDUP((SUM(AD13:AD474)/IFERROR(INDEX($V$13:$V$475,MATCH(SUM(AD$13:AD$474),AD$13:AD$474,0),1),"")),0)),"")</f>
        <v>6</v>
      </c>
      <c r="AE9" s="7">
        <f>IFERROR(IF(AE8&lt;INDEX($V$13:$V$475,MATCH(SUM(AE$13:AE$474),AE$13:AE$474,0),1),"분할출고",
ROUNDUP((SUM(AE13:AE474)/IFERROR(INDEX($V$13:$V$475,MATCH(SUM(AE$13:AE$474),AE$13:AE$474,0),1),"")),0)),"")</f>
        <v>4</v>
      </c>
      <c r="AF9" s="7">
        <f>IFERROR(IF(AF8&lt;INDEX($V$13:$V$475,MATCH(SUM(AF$13:AF$474),AF$13:AF$474,0),1),"분할출고",
ROUNDUP((SUM(AF13:AF474)/IFERROR(INDEX($V$13:$V$475,MATCH(SUM(AF$13:AF$474),AF$13:AF$474,0),1),"")),0)),"")</f>
        <v>3</v>
      </c>
      <c r="AG9" s="7">
        <f>IFERROR(IF(AG8&lt;INDEX($V$13:$V$475,MATCH(SUM(AG$13:AG$474),AG$13:AG$474,0),1),"분할출고",
ROUNDUP((SUM(AG13:AG474)/IFERROR(INDEX($V$13:$V$475,MATCH(SUM(AG$13:AG$474),AG$13:AG$474,0),1),"")),0)),"")</f>
        <v>2</v>
      </c>
      <c r="AH9" s="7">
        <v>1</v>
      </c>
      <c r="AI9" s="7">
        <f t="shared" ref="AI9:BL9" si="15">IFERROR(IF(AI8&lt;INDEX($V$13:$V$475,MATCH(SUM(AI$13:AI$474),AI$13:AI$474,0),1),"분할출고",
ROUNDUP((SUM(AI13:AI474)/IFERROR(INDEX($V$13:$V$475,MATCH(SUM(AI$13:AI$474),AI$13:AI$474,0),1),"")),0)),"")</f>
        <v>14</v>
      </c>
      <c r="AJ9" s="7">
        <f t="shared" si="15"/>
        <v>6</v>
      </c>
      <c r="AK9" s="7">
        <f t="shared" si="15"/>
        <v>1</v>
      </c>
      <c r="AL9" s="7">
        <f t="shared" si="15"/>
        <v>2</v>
      </c>
      <c r="AM9" s="7">
        <f t="shared" si="15"/>
        <v>1</v>
      </c>
      <c r="AN9" s="7">
        <f t="shared" si="15"/>
        <v>3</v>
      </c>
      <c r="AO9" s="7">
        <f t="shared" si="15"/>
        <v>9</v>
      </c>
      <c r="AP9" s="7">
        <f t="shared" si="15"/>
        <v>4</v>
      </c>
      <c r="AQ9" s="7">
        <f t="shared" si="15"/>
        <v>2</v>
      </c>
      <c r="AR9" s="7">
        <f t="shared" si="15"/>
        <v>4</v>
      </c>
      <c r="AS9" s="7">
        <f t="shared" si="15"/>
        <v>6</v>
      </c>
      <c r="AT9" s="7">
        <f t="shared" si="15"/>
        <v>4</v>
      </c>
      <c r="AU9" s="7">
        <f t="shared" si="15"/>
        <v>1</v>
      </c>
      <c r="AV9" s="7">
        <f t="shared" si="15"/>
        <v>3</v>
      </c>
      <c r="AW9" s="7">
        <f t="shared" si="15"/>
        <v>14</v>
      </c>
      <c r="AX9" s="7">
        <f t="shared" si="15"/>
        <v>6</v>
      </c>
      <c r="AY9" s="7">
        <f t="shared" si="15"/>
        <v>2</v>
      </c>
      <c r="AZ9" s="7">
        <f t="shared" si="15"/>
        <v>5</v>
      </c>
      <c r="BA9" s="7">
        <f t="shared" si="15"/>
        <v>9</v>
      </c>
      <c r="BB9" s="7">
        <f t="shared" si="15"/>
        <v>3</v>
      </c>
      <c r="BC9" s="7">
        <f t="shared" si="15"/>
        <v>2</v>
      </c>
      <c r="BD9" s="7">
        <f t="shared" si="15"/>
        <v>1</v>
      </c>
      <c r="BE9" s="7" t="str">
        <f t="shared" si="15"/>
        <v/>
      </c>
      <c r="BF9" s="7" t="str">
        <f t="shared" si="15"/>
        <v/>
      </c>
      <c r="BG9" s="7" t="str">
        <f t="shared" si="15"/>
        <v/>
      </c>
      <c r="BH9" s="7" t="str">
        <f t="shared" si="15"/>
        <v/>
      </c>
      <c r="BI9" s="7" t="str">
        <f t="shared" si="15"/>
        <v/>
      </c>
      <c r="BJ9" s="7" t="str">
        <f t="shared" si="15"/>
        <v/>
      </c>
      <c r="BK9" s="7" t="str">
        <f t="shared" si="15"/>
        <v/>
      </c>
      <c r="BL9" s="7" t="str">
        <f t="shared" si="15"/>
        <v/>
      </c>
      <c r="BM9" s="7" t="str">
        <f t="shared" ref="BM9:CR9" si="16">IFERROR(IF(BM8&lt;INDEX($V$13:$V$475,MATCH(SUM(BM$13:BM$474),BM$13:BM$474,0),1),"분할출고",
ROUNDUP((SUM(BM13:BM474)/IFERROR(INDEX($V$13:$V$475,MATCH(SUM(BM$13:BM$474),BM$13:BM$474,0),1),"")),0)),"")</f>
        <v/>
      </c>
      <c r="BN9" s="7" t="str">
        <f t="shared" si="16"/>
        <v/>
      </c>
      <c r="BO9" s="7" t="str">
        <f t="shared" si="16"/>
        <v/>
      </c>
      <c r="BP9" s="7" t="str">
        <f t="shared" si="16"/>
        <v/>
      </c>
      <c r="BQ9" s="7" t="str">
        <f t="shared" si="16"/>
        <v/>
      </c>
      <c r="BR9" s="7" t="str">
        <f t="shared" si="16"/>
        <v/>
      </c>
      <c r="BS9" s="7" t="str">
        <f t="shared" si="16"/>
        <v/>
      </c>
      <c r="BT9" s="7" t="str">
        <f t="shared" si="16"/>
        <v/>
      </c>
      <c r="BU9" s="7" t="str">
        <f t="shared" si="16"/>
        <v/>
      </c>
      <c r="BV9" s="7" t="str">
        <f t="shared" si="16"/>
        <v/>
      </c>
      <c r="BW9" s="7" t="str">
        <f t="shared" si="16"/>
        <v/>
      </c>
      <c r="BX9" s="7" t="str">
        <f t="shared" si="16"/>
        <v/>
      </c>
      <c r="BY9" s="7" t="str">
        <f t="shared" si="16"/>
        <v/>
      </c>
      <c r="BZ9" s="7" t="str">
        <f t="shared" si="16"/>
        <v/>
      </c>
      <c r="CA9" s="7" t="str">
        <f t="shared" si="16"/>
        <v/>
      </c>
      <c r="CB9" s="7" t="str">
        <f t="shared" si="16"/>
        <v/>
      </c>
      <c r="CC9" s="7" t="str">
        <f t="shared" si="16"/>
        <v/>
      </c>
      <c r="CD9" s="7" t="str">
        <f t="shared" si="16"/>
        <v/>
      </c>
      <c r="CE9" s="7" t="str">
        <f t="shared" si="16"/>
        <v/>
      </c>
      <c r="CF9" s="7" t="str">
        <f t="shared" si="16"/>
        <v/>
      </c>
      <c r="CG9" s="7" t="str">
        <f t="shared" si="16"/>
        <v/>
      </c>
      <c r="CH9" s="7" t="str">
        <f t="shared" si="16"/>
        <v/>
      </c>
      <c r="CI9" s="7" t="str">
        <f t="shared" si="16"/>
        <v/>
      </c>
      <c r="CJ9" s="7" t="str">
        <f t="shared" si="16"/>
        <v/>
      </c>
      <c r="CK9" s="7" t="str">
        <f t="shared" si="16"/>
        <v/>
      </c>
      <c r="CL9" s="7" t="str">
        <f t="shared" si="16"/>
        <v/>
      </c>
      <c r="CM9" s="7" t="str">
        <f t="shared" si="16"/>
        <v/>
      </c>
      <c r="CN9" s="7" t="str">
        <f t="shared" si="16"/>
        <v/>
      </c>
      <c r="CO9" s="7" t="str">
        <f t="shared" si="16"/>
        <v/>
      </c>
      <c r="CP9" s="7" t="str">
        <f t="shared" si="16"/>
        <v/>
      </c>
      <c r="CQ9" s="7" t="str">
        <f t="shared" si="16"/>
        <v/>
      </c>
      <c r="CR9" s="7" t="str">
        <f t="shared" si="16"/>
        <v/>
      </c>
      <c r="CS9" s="7" t="str">
        <f t="shared" ref="CS9:DX9" si="17">IFERROR(IF(CS8&lt;INDEX($V$13:$V$475,MATCH(SUM(CS$13:CS$474),CS$13:CS$474,0),1),"분할출고",
ROUNDUP((SUM(CS13:CS474)/IFERROR(INDEX($V$13:$V$475,MATCH(SUM(CS$13:CS$474),CS$13:CS$474,0),1),"")),0)),"")</f>
        <v/>
      </c>
      <c r="CT9" s="7" t="str">
        <f t="shared" si="17"/>
        <v/>
      </c>
      <c r="CU9" s="7" t="str">
        <f t="shared" si="17"/>
        <v/>
      </c>
      <c r="CV9" s="7" t="str">
        <f t="shared" si="17"/>
        <v/>
      </c>
      <c r="CW9" s="7" t="str">
        <f t="shared" si="17"/>
        <v/>
      </c>
      <c r="CX9" s="7" t="str">
        <f t="shared" si="17"/>
        <v/>
      </c>
      <c r="CY9" s="7" t="str">
        <f t="shared" si="17"/>
        <v/>
      </c>
      <c r="CZ9" s="7" t="str">
        <f t="shared" si="17"/>
        <v/>
      </c>
      <c r="DA9" s="7" t="str">
        <f t="shared" si="17"/>
        <v/>
      </c>
      <c r="DB9" s="7" t="str">
        <f t="shared" si="17"/>
        <v/>
      </c>
      <c r="DC9" s="7" t="str">
        <f t="shared" si="17"/>
        <v/>
      </c>
      <c r="DD9" s="7" t="str">
        <f t="shared" si="17"/>
        <v/>
      </c>
      <c r="DE9" s="7" t="str">
        <f t="shared" si="17"/>
        <v/>
      </c>
      <c r="DF9" s="7" t="str">
        <f t="shared" si="17"/>
        <v/>
      </c>
      <c r="DG9" s="7" t="str">
        <f t="shared" si="17"/>
        <v/>
      </c>
      <c r="DH9" s="7" t="str">
        <f t="shared" si="17"/>
        <v/>
      </c>
      <c r="DI9" s="7" t="str">
        <f t="shared" si="17"/>
        <v/>
      </c>
      <c r="DJ9" s="7" t="str">
        <f t="shared" si="17"/>
        <v/>
      </c>
      <c r="DK9" s="7" t="str">
        <f t="shared" si="17"/>
        <v/>
      </c>
      <c r="DL9" s="7" t="str">
        <f t="shared" si="17"/>
        <v/>
      </c>
      <c r="DM9" s="7" t="str">
        <f t="shared" si="17"/>
        <v/>
      </c>
      <c r="DN9" s="7" t="str">
        <f t="shared" si="17"/>
        <v/>
      </c>
      <c r="DO9" s="7" t="str">
        <f t="shared" si="17"/>
        <v/>
      </c>
      <c r="DP9" s="7" t="str">
        <f t="shared" si="17"/>
        <v/>
      </c>
      <c r="DQ9" s="7" t="str">
        <f t="shared" si="17"/>
        <v/>
      </c>
      <c r="DR9" s="7" t="str">
        <f t="shared" si="17"/>
        <v/>
      </c>
      <c r="DS9" s="7" t="str">
        <f t="shared" si="17"/>
        <v/>
      </c>
      <c r="DT9" s="7" t="str">
        <f t="shared" si="17"/>
        <v/>
      </c>
      <c r="DU9" s="7" t="str">
        <f t="shared" si="17"/>
        <v/>
      </c>
      <c r="DV9" s="7" t="str">
        <f t="shared" si="17"/>
        <v/>
      </c>
      <c r="DW9" s="7" t="str">
        <f t="shared" si="17"/>
        <v/>
      </c>
      <c r="DX9" s="7" t="str">
        <f t="shared" si="17"/>
        <v/>
      </c>
      <c r="DY9" s="7" t="str">
        <f t="shared" ref="DY9:FD9" si="18">IFERROR(IF(DY8&lt;INDEX($V$13:$V$475,MATCH(SUM(DY$13:DY$474),DY$13:DY$474,0),1),"분할출고",
ROUNDUP((SUM(DY13:DY474)/IFERROR(INDEX($V$13:$V$475,MATCH(SUM(DY$13:DY$474),DY$13:DY$474,0),1),"")),0)),"")</f>
        <v/>
      </c>
      <c r="DZ9" s="7" t="str">
        <f t="shared" si="18"/>
        <v/>
      </c>
      <c r="EA9" s="7" t="str">
        <f t="shared" si="18"/>
        <v/>
      </c>
      <c r="EB9" s="7" t="str">
        <f t="shared" si="18"/>
        <v/>
      </c>
      <c r="EC9" s="7" t="str">
        <f t="shared" si="18"/>
        <v/>
      </c>
      <c r="ED9" s="7" t="str">
        <f t="shared" si="18"/>
        <v/>
      </c>
      <c r="EE9" s="7" t="str">
        <f t="shared" si="18"/>
        <v/>
      </c>
      <c r="EF9" s="7" t="str">
        <f t="shared" si="18"/>
        <v/>
      </c>
      <c r="EG9" s="7" t="str">
        <f t="shared" si="18"/>
        <v/>
      </c>
      <c r="EH9" s="7" t="str">
        <f t="shared" si="18"/>
        <v/>
      </c>
      <c r="EI9" s="7" t="str">
        <f t="shared" si="18"/>
        <v/>
      </c>
      <c r="EJ9" s="7" t="str">
        <f t="shared" si="18"/>
        <v/>
      </c>
      <c r="EK9" s="7" t="str">
        <f t="shared" si="18"/>
        <v/>
      </c>
      <c r="EL9" s="7" t="str">
        <f t="shared" si="18"/>
        <v/>
      </c>
      <c r="EM9" s="7" t="str">
        <f t="shared" si="18"/>
        <v/>
      </c>
      <c r="EN9" s="7" t="str">
        <f t="shared" si="18"/>
        <v/>
      </c>
      <c r="EO9" s="7" t="str">
        <f t="shared" si="18"/>
        <v/>
      </c>
      <c r="EP9" s="7" t="str">
        <f t="shared" si="18"/>
        <v/>
      </c>
      <c r="EQ9" s="7" t="str">
        <f t="shared" si="18"/>
        <v/>
      </c>
      <c r="ER9" s="7" t="str">
        <f t="shared" si="18"/>
        <v/>
      </c>
      <c r="ES9" s="7" t="str">
        <f t="shared" si="18"/>
        <v/>
      </c>
      <c r="ET9" s="7" t="str">
        <f t="shared" si="18"/>
        <v/>
      </c>
      <c r="EU9" s="7" t="str">
        <f t="shared" si="18"/>
        <v/>
      </c>
      <c r="EV9" s="7" t="str">
        <f t="shared" si="18"/>
        <v/>
      </c>
      <c r="EW9" s="7" t="str">
        <f t="shared" si="18"/>
        <v/>
      </c>
      <c r="EX9" s="7" t="str">
        <f t="shared" si="18"/>
        <v/>
      </c>
      <c r="EY9" s="7" t="str">
        <f t="shared" si="18"/>
        <v/>
      </c>
      <c r="EZ9" s="7" t="str">
        <f t="shared" si="18"/>
        <v/>
      </c>
      <c r="FA9" s="7" t="str">
        <f t="shared" si="18"/>
        <v/>
      </c>
      <c r="FB9" s="7" t="str">
        <f t="shared" si="18"/>
        <v/>
      </c>
      <c r="FC9" s="7" t="str">
        <f t="shared" si="18"/>
        <v/>
      </c>
      <c r="FD9" s="7" t="str">
        <f t="shared" si="18"/>
        <v/>
      </c>
      <c r="FE9" s="7" t="str">
        <f t="shared" ref="FE9" si="19">IFERROR(IF(FE8&lt;INDEX($V$13:$V$475,MATCH(SUM(FE$13:FE$474),FE$13:FE$474,0),1),"분할출고",
ROUNDUP((SUM(FE13:FE474)/IFERROR(INDEX($V$13:$V$475,MATCH(SUM(FE$13:FE$474),FE$13:FE$474,0),1),"")),0)),"")</f>
        <v/>
      </c>
    </row>
    <row r="10" spans="2:161" ht="15" customHeight="1">
      <c r="B10" s="234"/>
      <c r="C10" s="174"/>
      <c r="D10" s="174"/>
      <c r="E10" s="174"/>
      <c r="F10" s="174"/>
      <c r="G10" s="174"/>
      <c r="H10" s="180"/>
      <c r="I10" s="183"/>
      <c r="J10" s="180"/>
      <c r="K10" s="180"/>
      <c r="L10" s="183"/>
      <c r="M10" s="180"/>
      <c r="N10" s="180"/>
      <c r="O10" s="183"/>
      <c r="P10" s="180"/>
      <c r="Q10" s="183"/>
      <c r="R10" s="191"/>
      <c r="S10" s="180"/>
      <c r="T10" s="180"/>
      <c r="U10" s="174"/>
      <c r="V10" s="180"/>
      <c r="W10" s="174"/>
      <c r="X10" s="174"/>
      <c r="Y10" s="174"/>
      <c r="Z10" s="174"/>
      <c r="AA10" s="174"/>
      <c r="AB10" s="177"/>
      <c r="AC10" s="58" t="s">
        <v>11</v>
      </c>
      <c r="AD10" s="7">
        <f t="shared" ref="AD10:BG10" si="20">IFERROR(INDEX($W$13:$W$529,MATCH(SUM(AD$13:AD$527),AD$13:AD$527,0),1),"")</f>
        <v>46127</v>
      </c>
      <c r="AE10" s="7">
        <f t="shared" si="20"/>
        <v>46127</v>
      </c>
      <c r="AF10" s="7">
        <f t="shared" si="20"/>
        <v>46210</v>
      </c>
      <c r="AG10" s="7">
        <f t="shared" si="20"/>
        <v>46210</v>
      </c>
      <c r="AH10" s="7">
        <f t="shared" si="20"/>
        <v>46210</v>
      </c>
      <c r="AI10" s="7">
        <f t="shared" si="20"/>
        <v>46196</v>
      </c>
      <c r="AJ10" s="7">
        <f t="shared" si="20"/>
        <v>46167</v>
      </c>
      <c r="AK10" s="7">
        <f t="shared" si="20"/>
        <v>46210</v>
      </c>
      <c r="AL10" s="7">
        <f t="shared" si="20"/>
        <v>46167</v>
      </c>
      <c r="AM10" s="7">
        <f t="shared" si="20"/>
        <v>46210</v>
      </c>
      <c r="AN10" s="7">
        <f t="shared" si="20"/>
        <v>46196</v>
      </c>
      <c r="AO10" s="7">
        <f t="shared" si="20"/>
        <v>46212</v>
      </c>
      <c r="AP10" s="7">
        <f t="shared" si="20"/>
        <v>46167</v>
      </c>
      <c r="AQ10" s="7">
        <f t="shared" si="20"/>
        <v>46185</v>
      </c>
      <c r="AR10" s="7">
        <f t="shared" si="20"/>
        <v>46185</v>
      </c>
      <c r="AS10" s="7">
        <f t="shared" si="20"/>
        <v>46185</v>
      </c>
      <c r="AT10" s="7">
        <f t="shared" si="20"/>
        <v>46185</v>
      </c>
      <c r="AU10" s="7">
        <f t="shared" si="20"/>
        <v>45786</v>
      </c>
      <c r="AV10" s="7">
        <f t="shared" si="20"/>
        <v>45786</v>
      </c>
      <c r="AW10" s="7">
        <f t="shared" si="20"/>
        <v>46231</v>
      </c>
      <c r="AX10" s="7">
        <f t="shared" si="20"/>
        <v>46185</v>
      </c>
      <c r="AY10" s="7">
        <f t="shared" si="20"/>
        <v>46185</v>
      </c>
      <c r="AZ10" s="7">
        <f t="shared" si="20"/>
        <v>46185</v>
      </c>
      <c r="BA10" s="7">
        <f t="shared" si="20"/>
        <v>45954</v>
      </c>
      <c r="BB10" s="7">
        <f t="shared" si="20"/>
        <v>46185</v>
      </c>
      <c r="BC10" s="7">
        <f t="shared" si="20"/>
        <v>46221</v>
      </c>
      <c r="BD10" s="7">
        <f t="shared" si="20"/>
        <v>46221</v>
      </c>
      <c r="BE10" s="7" t="str">
        <f t="shared" si="20"/>
        <v/>
      </c>
      <c r="BF10" s="7" t="str">
        <f t="shared" si="20"/>
        <v/>
      </c>
      <c r="BG10" s="7" t="str">
        <f t="shared" si="20"/>
        <v/>
      </c>
      <c r="BH10" s="7" t="str">
        <f t="shared" ref="BH10:CM10" si="21">IFERROR(INDEX($W$13:$W$529,MATCH(SUM(BH$13:BH$527),BH$13:BH$527,0),1),"")</f>
        <v/>
      </c>
      <c r="BI10" s="7" t="str">
        <f t="shared" si="21"/>
        <v/>
      </c>
      <c r="BJ10" s="7" t="str">
        <f t="shared" si="21"/>
        <v/>
      </c>
      <c r="BK10" s="7" t="str">
        <f t="shared" si="21"/>
        <v/>
      </c>
      <c r="BL10" s="7" t="str">
        <f t="shared" si="21"/>
        <v/>
      </c>
      <c r="BM10" s="7" t="str">
        <f t="shared" si="21"/>
        <v/>
      </c>
      <c r="BN10" s="7" t="str">
        <f t="shared" si="21"/>
        <v/>
      </c>
      <c r="BO10" s="7" t="str">
        <f t="shared" si="21"/>
        <v/>
      </c>
      <c r="BP10" s="7" t="str">
        <f t="shared" si="21"/>
        <v/>
      </c>
      <c r="BQ10" s="7" t="str">
        <f t="shared" si="21"/>
        <v/>
      </c>
      <c r="BR10" s="7" t="str">
        <f t="shared" si="21"/>
        <v/>
      </c>
      <c r="BS10" s="7" t="str">
        <f t="shared" si="21"/>
        <v/>
      </c>
      <c r="BT10" s="7" t="str">
        <f t="shared" si="21"/>
        <v/>
      </c>
      <c r="BU10" s="7" t="str">
        <f t="shared" si="21"/>
        <v/>
      </c>
      <c r="BV10" s="7" t="str">
        <f t="shared" si="21"/>
        <v/>
      </c>
      <c r="BW10" s="7" t="str">
        <f t="shared" si="21"/>
        <v/>
      </c>
      <c r="BX10" s="7" t="str">
        <f t="shared" si="21"/>
        <v/>
      </c>
      <c r="BY10" s="7" t="str">
        <f t="shared" si="21"/>
        <v/>
      </c>
      <c r="BZ10" s="7" t="str">
        <f t="shared" si="21"/>
        <v/>
      </c>
      <c r="CA10" s="7" t="str">
        <f t="shared" si="21"/>
        <v/>
      </c>
      <c r="CB10" s="7" t="str">
        <f t="shared" si="21"/>
        <v/>
      </c>
      <c r="CC10" s="7" t="str">
        <f t="shared" si="21"/>
        <v/>
      </c>
      <c r="CD10" s="7" t="str">
        <f t="shared" si="21"/>
        <v/>
      </c>
      <c r="CE10" s="7" t="str">
        <f t="shared" si="21"/>
        <v/>
      </c>
      <c r="CF10" s="7" t="str">
        <f t="shared" si="21"/>
        <v/>
      </c>
      <c r="CG10" s="7" t="str">
        <f t="shared" si="21"/>
        <v/>
      </c>
      <c r="CH10" s="7" t="str">
        <f t="shared" si="21"/>
        <v/>
      </c>
      <c r="CI10" s="7" t="str">
        <f t="shared" si="21"/>
        <v/>
      </c>
      <c r="CJ10" s="7" t="str">
        <f t="shared" si="21"/>
        <v/>
      </c>
      <c r="CK10" s="7" t="str">
        <f t="shared" si="21"/>
        <v/>
      </c>
      <c r="CL10" s="7" t="str">
        <f t="shared" si="21"/>
        <v/>
      </c>
      <c r="CM10" s="7" t="str">
        <f t="shared" si="21"/>
        <v/>
      </c>
      <c r="CN10" s="7" t="str">
        <f t="shared" ref="CN10:DS10" si="22">IFERROR(INDEX($W$13:$W$529,MATCH(SUM(CN$13:CN$527),CN$13:CN$527,0),1),"")</f>
        <v/>
      </c>
      <c r="CO10" s="7" t="str">
        <f t="shared" si="22"/>
        <v/>
      </c>
      <c r="CP10" s="7" t="str">
        <f t="shared" si="22"/>
        <v/>
      </c>
      <c r="CQ10" s="7" t="str">
        <f t="shared" si="22"/>
        <v/>
      </c>
      <c r="CR10" s="7" t="str">
        <f t="shared" si="22"/>
        <v/>
      </c>
      <c r="CS10" s="7" t="str">
        <f t="shared" si="22"/>
        <v/>
      </c>
      <c r="CT10" s="7" t="str">
        <f t="shared" si="22"/>
        <v/>
      </c>
      <c r="CU10" s="7" t="str">
        <f t="shared" si="22"/>
        <v/>
      </c>
      <c r="CV10" s="7" t="str">
        <f t="shared" si="22"/>
        <v/>
      </c>
      <c r="CW10" s="7" t="str">
        <f t="shared" si="22"/>
        <v/>
      </c>
      <c r="CX10" s="7" t="str">
        <f t="shared" si="22"/>
        <v/>
      </c>
      <c r="CY10" s="7" t="str">
        <f t="shared" si="22"/>
        <v/>
      </c>
      <c r="CZ10" s="7" t="str">
        <f t="shared" si="22"/>
        <v/>
      </c>
      <c r="DA10" s="7" t="str">
        <f t="shared" si="22"/>
        <v/>
      </c>
      <c r="DB10" s="7" t="str">
        <f t="shared" si="22"/>
        <v/>
      </c>
      <c r="DC10" s="7" t="str">
        <f t="shared" si="22"/>
        <v/>
      </c>
      <c r="DD10" s="7" t="str">
        <f t="shared" si="22"/>
        <v/>
      </c>
      <c r="DE10" s="7" t="str">
        <f t="shared" si="22"/>
        <v/>
      </c>
      <c r="DF10" s="7" t="str">
        <f t="shared" si="22"/>
        <v/>
      </c>
      <c r="DG10" s="7" t="str">
        <f t="shared" si="22"/>
        <v/>
      </c>
      <c r="DH10" s="7" t="str">
        <f t="shared" si="22"/>
        <v/>
      </c>
      <c r="DI10" s="7" t="str">
        <f t="shared" si="22"/>
        <v/>
      </c>
      <c r="DJ10" s="7" t="str">
        <f t="shared" si="22"/>
        <v/>
      </c>
      <c r="DK10" s="7" t="str">
        <f t="shared" si="22"/>
        <v/>
      </c>
      <c r="DL10" s="7" t="str">
        <f t="shared" si="22"/>
        <v/>
      </c>
      <c r="DM10" s="7" t="str">
        <f t="shared" si="22"/>
        <v/>
      </c>
      <c r="DN10" s="7" t="str">
        <f t="shared" si="22"/>
        <v/>
      </c>
      <c r="DO10" s="7" t="str">
        <f t="shared" si="22"/>
        <v/>
      </c>
      <c r="DP10" s="7" t="str">
        <f t="shared" si="22"/>
        <v/>
      </c>
      <c r="DQ10" s="7" t="str">
        <f t="shared" si="22"/>
        <v/>
      </c>
      <c r="DR10" s="7" t="str">
        <f t="shared" si="22"/>
        <v/>
      </c>
      <c r="DS10" s="7" t="str">
        <f t="shared" si="22"/>
        <v/>
      </c>
      <c r="DT10" s="7" t="str">
        <f t="shared" ref="DT10:EY10" si="23">IFERROR(INDEX($W$13:$W$529,MATCH(SUM(DT$13:DT$527),DT$13:DT$527,0),1),"")</f>
        <v/>
      </c>
      <c r="DU10" s="7" t="str">
        <f t="shared" si="23"/>
        <v/>
      </c>
      <c r="DV10" s="7" t="str">
        <f t="shared" si="23"/>
        <v/>
      </c>
      <c r="DW10" s="7" t="str">
        <f t="shared" si="23"/>
        <v/>
      </c>
      <c r="DX10" s="7" t="str">
        <f t="shared" si="23"/>
        <v/>
      </c>
      <c r="DY10" s="7" t="str">
        <f t="shared" si="23"/>
        <v/>
      </c>
      <c r="DZ10" s="7" t="str">
        <f t="shared" si="23"/>
        <v/>
      </c>
      <c r="EA10" s="7" t="str">
        <f t="shared" si="23"/>
        <v/>
      </c>
      <c r="EB10" s="7" t="str">
        <f t="shared" si="23"/>
        <v/>
      </c>
      <c r="EC10" s="7" t="str">
        <f t="shared" si="23"/>
        <v/>
      </c>
      <c r="ED10" s="7" t="str">
        <f t="shared" si="23"/>
        <v/>
      </c>
      <c r="EE10" s="7" t="str">
        <f t="shared" si="23"/>
        <v/>
      </c>
      <c r="EF10" s="7" t="str">
        <f t="shared" si="23"/>
        <v/>
      </c>
      <c r="EG10" s="7" t="str">
        <f t="shared" si="23"/>
        <v/>
      </c>
      <c r="EH10" s="7" t="str">
        <f t="shared" si="23"/>
        <v/>
      </c>
      <c r="EI10" s="7" t="str">
        <f t="shared" si="23"/>
        <v/>
      </c>
      <c r="EJ10" s="7" t="str">
        <f t="shared" si="23"/>
        <v/>
      </c>
      <c r="EK10" s="7" t="str">
        <f t="shared" si="23"/>
        <v/>
      </c>
      <c r="EL10" s="7" t="str">
        <f t="shared" si="23"/>
        <v/>
      </c>
      <c r="EM10" s="7" t="str">
        <f t="shared" si="23"/>
        <v/>
      </c>
      <c r="EN10" s="7" t="str">
        <f t="shared" si="23"/>
        <v/>
      </c>
      <c r="EO10" s="7" t="str">
        <f t="shared" si="23"/>
        <v/>
      </c>
      <c r="EP10" s="7" t="str">
        <f t="shared" si="23"/>
        <v/>
      </c>
      <c r="EQ10" s="7" t="str">
        <f t="shared" si="23"/>
        <v/>
      </c>
      <c r="ER10" s="7" t="str">
        <f t="shared" si="23"/>
        <v/>
      </c>
      <c r="ES10" s="7" t="str">
        <f t="shared" si="23"/>
        <v/>
      </c>
      <c r="ET10" s="7" t="str">
        <f t="shared" si="23"/>
        <v/>
      </c>
      <c r="EU10" s="7" t="str">
        <f t="shared" si="23"/>
        <v/>
      </c>
      <c r="EV10" s="7" t="str">
        <f t="shared" si="23"/>
        <v/>
      </c>
      <c r="EW10" s="7" t="str">
        <f t="shared" si="23"/>
        <v/>
      </c>
      <c r="EX10" s="7" t="str">
        <f t="shared" si="23"/>
        <v/>
      </c>
      <c r="EY10" s="7" t="str">
        <f t="shared" si="23"/>
        <v/>
      </c>
      <c r="EZ10" s="7" t="str">
        <f t="shared" ref="EZ10:FE10" si="24">IFERROR(INDEX($W$13:$W$529,MATCH(SUM(EZ$13:EZ$527),EZ$13:EZ$527,0),1),"")</f>
        <v/>
      </c>
      <c r="FA10" s="7" t="str">
        <f t="shared" si="24"/>
        <v/>
      </c>
      <c r="FB10" s="7" t="str">
        <f t="shared" si="24"/>
        <v/>
      </c>
      <c r="FC10" s="7" t="str">
        <f t="shared" si="24"/>
        <v/>
      </c>
      <c r="FD10" s="7" t="str">
        <f t="shared" si="24"/>
        <v/>
      </c>
      <c r="FE10" s="7" t="str">
        <f t="shared" si="24"/>
        <v/>
      </c>
    </row>
    <row r="11" spans="2:161" ht="15" customHeight="1">
      <c r="B11" s="234"/>
      <c r="C11" s="174"/>
      <c r="D11" s="174"/>
      <c r="E11" s="174"/>
      <c r="F11" s="174"/>
      <c r="G11" s="174"/>
      <c r="H11" s="180"/>
      <c r="I11" s="183"/>
      <c r="J11" s="180"/>
      <c r="K11" s="180"/>
      <c r="L11" s="183"/>
      <c r="M11" s="180"/>
      <c r="N11" s="180"/>
      <c r="O11" s="183"/>
      <c r="P11" s="180"/>
      <c r="Q11" s="183"/>
      <c r="R11" s="191"/>
      <c r="S11" s="180"/>
      <c r="T11" s="180"/>
      <c r="U11" s="174"/>
      <c r="V11" s="180"/>
      <c r="W11" s="174"/>
      <c r="X11" s="174"/>
      <c r="Y11" s="174"/>
      <c r="Z11" s="174"/>
      <c r="AA11" s="174"/>
      <c r="AB11" s="177"/>
      <c r="AC11" s="58" t="s">
        <v>13</v>
      </c>
      <c r="AD11" s="7">
        <f t="shared" ref="AD11:CF11" si="25">IF(AD5="","",IF(AD10&gt;AD4,"프리타임기간내출고",IF(DATE(YEAR(AD4),MONTH(AD4),1)&gt;DATE(YEAR(AD10),MONTH(AD10),1),DATEDIF(($AA$2),(AD4)+1,"D"),DATEDIF(AD10,AD4+1,"D"))))</f>
        <v>1</v>
      </c>
      <c r="AE11" s="7">
        <f t="shared" si="25"/>
        <v>1</v>
      </c>
      <c r="AF11" s="7" t="str">
        <f t="shared" si="25"/>
        <v>프리타임기간내출고</v>
      </c>
      <c r="AG11" s="7" t="str">
        <f t="shared" si="25"/>
        <v>프리타임기간내출고</v>
      </c>
      <c r="AH11" s="7" t="str">
        <f t="shared" si="25"/>
        <v>프리타임기간내출고</v>
      </c>
      <c r="AI11" s="7">
        <f t="shared" si="25"/>
        <v>1</v>
      </c>
      <c r="AJ11" s="7">
        <f t="shared" si="25"/>
        <v>3</v>
      </c>
      <c r="AK11" s="7" t="str">
        <f t="shared" si="25"/>
        <v>프리타임기간내출고</v>
      </c>
      <c r="AL11" s="7">
        <f t="shared" si="25"/>
        <v>6</v>
      </c>
      <c r="AM11" s="7" t="str">
        <f t="shared" si="25"/>
        <v>프리타임기간내출고</v>
      </c>
      <c r="AN11" s="7">
        <f t="shared" si="25"/>
        <v>6</v>
      </c>
      <c r="AO11" s="7" t="str">
        <f t="shared" si="25"/>
        <v>프리타임기간내출고</v>
      </c>
      <c r="AP11" s="7">
        <f t="shared" si="25"/>
        <v>8</v>
      </c>
      <c r="AQ11" s="7">
        <f t="shared" si="25"/>
        <v>8</v>
      </c>
      <c r="AR11" s="7">
        <f t="shared" si="25"/>
        <v>10</v>
      </c>
      <c r="AS11" s="7">
        <f t="shared" si="25"/>
        <v>15</v>
      </c>
      <c r="AT11" s="7">
        <f t="shared" si="25"/>
        <v>16</v>
      </c>
      <c r="AU11" s="7">
        <f t="shared" si="25"/>
        <v>21</v>
      </c>
      <c r="AV11" s="7">
        <f t="shared" si="25"/>
        <v>21</v>
      </c>
      <c r="AW11" s="7" t="str">
        <f t="shared" si="25"/>
        <v>프리타임기간내출고</v>
      </c>
      <c r="AX11" s="7">
        <f t="shared" si="25"/>
        <v>21</v>
      </c>
      <c r="AY11" s="7">
        <f t="shared" si="25"/>
        <v>22</v>
      </c>
      <c r="AZ11" s="7">
        <f t="shared" si="25"/>
        <v>24</v>
      </c>
      <c r="BA11" s="7">
        <f t="shared" si="25"/>
        <v>27</v>
      </c>
      <c r="BB11" s="7">
        <f t="shared" si="25"/>
        <v>28</v>
      </c>
      <c r="BC11" s="7">
        <f t="shared" si="25"/>
        <v>11</v>
      </c>
      <c r="BD11" s="7">
        <f t="shared" si="25"/>
        <v>11</v>
      </c>
      <c r="BE11" s="7" t="str">
        <f t="shared" si="25"/>
        <v/>
      </c>
      <c r="BF11" s="7" t="str">
        <f t="shared" si="25"/>
        <v/>
      </c>
      <c r="BG11" s="7" t="str">
        <f t="shared" si="25"/>
        <v/>
      </c>
      <c r="BH11" s="7" t="str">
        <f t="shared" si="25"/>
        <v/>
      </c>
      <c r="BI11" s="7" t="str">
        <f t="shared" si="25"/>
        <v/>
      </c>
      <c r="BJ11" s="7" t="str">
        <f t="shared" si="25"/>
        <v/>
      </c>
      <c r="BK11" s="7" t="str">
        <f t="shared" si="25"/>
        <v/>
      </c>
      <c r="BL11" s="7" t="str">
        <f t="shared" si="25"/>
        <v/>
      </c>
      <c r="BM11" s="7" t="str">
        <f t="shared" si="25"/>
        <v/>
      </c>
      <c r="BN11" s="7" t="str">
        <f t="shared" si="25"/>
        <v/>
      </c>
      <c r="BO11" s="7" t="str">
        <f t="shared" si="25"/>
        <v/>
      </c>
      <c r="BP11" s="7" t="str">
        <f t="shared" si="25"/>
        <v/>
      </c>
      <c r="BQ11" s="7" t="str">
        <f t="shared" si="25"/>
        <v/>
      </c>
      <c r="BR11" s="7" t="str">
        <f t="shared" si="25"/>
        <v/>
      </c>
      <c r="BS11" s="7" t="str">
        <f t="shared" si="25"/>
        <v/>
      </c>
      <c r="BT11" s="7" t="str">
        <f t="shared" si="25"/>
        <v/>
      </c>
      <c r="BU11" s="7" t="str">
        <f t="shared" si="25"/>
        <v/>
      </c>
      <c r="BV11" s="7" t="str">
        <f t="shared" si="25"/>
        <v/>
      </c>
      <c r="BW11" s="7" t="str">
        <f t="shared" si="25"/>
        <v/>
      </c>
      <c r="BX11" s="7" t="str">
        <f t="shared" si="25"/>
        <v/>
      </c>
      <c r="BY11" s="7" t="str">
        <f t="shared" si="25"/>
        <v/>
      </c>
      <c r="BZ11" s="7" t="str">
        <f t="shared" si="25"/>
        <v/>
      </c>
      <c r="CA11" s="7" t="str">
        <f t="shared" si="25"/>
        <v/>
      </c>
      <c r="CB11" s="7" t="str">
        <f t="shared" si="25"/>
        <v/>
      </c>
      <c r="CC11" s="7" t="str">
        <f t="shared" si="25"/>
        <v/>
      </c>
      <c r="CD11" s="7" t="str">
        <f t="shared" si="25"/>
        <v/>
      </c>
      <c r="CE11" s="7" t="str">
        <f t="shared" si="25"/>
        <v/>
      </c>
      <c r="CF11" s="7" t="str">
        <f t="shared" si="25"/>
        <v/>
      </c>
      <c r="CG11" s="7" t="str">
        <f t="shared" ref="CG11:ER11" si="26">IF(CG5="","",IF(CG10&gt;CG4,"프리타임기간내출고",IF(DATE(YEAR(CG4),MONTH(CG4),1)&gt;DATE(YEAR(CG10),MONTH(CG10),1),DATEDIF(($AA$2),(CG4)+1,"D"),DATEDIF(CG10,CG4+1,"D"))))</f>
        <v/>
      </c>
      <c r="CH11" s="7" t="str">
        <f t="shared" si="26"/>
        <v/>
      </c>
      <c r="CI11" s="7" t="str">
        <f t="shared" si="26"/>
        <v/>
      </c>
      <c r="CJ11" s="7" t="str">
        <f t="shared" si="26"/>
        <v/>
      </c>
      <c r="CK11" s="7" t="str">
        <f t="shared" si="26"/>
        <v/>
      </c>
      <c r="CL11" s="7" t="str">
        <f t="shared" si="26"/>
        <v/>
      </c>
      <c r="CM11" s="7" t="str">
        <f t="shared" si="26"/>
        <v/>
      </c>
      <c r="CN11" s="7" t="str">
        <f t="shared" si="26"/>
        <v/>
      </c>
      <c r="CO11" s="7" t="str">
        <f t="shared" si="26"/>
        <v/>
      </c>
      <c r="CP11" s="7" t="str">
        <f t="shared" si="26"/>
        <v/>
      </c>
      <c r="CQ11" s="7" t="str">
        <f t="shared" si="26"/>
        <v/>
      </c>
      <c r="CR11" s="7" t="str">
        <f t="shared" si="26"/>
        <v/>
      </c>
      <c r="CS11" s="7" t="str">
        <f t="shared" si="26"/>
        <v/>
      </c>
      <c r="CT11" s="7" t="str">
        <f t="shared" si="26"/>
        <v/>
      </c>
      <c r="CU11" s="7" t="str">
        <f t="shared" si="26"/>
        <v/>
      </c>
      <c r="CV11" s="7" t="str">
        <f t="shared" si="26"/>
        <v/>
      </c>
      <c r="CW11" s="7" t="str">
        <f t="shared" si="26"/>
        <v/>
      </c>
      <c r="CX11" s="7" t="str">
        <f t="shared" si="26"/>
        <v/>
      </c>
      <c r="CY11" s="7" t="str">
        <f t="shared" si="26"/>
        <v/>
      </c>
      <c r="CZ11" s="7" t="str">
        <f t="shared" si="26"/>
        <v/>
      </c>
      <c r="DA11" s="7" t="str">
        <f t="shared" si="26"/>
        <v/>
      </c>
      <c r="DB11" s="7" t="str">
        <f t="shared" si="26"/>
        <v/>
      </c>
      <c r="DC11" s="7" t="str">
        <f t="shared" si="26"/>
        <v/>
      </c>
      <c r="DD11" s="7" t="str">
        <f t="shared" si="26"/>
        <v/>
      </c>
      <c r="DE11" s="7" t="str">
        <f t="shared" si="26"/>
        <v/>
      </c>
      <c r="DF11" s="7" t="str">
        <f t="shared" si="26"/>
        <v/>
      </c>
      <c r="DG11" s="7" t="str">
        <f t="shared" si="26"/>
        <v/>
      </c>
      <c r="DH11" s="7" t="str">
        <f t="shared" si="26"/>
        <v/>
      </c>
      <c r="DI11" s="7" t="str">
        <f t="shared" si="26"/>
        <v/>
      </c>
      <c r="DJ11" s="7" t="str">
        <f t="shared" si="26"/>
        <v/>
      </c>
      <c r="DK11" s="7" t="str">
        <f t="shared" si="26"/>
        <v/>
      </c>
      <c r="DL11" s="7" t="str">
        <f t="shared" si="26"/>
        <v/>
      </c>
      <c r="DM11" s="7" t="str">
        <f t="shared" si="26"/>
        <v/>
      </c>
      <c r="DN11" s="7" t="str">
        <f t="shared" si="26"/>
        <v/>
      </c>
      <c r="DO11" s="7" t="str">
        <f t="shared" si="26"/>
        <v/>
      </c>
      <c r="DP11" s="7" t="str">
        <f t="shared" si="26"/>
        <v/>
      </c>
      <c r="DQ11" s="7" t="str">
        <f t="shared" si="26"/>
        <v/>
      </c>
      <c r="DR11" s="7" t="str">
        <f t="shared" si="26"/>
        <v/>
      </c>
      <c r="DS11" s="7" t="str">
        <f t="shared" si="26"/>
        <v/>
      </c>
      <c r="DT11" s="7" t="str">
        <f t="shared" si="26"/>
        <v/>
      </c>
      <c r="DU11" s="7" t="str">
        <f t="shared" si="26"/>
        <v/>
      </c>
      <c r="DV11" s="7" t="str">
        <f t="shared" si="26"/>
        <v/>
      </c>
      <c r="DW11" s="7" t="str">
        <f t="shared" si="26"/>
        <v/>
      </c>
      <c r="DX11" s="7" t="str">
        <f t="shared" si="26"/>
        <v/>
      </c>
      <c r="DY11" s="7" t="str">
        <f t="shared" si="26"/>
        <v/>
      </c>
      <c r="DZ11" s="7" t="str">
        <f t="shared" si="26"/>
        <v/>
      </c>
      <c r="EA11" s="7" t="str">
        <f t="shared" si="26"/>
        <v/>
      </c>
      <c r="EB11" s="7" t="str">
        <f t="shared" si="26"/>
        <v/>
      </c>
      <c r="EC11" s="7" t="str">
        <f t="shared" si="26"/>
        <v/>
      </c>
      <c r="ED11" s="7" t="str">
        <f t="shared" si="26"/>
        <v/>
      </c>
      <c r="EE11" s="7" t="str">
        <f t="shared" si="26"/>
        <v/>
      </c>
      <c r="EF11" s="7" t="str">
        <f t="shared" si="26"/>
        <v/>
      </c>
      <c r="EG11" s="7" t="str">
        <f t="shared" si="26"/>
        <v/>
      </c>
      <c r="EH11" s="7" t="str">
        <f t="shared" si="26"/>
        <v/>
      </c>
      <c r="EI11" s="7" t="str">
        <f t="shared" si="26"/>
        <v/>
      </c>
      <c r="EJ11" s="7" t="str">
        <f t="shared" si="26"/>
        <v/>
      </c>
      <c r="EK11" s="7" t="str">
        <f t="shared" si="26"/>
        <v/>
      </c>
      <c r="EL11" s="7" t="str">
        <f t="shared" si="26"/>
        <v/>
      </c>
      <c r="EM11" s="7" t="str">
        <f t="shared" si="26"/>
        <v/>
      </c>
      <c r="EN11" s="7" t="str">
        <f t="shared" si="26"/>
        <v/>
      </c>
      <c r="EO11" s="7" t="str">
        <f t="shared" si="26"/>
        <v/>
      </c>
      <c r="EP11" s="7" t="str">
        <f t="shared" si="26"/>
        <v/>
      </c>
      <c r="EQ11" s="7" t="str">
        <f t="shared" si="26"/>
        <v/>
      </c>
      <c r="ER11" s="7" t="str">
        <f t="shared" si="26"/>
        <v/>
      </c>
      <c r="ES11" s="7" t="str">
        <f t="shared" ref="ES11:FE11" si="27">IF(ES5="","",IF(ES10&gt;ES4,"프리타임기간내출고",IF(DATE(YEAR(ES4),MONTH(ES4),1)&gt;DATE(YEAR(ES10),MONTH(ES10),1),DATEDIF(($AA$2),(ES4)+1,"D"),DATEDIF(ES10,ES4+1,"D"))))</f>
        <v/>
      </c>
      <c r="ET11" s="7" t="str">
        <f t="shared" si="27"/>
        <v/>
      </c>
      <c r="EU11" s="7" t="str">
        <f t="shared" si="27"/>
        <v/>
      </c>
      <c r="EV11" s="7" t="str">
        <f t="shared" si="27"/>
        <v/>
      </c>
      <c r="EW11" s="7" t="str">
        <f t="shared" si="27"/>
        <v/>
      </c>
      <c r="EX11" s="7" t="str">
        <f t="shared" si="27"/>
        <v/>
      </c>
      <c r="EY11" s="7" t="str">
        <f t="shared" si="27"/>
        <v/>
      </c>
      <c r="EZ11" s="7" t="str">
        <f t="shared" si="27"/>
        <v/>
      </c>
      <c r="FA11" s="7" t="str">
        <f t="shared" si="27"/>
        <v/>
      </c>
      <c r="FB11" s="7" t="str">
        <f t="shared" si="27"/>
        <v/>
      </c>
      <c r="FC11" s="7" t="str">
        <f t="shared" si="27"/>
        <v/>
      </c>
      <c r="FD11" s="7" t="str">
        <f t="shared" si="27"/>
        <v/>
      </c>
      <c r="FE11" s="7" t="str">
        <f t="shared" si="27"/>
        <v/>
      </c>
    </row>
    <row r="12" spans="2:161" ht="15" customHeight="1" thickBot="1">
      <c r="B12" s="235"/>
      <c r="C12" s="232"/>
      <c r="D12" s="232"/>
      <c r="E12" s="232"/>
      <c r="F12" s="232"/>
      <c r="G12" s="232"/>
      <c r="H12" s="202"/>
      <c r="I12" s="236"/>
      <c r="J12" s="202"/>
      <c r="K12" s="202"/>
      <c r="L12" s="236"/>
      <c r="M12" s="202"/>
      <c r="N12" s="202"/>
      <c r="O12" s="236"/>
      <c r="P12" s="202"/>
      <c r="Q12" s="236"/>
      <c r="R12" s="192"/>
      <c r="S12" s="202"/>
      <c r="T12" s="202"/>
      <c r="U12" s="232"/>
      <c r="V12" s="202"/>
      <c r="W12" s="232"/>
      <c r="X12" s="232"/>
      <c r="Y12" s="232"/>
      <c r="Z12" s="232"/>
      <c r="AA12" s="232"/>
      <c r="AB12" s="237"/>
      <c r="AC12" s="58" t="s">
        <v>14</v>
      </c>
      <c r="AD12" s="7">
        <f>IFERROR(IF(AD9="분할출고",AD8*200,AD11*AD9*(INDEX($Y$13:$Y$529,MATCH(SUM(AD$13:AD$527),AD$13:AD$527,0),1))),"")</f>
        <v>2700</v>
      </c>
      <c r="AE12" s="7">
        <f>IFERROR(IF(AE9="분할출고",AE8*200,AE11*AE9*(INDEX($Y$13:$Y$529,MATCH(SUM(AE$13:AE$527),AE$13:AE$527,0),1))),"")</f>
        <v>1800</v>
      </c>
      <c r="AF12" s="7" t="str">
        <f>IFERROR(IF(AF9="분할출고",AF8*200,AF11*AF9*(INDEX($Y$13:$Y$529,MATCH(SUM(AF$13:AF$527),AF$13:AF$527,0),1))),"")</f>
        <v/>
      </c>
      <c r="AG12" s="7" t="str">
        <f>IFERROR(IF(AG9="분할출고",AG8*200,AG11*AG9*(INDEX($Y$13:$Y$529,MATCH(SUM(AG$13:AG$527),AG$13:AG$527,0),1))),"")</f>
        <v/>
      </c>
      <c r="AH12" s="7">
        <v>10000</v>
      </c>
      <c r="AI12" s="7">
        <f t="shared" ref="AI12:BL12" si="28">IFERROR(IF(AI9="분할출고",AI8*200,AI11*AI9*(INDEX($Y$13:$Y$529,MATCH(SUM(AI$13:AI$527),AI$13:AI$527,0),1))),"")</f>
        <v>6300</v>
      </c>
      <c r="AJ12" s="7">
        <f t="shared" si="28"/>
        <v>8100</v>
      </c>
      <c r="AK12" s="7" t="str">
        <f t="shared" si="28"/>
        <v/>
      </c>
      <c r="AL12" s="7">
        <f t="shared" si="28"/>
        <v>5400</v>
      </c>
      <c r="AM12" s="7" t="str">
        <f t="shared" si="28"/>
        <v/>
      </c>
      <c r="AN12" s="7">
        <f t="shared" si="28"/>
        <v>8100</v>
      </c>
      <c r="AO12" s="7" t="str">
        <f t="shared" si="28"/>
        <v/>
      </c>
      <c r="AP12" s="7">
        <f t="shared" si="28"/>
        <v>14400</v>
      </c>
      <c r="AQ12" s="7">
        <f t="shared" si="28"/>
        <v>7200</v>
      </c>
      <c r="AR12" s="7">
        <f t="shared" si="28"/>
        <v>18000</v>
      </c>
      <c r="AS12" s="7">
        <f t="shared" si="28"/>
        <v>40500</v>
      </c>
      <c r="AT12" s="7">
        <f t="shared" si="28"/>
        <v>28800</v>
      </c>
      <c r="AU12" s="7">
        <f t="shared" si="28"/>
        <v>9450</v>
      </c>
      <c r="AV12" s="7">
        <f t="shared" si="28"/>
        <v>28350</v>
      </c>
      <c r="AW12" s="7" t="str">
        <f t="shared" si="28"/>
        <v/>
      </c>
      <c r="AX12" s="7">
        <f t="shared" si="28"/>
        <v>56700</v>
      </c>
      <c r="AY12" s="7">
        <f t="shared" si="28"/>
        <v>19800</v>
      </c>
      <c r="AZ12" s="7">
        <f t="shared" si="28"/>
        <v>54000</v>
      </c>
      <c r="BA12" s="7">
        <f t="shared" si="28"/>
        <v>109350</v>
      </c>
      <c r="BB12" s="7">
        <f t="shared" si="28"/>
        <v>37800</v>
      </c>
      <c r="BC12" s="7">
        <f t="shared" si="28"/>
        <v>9900</v>
      </c>
      <c r="BD12" s="7">
        <f t="shared" si="28"/>
        <v>4950</v>
      </c>
      <c r="BE12" s="7" t="str">
        <f t="shared" si="28"/>
        <v/>
      </c>
      <c r="BF12" s="7" t="str">
        <f t="shared" si="28"/>
        <v/>
      </c>
      <c r="BG12" s="7" t="str">
        <f t="shared" si="28"/>
        <v/>
      </c>
      <c r="BH12" s="7" t="str">
        <f t="shared" si="28"/>
        <v/>
      </c>
      <c r="BI12" s="7" t="str">
        <f t="shared" si="28"/>
        <v/>
      </c>
      <c r="BJ12" s="7" t="str">
        <f t="shared" si="28"/>
        <v/>
      </c>
      <c r="BK12" s="7" t="str">
        <f t="shared" si="28"/>
        <v/>
      </c>
      <c r="BL12" s="7" t="str">
        <f t="shared" si="28"/>
        <v/>
      </c>
      <c r="BM12" s="7" t="str">
        <f t="shared" ref="BM12:CR12" si="29">IFERROR(IF(BM9="분할출고",BM8*200,BM11*BM9*(INDEX($Y$13:$Y$529,MATCH(SUM(BM$13:BM$527),BM$13:BM$527,0),1))),"")</f>
        <v/>
      </c>
      <c r="BN12" s="7" t="str">
        <f t="shared" si="29"/>
        <v/>
      </c>
      <c r="BO12" s="7" t="str">
        <f t="shared" si="29"/>
        <v/>
      </c>
      <c r="BP12" s="7" t="str">
        <f t="shared" si="29"/>
        <v/>
      </c>
      <c r="BQ12" s="7" t="str">
        <f t="shared" si="29"/>
        <v/>
      </c>
      <c r="BR12" s="7" t="str">
        <f t="shared" si="29"/>
        <v/>
      </c>
      <c r="BS12" s="7" t="str">
        <f t="shared" si="29"/>
        <v/>
      </c>
      <c r="BT12" s="7" t="str">
        <f t="shared" si="29"/>
        <v/>
      </c>
      <c r="BU12" s="7" t="str">
        <f t="shared" si="29"/>
        <v/>
      </c>
      <c r="BV12" s="7" t="str">
        <f t="shared" si="29"/>
        <v/>
      </c>
      <c r="BW12" s="7" t="str">
        <f t="shared" si="29"/>
        <v/>
      </c>
      <c r="BX12" s="7" t="str">
        <f t="shared" si="29"/>
        <v/>
      </c>
      <c r="BY12" s="7" t="str">
        <f t="shared" si="29"/>
        <v/>
      </c>
      <c r="BZ12" s="7" t="str">
        <f t="shared" si="29"/>
        <v/>
      </c>
      <c r="CA12" s="7" t="str">
        <f t="shared" si="29"/>
        <v/>
      </c>
      <c r="CB12" s="7" t="str">
        <f t="shared" si="29"/>
        <v/>
      </c>
      <c r="CC12" s="7" t="str">
        <f t="shared" si="29"/>
        <v/>
      </c>
      <c r="CD12" s="7" t="str">
        <f t="shared" si="29"/>
        <v/>
      </c>
      <c r="CE12" s="7" t="str">
        <f t="shared" si="29"/>
        <v/>
      </c>
      <c r="CF12" s="7" t="str">
        <f t="shared" si="29"/>
        <v/>
      </c>
      <c r="CG12" s="7" t="str">
        <f t="shared" si="29"/>
        <v/>
      </c>
      <c r="CH12" s="7" t="str">
        <f t="shared" si="29"/>
        <v/>
      </c>
      <c r="CI12" s="7" t="str">
        <f t="shared" si="29"/>
        <v/>
      </c>
      <c r="CJ12" s="7" t="str">
        <f t="shared" si="29"/>
        <v/>
      </c>
      <c r="CK12" s="7" t="str">
        <f t="shared" si="29"/>
        <v/>
      </c>
      <c r="CL12" s="7" t="str">
        <f t="shared" si="29"/>
        <v/>
      </c>
      <c r="CM12" s="7" t="str">
        <f t="shared" si="29"/>
        <v/>
      </c>
      <c r="CN12" s="7" t="str">
        <f t="shared" si="29"/>
        <v/>
      </c>
      <c r="CO12" s="7" t="str">
        <f t="shared" si="29"/>
        <v/>
      </c>
      <c r="CP12" s="7" t="str">
        <f t="shared" si="29"/>
        <v/>
      </c>
      <c r="CQ12" s="7" t="str">
        <f t="shared" si="29"/>
        <v/>
      </c>
      <c r="CR12" s="7" t="str">
        <f t="shared" si="29"/>
        <v/>
      </c>
      <c r="CS12" s="7" t="str">
        <f t="shared" ref="CS12:DX12" si="30">IFERROR(IF(CS9="분할출고",CS8*200,CS11*CS9*(INDEX($Y$13:$Y$529,MATCH(SUM(CS$13:CS$527),CS$13:CS$527,0),1))),"")</f>
        <v/>
      </c>
      <c r="CT12" s="7" t="str">
        <f t="shared" si="30"/>
        <v/>
      </c>
      <c r="CU12" s="7" t="str">
        <f t="shared" si="30"/>
        <v/>
      </c>
      <c r="CV12" s="7" t="str">
        <f t="shared" si="30"/>
        <v/>
      </c>
      <c r="CW12" s="7" t="str">
        <f t="shared" si="30"/>
        <v/>
      </c>
      <c r="CX12" s="7" t="str">
        <f t="shared" si="30"/>
        <v/>
      </c>
      <c r="CY12" s="7" t="str">
        <f t="shared" si="30"/>
        <v/>
      </c>
      <c r="CZ12" s="7" t="str">
        <f t="shared" si="30"/>
        <v/>
      </c>
      <c r="DA12" s="7" t="str">
        <f t="shared" si="30"/>
        <v/>
      </c>
      <c r="DB12" s="7" t="str">
        <f t="shared" si="30"/>
        <v/>
      </c>
      <c r="DC12" s="7" t="str">
        <f t="shared" si="30"/>
        <v/>
      </c>
      <c r="DD12" s="7" t="str">
        <f t="shared" si="30"/>
        <v/>
      </c>
      <c r="DE12" s="7" t="str">
        <f t="shared" si="30"/>
        <v/>
      </c>
      <c r="DF12" s="7" t="str">
        <f t="shared" si="30"/>
        <v/>
      </c>
      <c r="DG12" s="7" t="str">
        <f t="shared" si="30"/>
        <v/>
      </c>
      <c r="DH12" s="7" t="str">
        <f t="shared" si="30"/>
        <v/>
      </c>
      <c r="DI12" s="7" t="str">
        <f t="shared" si="30"/>
        <v/>
      </c>
      <c r="DJ12" s="7" t="str">
        <f t="shared" si="30"/>
        <v/>
      </c>
      <c r="DK12" s="7" t="str">
        <f t="shared" si="30"/>
        <v/>
      </c>
      <c r="DL12" s="7" t="str">
        <f t="shared" si="30"/>
        <v/>
      </c>
      <c r="DM12" s="7" t="str">
        <f t="shared" si="30"/>
        <v/>
      </c>
      <c r="DN12" s="7" t="str">
        <f t="shared" si="30"/>
        <v/>
      </c>
      <c r="DO12" s="7" t="str">
        <f t="shared" si="30"/>
        <v/>
      </c>
      <c r="DP12" s="7" t="str">
        <f t="shared" si="30"/>
        <v/>
      </c>
      <c r="DQ12" s="7" t="str">
        <f t="shared" si="30"/>
        <v/>
      </c>
      <c r="DR12" s="7" t="str">
        <f t="shared" si="30"/>
        <v/>
      </c>
      <c r="DS12" s="7" t="str">
        <f t="shared" si="30"/>
        <v/>
      </c>
      <c r="DT12" s="7" t="str">
        <f t="shared" si="30"/>
        <v/>
      </c>
      <c r="DU12" s="7" t="str">
        <f t="shared" si="30"/>
        <v/>
      </c>
      <c r="DV12" s="7" t="str">
        <f t="shared" si="30"/>
        <v/>
      </c>
      <c r="DW12" s="7" t="str">
        <f t="shared" si="30"/>
        <v/>
      </c>
      <c r="DX12" s="7" t="str">
        <f t="shared" si="30"/>
        <v/>
      </c>
      <c r="DY12" s="7" t="str">
        <f t="shared" ref="DY12:FD12" si="31">IFERROR(IF(DY9="분할출고",DY8*200,DY11*DY9*(INDEX($Y$13:$Y$529,MATCH(SUM(DY$13:DY$527),DY$13:DY$527,0),1))),"")</f>
        <v/>
      </c>
      <c r="DZ12" s="7" t="str">
        <f t="shared" si="31"/>
        <v/>
      </c>
      <c r="EA12" s="7" t="str">
        <f t="shared" si="31"/>
        <v/>
      </c>
      <c r="EB12" s="7" t="str">
        <f t="shared" si="31"/>
        <v/>
      </c>
      <c r="EC12" s="7" t="str">
        <f t="shared" si="31"/>
        <v/>
      </c>
      <c r="ED12" s="7" t="str">
        <f t="shared" si="31"/>
        <v/>
      </c>
      <c r="EE12" s="7" t="str">
        <f t="shared" si="31"/>
        <v/>
      </c>
      <c r="EF12" s="7" t="str">
        <f t="shared" si="31"/>
        <v/>
      </c>
      <c r="EG12" s="7" t="str">
        <f t="shared" si="31"/>
        <v/>
      </c>
      <c r="EH12" s="7" t="str">
        <f t="shared" si="31"/>
        <v/>
      </c>
      <c r="EI12" s="7" t="str">
        <f t="shared" si="31"/>
        <v/>
      </c>
      <c r="EJ12" s="7" t="str">
        <f t="shared" si="31"/>
        <v/>
      </c>
      <c r="EK12" s="7" t="str">
        <f t="shared" si="31"/>
        <v/>
      </c>
      <c r="EL12" s="7" t="str">
        <f t="shared" si="31"/>
        <v/>
      </c>
      <c r="EM12" s="7" t="str">
        <f t="shared" si="31"/>
        <v/>
      </c>
      <c r="EN12" s="7" t="str">
        <f t="shared" si="31"/>
        <v/>
      </c>
      <c r="EO12" s="7" t="str">
        <f t="shared" si="31"/>
        <v/>
      </c>
      <c r="EP12" s="7" t="str">
        <f t="shared" si="31"/>
        <v/>
      </c>
      <c r="EQ12" s="7" t="str">
        <f t="shared" si="31"/>
        <v/>
      </c>
      <c r="ER12" s="7" t="str">
        <f t="shared" si="31"/>
        <v/>
      </c>
      <c r="ES12" s="7" t="str">
        <f t="shared" si="31"/>
        <v/>
      </c>
      <c r="ET12" s="7" t="str">
        <f t="shared" si="31"/>
        <v/>
      </c>
      <c r="EU12" s="7" t="str">
        <f t="shared" si="31"/>
        <v/>
      </c>
      <c r="EV12" s="7" t="str">
        <f t="shared" si="31"/>
        <v/>
      </c>
      <c r="EW12" s="7" t="str">
        <f t="shared" si="31"/>
        <v/>
      </c>
      <c r="EX12" s="7" t="str">
        <f t="shared" si="31"/>
        <v/>
      </c>
      <c r="EY12" s="7" t="str">
        <f t="shared" si="31"/>
        <v/>
      </c>
      <c r="EZ12" s="7" t="str">
        <f t="shared" si="31"/>
        <v/>
      </c>
      <c r="FA12" s="7" t="str">
        <f t="shared" si="31"/>
        <v/>
      </c>
      <c r="FB12" s="7" t="str">
        <f t="shared" si="31"/>
        <v/>
      </c>
      <c r="FC12" s="7" t="str">
        <f t="shared" si="31"/>
        <v/>
      </c>
      <c r="FD12" s="7" t="str">
        <f t="shared" si="31"/>
        <v/>
      </c>
      <c r="FE12" s="7" t="str">
        <f t="shared" ref="FE12" si="32">IFERROR(IF(FE9="분할출고",FE8*200,FE11*FE9*(INDEX($Y$13:$Y$529,MATCH(SUM(FE$13:FE$527),FE$13:FE$527,0),1))),"")</f>
        <v/>
      </c>
    </row>
    <row r="13" spans="2:161" ht="20.100000000000001" customHeight="1" thickTop="1">
      <c r="B13" s="127">
        <v>43106</v>
      </c>
      <c r="C13" s="13" t="s">
        <v>117</v>
      </c>
      <c r="D13" s="78" t="s">
        <v>15</v>
      </c>
      <c r="E13" s="13" t="str">
        <f>C13&amp;G13</f>
        <v>COSU4004784830SP2102C</v>
      </c>
      <c r="F13" s="78" t="s">
        <v>118</v>
      </c>
      <c r="G13" s="13" t="s">
        <v>119</v>
      </c>
      <c r="H13" s="32">
        <v>51</v>
      </c>
      <c r="I13" s="41">
        <f>ROUNDUP((H13/V13),0)</f>
        <v>1</v>
      </c>
      <c r="J13" s="29">
        <v>0</v>
      </c>
      <c r="K13" s="29">
        <v>0</v>
      </c>
      <c r="L13" s="41">
        <f>ROUNDUP((K13/V13),0)</f>
        <v>0</v>
      </c>
      <c r="M13" s="29">
        <v>0</v>
      </c>
      <c r="N13" s="80">
        <f t="shared" ref="N13:N16" si="33">P13-K13</f>
        <v>2</v>
      </c>
      <c r="O13" s="44">
        <f>ROUNDUP((N13/V13),0)</f>
        <v>1</v>
      </c>
      <c r="P13" s="80">
        <f t="shared" ref="P13:P16" si="34">H13-T13-J13</f>
        <v>2</v>
      </c>
      <c r="Q13" s="44">
        <f t="shared" ref="Q13:Q16" si="35">L13+O13</f>
        <v>1</v>
      </c>
      <c r="R13" s="79">
        <v>49</v>
      </c>
      <c r="S13" s="29">
        <f t="shared" ref="S13:S39" si="36">SUM(AD13:MP13)</f>
        <v>0</v>
      </c>
      <c r="T13" s="29">
        <f t="shared" ref="T13:T16" si="37">R13+S13+M13</f>
        <v>49</v>
      </c>
      <c r="U13" s="14"/>
      <c r="V13" s="51">
        <v>55</v>
      </c>
      <c r="W13" s="9">
        <f t="shared" ref="W13:W16" si="38">B13+X13</f>
        <v>43113</v>
      </c>
      <c r="X13" s="11">
        <v>7</v>
      </c>
      <c r="Y13" s="12">
        <v>450</v>
      </c>
      <c r="Z13" s="2">
        <f t="shared" ref="Z13:Z39" si="39">SUMIF($AD$6:$DB$6,E13,$AD$12:$DS$12)</f>
        <v>0</v>
      </c>
      <c r="AA13" s="2">
        <f t="shared" ref="AA13:AA16" ca="1" si="40">IF(W13&gt;TODAY(),"프리타임기간중",Q13*Y13*IF(DATE(YEAR(W13),MONTH(W13),1)&lt;DATE(YEAR($AA$2),MONTH($AA$2),1),DATEDIF($AA$2,$AA$3,"D")+1,DATEDIF(W13,$AA$3+1,"d")))</f>
        <v>13950</v>
      </c>
      <c r="AB13" s="2">
        <f t="shared" ref="AB13:AB16" ca="1" si="41">IFERROR(Z13+AA13,"")</f>
        <v>13950</v>
      </c>
    </row>
    <row r="14" spans="2:161" ht="20.100000000000001" customHeight="1">
      <c r="B14" s="9">
        <v>44489</v>
      </c>
      <c r="C14" s="15" t="s">
        <v>120</v>
      </c>
      <c r="D14" s="79" t="s">
        <v>121</v>
      </c>
      <c r="E14" s="13" t="str">
        <f t="shared" ref="E14:E16" si="42">C14&amp;F14</f>
        <v>MAEU608606454AE1422RE4</v>
      </c>
      <c r="F14" s="79" t="s">
        <v>122</v>
      </c>
      <c r="G14" s="78" t="s">
        <v>123</v>
      </c>
      <c r="H14" s="32">
        <v>880</v>
      </c>
      <c r="I14" s="41">
        <f t="shared" ref="I14:I19" si="43">ROUNDUP((H14/V14),0)</f>
        <v>16</v>
      </c>
      <c r="J14" s="29">
        <v>0</v>
      </c>
      <c r="K14" s="29">
        <v>0</v>
      </c>
      <c r="L14" s="41">
        <v>0</v>
      </c>
      <c r="M14" s="29">
        <v>0</v>
      </c>
      <c r="N14" s="80">
        <f t="shared" si="33"/>
        <v>2</v>
      </c>
      <c r="O14" s="44">
        <f t="shared" ref="O14:O19" si="44">ROUNDUP((N14/V14),0)</f>
        <v>1</v>
      </c>
      <c r="P14" s="80">
        <f t="shared" si="34"/>
        <v>2</v>
      </c>
      <c r="Q14" s="44">
        <f t="shared" si="35"/>
        <v>1</v>
      </c>
      <c r="R14" s="29">
        <v>878</v>
      </c>
      <c r="S14" s="29">
        <f t="shared" si="36"/>
        <v>0</v>
      </c>
      <c r="T14" s="29">
        <f t="shared" si="37"/>
        <v>878</v>
      </c>
      <c r="U14" s="8"/>
      <c r="V14" s="29">
        <v>55</v>
      </c>
      <c r="W14" s="9">
        <f t="shared" si="38"/>
        <v>44496</v>
      </c>
      <c r="X14" s="11">
        <v>7</v>
      </c>
      <c r="Y14" s="12">
        <v>450</v>
      </c>
      <c r="Z14" s="2">
        <f t="shared" si="39"/>
        <v>0</v>
      </c>
      <c r="AA14" s="2">
        <f t="shared" ca="1" si="40"/>
        <v>13950</v>
      </c>
      <c r="AB14" s="2">
        <f t="shared" ca="1" si="41"/>
        <v>13950</v>
      </c>
    </row>
    <row r="15" spans="2:161" ht="20.100000000000001" customHeight="1">
      <c r="B15" s="9">
        <v>44705</v>
      </c>
      <c r="C15" s="15" t="s">
        <v>128</v>
      </c>
      <c r="D15" s="79" t="s">
        <v>129</v>
      </c>
      <c r="E15" s="13" t="str">
        <f t="shared" si="42"/>
        <v>ONEYANRC05741400BB1222RA1</v>
      </c>
      <c r="F15" s="79" t="s">
        <v>130</v>
      </c>
      <c r="G15" s="78" t="s">
        <v>98</v>
      </c>
      <c r="H15" s="32">
        <v>330</v>
      </c>
      <c r="I15" s="41">
        <f t="shared" si="43"/>
        <v>6</v>
      </c>
      <c r="J15" s="29">
        <v>0</v>
      </c>
      <c r="K15" s="29">
        <v>1</v>
      </c>
      <c r="L15" s="41">
        <v>0</v>
      </c>
      <c r="M15" s="29">
        <v>0</v>
      </c>
      <c r="N15" s="80">
        <f t="shared" si="33"/>
        <v>0</v>
      </c>
      <c r="O15" s="44">
        <f t="shared" si="44"/>
        <v>0</v>
      </c>
      <c r="P15" s="80">
        <f t="shared" si="34"/>
        <v>1</v>
      </c>
      <c r="Q15" s="44">
        <f t="shared" si="35"/>
        <v>0</v>
      </c>
      <c r="R15" s="29">
        <v>329</v>
      </c>
      <c r="S15" s="29">
        <f t="shared" si="36"/>
        <v>0</v>
      </c>
      <c r="T15" s="29">
        <f t="shared" si="37"/>
        <v>329</v>
      </c>
      <c r="U15" s="8"/>
      <c r="V15" s="29">
        <v>55</v>
      </c>
      <c r="W15" s="9">
        <f t="shared" si="38"/>
        <v>44712</v>
      </c>
      <c r="X15" s="11">
        <v>7</v>
      </c>
      <c r="Y15" s="12">
        <v>450</v>
      </c>
      <c r="Z15" s="2">
        <f t="shared" si="39"/>
        <v>0</v>
      </c>
      <c r="AA15" s="2">
        <f t="shared" ca="1" si="40"/>
        <v>0</v>
      </c>
      <c r="AB15" s="2">
        <f t="shared" ca="1" si="41"/>
        <v>0</v>
      </c>
    </row>
    <row r="16" spans="2:161" ht="20.100000000000001" customHeight="1">
      <c r="B16" s="9">
        <v>44832</v>
      </c>
      <c r="C16" s="15" t="s">
        <v>144</v>
      </c>
      <c r="D16" s="79" t="s">
        <v>144</v>
      </c>
      <c r="E16" s="13" t="str">
        <f t="shared" si="42"/>
        <v>F2-220928XA2124BA8</v>
      </c>
      <c r="F16" s="79" t="s">
        <v>145</v>
      </c>
      <c r="G16" s="78" t="s">
        <v>146</v>
      </c>
      <c r="H16" s="32">
        <v>4</v>
      </c>
      <c r="I16" s="41">
        <f t="shared" si="43"/>
        <v>1</v>
      </c>
      <c r="J16" s="29">
        <v>0</v>
      </c>
      <c r="K16" s="29">
        <v>0</v>
      </c>
      <c r="L16" s="41">
        <v>0</v>
      </c>
      <c r="M16" s="29">
        <v>0</v>
      </c>
      <c r="N16" s="80">
        <f t="shared" si="33"/>
        <v>2</v>
      </c>
      <c r="O16" s="44">
        <f t="shared" si="44"/>
        <v>1</v>
      </c>
      <c r="P16" s="80">
        <f t="shared" si="34"/>
        <v>2</v>
      </c>
      <c r="Q16" s="44">
        <f t="shared" si="35"/>
        <v>1</v>
      </c>
      <c r="R16" s="29">
        <v>2</v>
      </c>
      <c r="S16" s="29">
        <f t="shared" si="36"/>
        <v>0</v>
      </c>
      <c r="T16" s="29">
        <f t="shared" si="37"/>
        <v>2</v>
      </c>
      <c r="U16" s="8"/>
      <c r="V16" s="29">
        <v>4</v>
      </c>
      <c r="W16" s="9">
        <f t="shared" si="38"/>
        <v>44839</v>
      </c>
      <c r="X16" s="11">
        <v>7</v>
      </c>
      <c r="Y16" s="12">
        <v>450</v>
      </c>
      <c r="Z16" s="2">
        <f t="shared" si="39"/>
        <v>0</v>
      </c>
      <c r="AA16" s="2">
        <f t="shared" ca="1" si="40"/>
        <v>13950</v>
      </c>
      <c r="AB16" s="2">
        <f t="shared" ca="1" si="41"/>
        <v>13950</v>
      </c>
    </row>
    <row r="17" spans="2:53" ht="20.100000000000001" customHeight="1">
      <c r="B17" s="9">
        <v>45191</v>
      </c>
      <c r="C17" s="15" t="s">
        <v>153</v>
      </c>
      <c r="D17" s="79" t="s">
        <v>154</v>
      </c>
      <c r="E17" s="13" t="str">
        <f t="shared" ref="E17:E19" si="45">C17&amp;F17</f>
        <v>MAEU609639096BA0324BF1</v>
      </c>
      <c r="F17" s="79" t="s">
        <v>155</v>
      </c>
      <c r="G17" s="78" t="s">
        <v>124</v>
      </c>
      <c r="H17" s="32">
        <v>45</v>
      </c>
      <c r="I17" s="41">
        <f t="shared" si="43"/>
        <v>1</v>
      </c>
      <c r="J17" s="29">
        <v>0</v>
      </c>
      <c r="K17" s="29">
        <v>0</v>
      </c>
      <c r="L17" s="41">
        <v>0</v>
      </c>
      <c r="M17" s="29">
        <v>0</v>
      </c>
      <c r="N17" s="80">
        <f t="shared" ref="N17:N19" si="46">P17-K17</f>
        <v>8</v>
      </c>
      <c r="O17" s="44">
        <f t="shared" si="44"/>
        <v>1</v>
      </c>
      <c r="P17" s="80">
        <f t="shared" ref="P17:P19" si="47">H17-T17-J17</f>
        <v>8</v>
      </c>
      <c r="Q17" s="44">
        <f t="shared" ref="Q17:Q19" si="48">L17+O17</f>
        <v>1</v>
      </c>
      <c r="R17" s="29">
        <v>37</v>
      </c>
      <c r="S17" s="29">
        <f t="shared" si="36"/>
        <v>0</v>
      </c>
      <c r="T17" s="29">
        <f t="shared" ref="T17:T19" si="49">R17+S17+M17</f>
        <v>37</v>
      </c>
      <c r="U17" s="8"/>
      <c r="V17" s="29">
        <v>55</v>
      </c>
      <c r="W17" s="9">
        <f t="shared" ref="W17:W19" si="50">B17+X17</f>
        <v>45198</v>
      </c>
      <c r="X17" s="11">
        <v>7</v>
      </c>
      <c r="Y17" s="12">
        <v>450</v>
      </c>
      <c r="Z17" s="2">
        <f t="shared" si="39"/>
        <v>0</v>
      </c>
      <c r="AA17" s="2">
        <f t="shared" ref="AA17:AA19" ca="1" si="51">IF(W17&gt;TODAY(),"프리타임기간중",Q17*Y17*IF(DATE(YEAR(W17),MONTH(W17),1)&lt;DATE(YEAR($AA$2),MONTH($AA$2),1),DATEDIF($AA$2,$AA$3,"D")+1,DATEDIF(W17,$AA$3+1,"d")))</f>
        <v>13950</v>
      </c>
      <c r="AB17" s="2">
        <f t="shared" ref="AB17:AB19" ca="1" si="52">IFERROR(Z17+AA17,"")</f>
        <v>13950</v>
      </c>
    </row>
    <row r="18" spans="2:53" ht="20.100000000000001" customHeight="1">
      <c r="B18" s="9">
        <v>45191</v>
      </c>
      <c r="C18" s="15" t="s">
        <v>153</v>
      </c>
      <c r="D18" s="79" t="s">
        <v>154</v>
      </c>
      <c r="E18" s="13" t="str">
        <f t="shared" si="45"/>
        <v>MAEU609639096BA0824BQ0</v>
      </c>
      <c r="F18" s="79" t="s">
        <v>156</v>
      </c>
      <c r="G18" s="78" t="s">
        <v>124</v>
      </c>
      <c r="H18" s="32">
        <v>340</v>
      </c>
      <c r="I18" s="41">
        <f t="shared" si="43"/>
        <v>7</v>
      </c>
      <c r="J18" s="29">
        <v>0</v>
      </c>
      <c r="K18" s="29">
        <v>0</v>
      </c>
      <c r="L18" s="41">
        <v>0</v>
      </c>
      <c r="M18" s="29">
        <v>0</v>
      </c>
      <c r="N18" s="80">
        <f t="shared" si="46"/>
        <v>9</v>
      </c>
      <c r="O18" s="44">
        <f t="shared" si="44"/>
        <v>1</v>
      </c>
      <c r="P18" s="80">
        <f t="shared" si="47"/>
        <v>9</v>
      </c>
      <c r="Q18" s="44">
        <f t="shared" si="48"/>
        <v>1</v>
      </c>
      <c r="R18" s="29">
        <v>331</v>
      </c>
      <c r="S18" s="29">
        <f t="shared" si="36"/>
        <v>0</v>
      </c>
      <c r="T18" s="29">
        <f t="shared" si="49"/>
        <v>331</v>
      </c>
      <c r="U18" s="8"/>
      <c r="V18" s="29">
        <v>55</v>
      </c>
      <c r="W18" s="9">
        <f t="shared" si="50"/>
        <v>45198</v>
      </c>
      <c r="X18" s="11">
        <v>7</v>
      </c>
      <c r="Y18" s="12">
        <v>450</v>
      </c>
      <c r="Z18" s="2">
        <f t="shared" si="39"/>
        <v>0</v>
      </c>
      <c r="AA18" s="2">
        <f t="shared" ca="1" si="51"/>
        <v>13950</v>
      </c>
      <c r="AB18" s="2">
        <f t="shared" ca="1" si="52"/>
        <v>13950</v>
      </c>
    </row>
    <row r="19" spans="2:53" ht="20.100000000000001" customHeight="1">
      <c r="B19" s="9">
        <v>45579</v>
      </c>
      <c r="C19" s="15" t="s">
        <v>183</v>
      </c>
      <c r="D19" s="79" t="s">
        <v>184</v>
      </c>
      <c r="E19" s="13" t="str">
        <f t="shared" si="45"/>
        <v>ONEYANRE21002800CJ0224BD0</v>
      </c>
      <c r="F19" s="79" t="s">
        <v>185</v>
      </c>
      <c r="G19" s="78" t="s">
        <v>186</v>
      </c>
      <c r="H19" s="32">
        <v>330</v>
      </c>
      <c r="I19" s="41">
        <f t="shared" si="43"/>
        <v>6</v>
      </c>
      <c r="J19" s="29">
        <v>0</v>
      </c>
      <c r="K19" s="29">
        <v>1</v>
      </c>
      <c r="L19" s="41">
        <v>0</v>
      </c>
      <c r="M19" s="29">
        <v>0</v>
      </c>
      <c r="N19" s="80">
        <f t="shared" si="46"/>
        <v>17</v>
      </c>
      <c r="O19" s="44">
        <f t="shared" si="44"/>
        <v>1</v>
      </c>
      <c r="P19" s="80">
        <f t="shared" si="47"/>
        <v>18</v>
      </c>
      <c r="Q19" s="44">
        <f t="shared" si="48"/>
        <v>1</v>
      </c>
      <c r="R19" s="29">
        <v>312</v>
      </c>
      <c r="S19" s="29">
        <f t="shared" si="36"/>
        <v>0</v>
      </c>
      <c r="T19" s="29">
        <f t="shared" si="49"/>
        <v>312</v>
      </c>
      <c r="U19" s="8"/>
      <c r="V19" s="29">
        <v>55</v>
      </c>
      <c r="W19" s="9">
        <f t="shared" si="50"/>
        <v>45586</v>
      </c>
      <c r="X19" s="11">
        <v>7</v>
      </c>
      <c r="Y19" s="12">
        <v>450</v>
      </c>
      <c r="Z19" s="2">
        <f t="shared" si="39"/>
        <v>0</v>
      </c>
      <c r="AA19" s="2">
        <f t="shared" ca="1" si="51"/>
        <v>13950</v>
      </c>
      <c r="AB19" s="2">
        <f t="shared" ca="1" si="52"/>
        <v>13950</v>
      </c>
    </row>
    <row r="20" spans="2:53" ht="20.100000000000001" customHeight="1">
      <c r="B20" s="9">
        <v>45663</v>
      </c>
      <c r="C20" s="15" t="s">
        <v>194</v>
      </c>
      <c r="D20" s="79" t="s">
        <v>195</v>
      </c>
      <c r="E20" s="13" t="str">
        <f t="shared" ref="E20" si="53">C20&amp;F20</f>
        <v>MAEU720464811DK0511RRN</v>
      </c>
      <c r="F20" s="79" t="s">
        <v>196</v>
      </c>
      <c r="G20" s="78" t="s">
        <v>197</v>
      </c>
      <c r="H20" s="32">
        <v>440</v>
      </c>
      <c r="I20" s="41">
        <f t="shared" ref="I20" si="54">ROUNDUP((H20/V20),0)</f>
        <v>8</v>
      </c>
      <c r="J20" s="29">
        <v>0</v>
      </c>
      <c r="K20" s="29">
        <v>0</v>
      </c>
      <c r="L20" s="41">
        <v>0</v>
      </c>
      <c r="M20" s="29">
        <v>0</v>
      </c>
      <c r="N20" s="80">
        <f t="shared" ref="N20" si="55">P20-K20</f>
        <v>4</v>
      </c>
      <c r="O20" s="44">
        <f t="shared" ref="O20" si="56">ROUNDUP((N20/V20),0)</f>
        <v>1</v>
      </c>
      <c r="P20" s="80">
        <f t="shared" ref="P20" si="57">H20-T20-J20</f>
        <v>4</v>
      </c>
      <c r="Q20" s="44">
        <f t="shared" ref="Q20" si="58">L20+O20</f>
        <v>1</v>
      </c>
      <c r="R20" s="29">
        <v>436</v>
      </c>
      <c r="S20" s="29">
        <f t="shared" si="36"/>
        <v>0</v>
      </c>
      <c r="T20" s="29">
        <f t="shared" ref="T20" si="59">R20+S20+M20</f>
        <v>436</v>
      </c>
      <c r="U20" s="8"/>
      <c r="V20" s="29">
        <v>55</v>
      </c>
      <c r="W20" s="9">
        <f t="shared" ref="W20" si="60">B20+X20</f>
        <v>45670</v>
      </c>
      <c r="X20" s="11">
        <v>7</v>
      </c>
      <c r="Y20" s="12">
        <v>450</v>
      </c>
      <c r="Z20" s="2">
        <f t="shared" si="39"/>
        <v>0</v>
      </c>
      <c r="AA20" s="2">
        <f t="shared" ref="AA20" ca="1" si="61">IF(W20&gt;TODAY(),"프리타임기간중",Q20*Y20*IF(DATE(YEAR(W20),MONTH(W20),1)&lt;DATE(YEAR($AA$2),MONTH($AA$2),1),DATEDIF($AA$2,$AA$3,"D")+1,DATEDIF(W20,$AA$3+1,"d")))</f>
        <v>13950</v>
      </c>
      <c r="AB20" s="2">
        <f t="shared" ref="AB20" ca="1" si="62">IFERROR(Z20+AA20,"")</f>
        <v>13950</v>
      </c>
    </row>
    <row r="21" spans="2:53" ht="20.100000000000001" customHeight="1">
      <c r="B21" s="9">
        <v>45779</v>
      </c>
      <c r="C21" s="15" t="s">
        <v>213</v>
      </c>
      <c r="D21" s="79" t="s">
        <v>214</v>
      </c>
      <c r="E21" s="13" t="str">
        <f t="shared" ref="E21" si="63">C21&amp;F21</f>
        <v>MAEU720639431DM1311RYD</v>
      </c>
      <c r="F21" s="79" t="s">
        <v>215</v>
      </c>
      <c r="G21" s="78" t="s">
        <v>197</v>
      </c>
      <c r="H21" s="32">
        <v>385</v>
      </c>
      <c r="I21" s="41">
        <f t="shared" ref="I21" si="64">ROUNDUP((H21/V21),0)</f>
        <v>7</v>
      </c>
      <c r="J21" s="29">
        <v>0</v>
      </c>
      <c r="K21" s="29">
        <v>1</v>
      </c>
      <c r="L21" s="41">
        <v>0</v>
      </c>
      <c r="M21" s="29">
        <v>0</v>
      </c>
      <c r="N21" s="80">
        <f t="shared" ref="N21" si="65">P21-K21</f>
        <v>54</v>
      </c>
      <c r="O21" s="44">
        <f t="shared" ref="O21" si="66">ROUNDUP((N21/V21),0)</f>
        <v>1</v>
      </c>
      <c r="P21" s="80">
        <f t="shared" ref="P21" si="67">H21-T21-J21</f>
        <v>55</v>
      </c>
      <c r="Q21" s="44">
        <f t="shared" ref="Q21" si="68">L21+O21</f>
        <v>1</v>
      </c>
      <c r="R21" s="29">
        <v>165</v>
      </c>
      <c r="S21" s="29">
        <f t="shared" si="36"/>
        <v>165</v>
      </c>
      <c r="T21" s="29">
        <f t="shared" ref="T21" si="69">R21+S21+M21</f>
        <v>330</v>
      </c>
      <c r="U21" s="8"/>
      <c r="V21" s="29">
        <v>55</v>
      </c>
      <c r="W21" s="9">
        <f t="shared" ref="W21" si="70">B21+X21</f>
        <v>45786</v>
      </c>
      <c r="X21" s="11">
        <v>7</v>
      </c>
      <c r="Y21" s="12">
        <v>450</v>
      </c>
      <c r="Z21" s="2">
        <f t="shared" si="39"/>
        <v>0</v>
      </c>
      <c r="AA21" s="2">
        <f t="shared" ref="AA21" ca="1" si="71">IF(W21&gt;TODAY(),"프리타임기간중",Q21*Y21*IF(DATE(YEAR(W21),MONTH(W21),1)&lt;DATE(YEAR($AA$2),MONTH($AA$2),1),DATEDIF($AA$2,$AA$3,"D")+1,DATEDIF(W21,$AA$3+1,"d")))</f>
        <v>13950</v>
      </c>
      <c r="AB21" s="2">
        <f t="shared" ref="AB21" ca="1" si="72">IFERROR(Z21+AA21,"")</f>
        <v>13950</v>
      </c>
      <c r="AV21" s="7">
        <f>55*3</f>
        <v>165</v>
      </c>
    </row>
    <row r="22" spans="2:53" ht="20.100000000000001" customHeight="1">
      <c r="B22" s="9">
        <v>45779</v>
      </c>
      <c r="C22" s="15" t="s">
        <v>213</v>
      </c>
      <c r="D22" s="79" t="s">
        <v>214</v>
      </c>
      <c r="E22" s="13" t="str">
        <f t="shared" ref="E22" si="73">C22&amp;F22</f>
        <v>MAEU720639431DK0711RRT</v>
      </c>
      <c r="F22" s="79" t="s">
        <v>216</v>
      </c>
      <c r="G22" s="78" t="s">
        <v>197</v>
      </c>
      <c r="H22" s="32">
        <v>55</v>
      </c>
      <c r="I22" s="41">
        <f t="shared" ref="I22" si="74">ROUNDUP((H22/V22),0)</f>
        <v>1</v>
      </c>
      <c r="J22" s="29">
        <v>0</v>
      </c>
      <c r="K22" s="29">
        <v>0</v>
      </c>
      <c r="L22" s="41">
        <v>0</v>
      </c>
      <c r="M22" s="29">
        <v>0</v>
      </c>
      <c r="N22" s="80">
        <f t="shared" ref="N22" si="75">P22-K22</f>
        <v>0</v>
      </c>
      <c r="O22" s="44">
        <f t="shared" ref="O22" si="76">ROUNDUP((N22/V22),0)</f>
        <v>0</v>
      </c>
      <c r="P22" s="80">
        <f t="shared" ref="P22" si="77">H22-T22-J22</f>
        <v>0</v>
      </c>
      <c r="Q22" s="44">
        <f t="shared" ref="Q22" si="78">L22+O22</f>
        <v>0</v>
      </c>
      <c r="R22" s="29">
        <v>0</v>
      </c>
      <c r="S22" s="29">
        <f t="shared" si="36"/>
        <v>55</v>
      </c>
      <c r="T22" s="29">
        <f t="shared" ref="T22" si="79">R22+S22+M22</f>
        <v>55</v>
      </c>
      <c r="U22" s="8"/>
      <c r="V22" s="29">
        <v>55</v>
      </c>
      <c r="W22" s="9">
        <f t="shared" ref="W22" si="80">B22+X22</f>
        <v>45786</v>
      </c>
      <c r="X22" s="11">
        <v>7</v>
      </c>
      <c r="Y22" s="12">
        <v>450</v>
      </c>
      <c r="Z22" s="2">
        <f t="shared" si="39"/>
        <v>0</v>
      </c>
      <c r="AA22" s="2">
        <f t="shared" ref="AA22" ca="1" si="81">IF(W22&gt;TODAY(),"프리타임기간중",Q22*Y22*IF(DATE(YEAR(W22),MONTH(W22),1)&lt;DATE(YEAR($AA$2),MONTH($AA$2),1),DATEDIF($AA$2,$AA$3,"D")+1,DATEDIF(W22,$AA$3+1,"d")))</f>
        <v>0</v>
      </c>
      <c r="AB22" s="2">
        <f t="shared" ref="AB22" ca="1" si="82">IFERROR(Z22+AA22,"")</f>
        <v>0</v>
      </c>
      <c r="AU22" s="7">
        <v>55</v>
      </c>
    </row>
    <row r="23" spans="2:53" ht="20.100000000000001" customHeight="1">
      <c r="B23" s="9">
        <v>45875</v>
      </c>
      <c r="C23" s="15" t="s">
        <v>224</v>
      </c>
      <c r="D23" s="79" t="s">
        <v>232</v>
      </c>
      <c r="E23" s="13" t="str">
        <f t="shared" ref="E23" si="83">C23&amp;F23</f>
        <v>ONEYANRF16036600DM0845F04</v>
      </c>
      <c r="F23" s="79" t="s">
        <v>227</v>
      </c>
      <c r="G23" s="78" t="s">
        <v>228</v>
      </c>
      <c r="H23" s="32">
        <v>440</v>
      </c>
      <c r="I23" s="41">
        <f t="shared" ref="I23" si="84">ROUNDUP((H23/V23),0)</f>
        <v>8</v>
      </c>
      <c r="J23" s="29">
        <v>0</v>
      </c>
      <c r="K23" s="29">
        <v>0</v>
      </c>
      <c r="L23" s="41">
        <v>0</v>
      </c>
      <c r="M23" s="29">
        <v>0</v>
      </c>
      <c r="N23" s="80">
        <f t="shared" ref="N23" si="85">P23-K23</f>
        <v>214</v>
      </c>
      <c r="O23" s="44">
        <f t="shared" ref="O23" si="86">ROUNDUP((N23/V23),0)</f>
        <v>4</v>
      </c>
      <c r="P23" s="80">
        <f t="shared" ref="P23" si="87">H23-T23-J23</f>
        <v>214</v>
      </c>
      <c r="Q23" s="44">
        <f t="shared" ref="Q23" si="88">L23+O23</f>
        <v>4</v>
      </c>
      <c r="R23" s="29">
        <v>226</v>
      </c>
      <c r="S23" s="29">
        <f t="shared" si="36"/>
        <v>0</v>
      </c>
      <c r="T23" s="29">
        <f t="shared" ref="T23" si="89">R23+S23+M23</f>
        <v>226</v>
      </c>
      <c r="U23" s="8"/>
      <c r="V23" s="29">
        <v>55</v>
      </c>
      <c r="W23" s="9">
        <f t="shared" ref="W23" si="90">B23+X23</f>
        <v>45882</v>
      </c>
      <c r="X23" s="11">
        <v>7</v>
      </c>
      <c r="Y23" s="12">
        <v>450</v>
      </c>
      <c r="Z23" s="2">
        <f t="shared" si="39"/>
        <v>0</v>
      </c>
      <c r="AA23" s="2">
        <f t="shared" ref="AA23" ca="1" si="91">IF(W23&gt;TODAY(),"프리타임기간중",Q23*Y23*IF(DATE(YEAR(W23),MONTH(W23),1)&lt;DATE(YEAR($AA$2),MONTH($AA$2),1),DATEDIF($AA$2,$AA$3,"D")+1,DATEDIF(W23,$AA$3+1,"d")))</f>
        <v>55800</v>
      </c>
      <c r="AB23" s="2">
        <f t="shared" ref="AB23" ca="1" si="92">IFERROR(Z23+AA23,"")</f>
        <v>55800</v>
      </c>
    </row>
    <row r="24" spans="2:53" ht="20.100000000000001" customHeight="1">
      <c r="B24" s="9">
        <v>45875</v>
      </c>
      <c r="C24" s="15" t="s">
        <v>225</v>
      </c>
      <c r="D24" s="79" t="s">
        <v>226</v>
      </c>
      <c r="E24" s="13" t="str">
        <f t="shared" ref="E24" si="93">C24&amp;F24</f>
        <v>MEDUAK905795CJ0124BC1</v>
      </c>
      <c r="F24" s="79" t="s">
        <v>229</v>
      </c>
      <c r="G24" s="78" t="s">
        <v>186</v>
      </c>
      <c r="H24" s="32">
        <v>330</v>
      </c>
      <c r="I24" s="41">
        <f t="shared" ref="I24" si="94">ROUNDUP((H24/V24),0)</f>
        <v>6</v>
      </c>
      <c r="J24" s="29">
        <v>0</v>
      </c>
      <c r="K24" s="29">
        <v>0</v>
      </c>
      <c r="L24" s="41">
        <v>0</v>
      </c>
      <c r="M24" s="29">
        <v>0</v>
      </c>
      <c r="N24" s="80">
        <f t="shared" ref="N24" si="95">P24-K24</f>
        <v>110</v>
      </c>
      <c r="O24" s="44">
        <f t="shared" ref="O24" si="96">ROUNDUP((N24/V24),0)</f>
        <v>2</v>
      </c>
      <c r="P24" s="80">
        <f t="shared" ref="P24" si="97">H24-T24-J24</f>
        <v>110</v>
      </c>
      <c r="Q24" s="44">
        <f t="shared" ref="Q24" si="98">L24+O24</f>
        <v>2</v>
      </c>
      <c r="R24" s="29">
        <v>220</v>
      </c>
      <c r="S24" s="29">
        <f t="shared" si="36"/>
        <v>0</v>
      </c>
      <c r="T24" s="29">
        <f t="shared" ref="T24" si="99">R24+S24+M24</f>
        <v>220</v>
      </c>
      <c r="U24" s="8"/>
      <c r="V24" s="29">
        <v>55</v>
      </c>
      <c r="W24" s="9">
        <f t="shared" ref="W24" si="100">B24+X24</f>
        <v>45882</v>
      </c>
      <c r="X24" s="11">
        <v>7</v>
      </c>
      <c r="Y24" s="12">
        <v>450</v>
      </c>
      <c r="Z24" s="2">
        <f t="shared" si="39"/>
        <v>0</v>
      </c>
      <c r="AA24" s="2">
        <f t="shared" ref="AA24" ca="1" si="101">IF(W24&gt;TODAY(),"프리타임기간중",Q24*Y24*IF(DATE(YEAR(W24),MONTH(W24),1)&lt;DATE(YEAR($AA$2),MONTH($AA$2),1),DATEDIF($AA$2,$AA$3,"D")+1,DATEDIF(W24,$AA$3+1,"d")))</f>
        <v>27900</v>
      </c>
      <c r="AB24" s="2">
        <f t="shared" ref="AB24" ca="1" si="102">IFERROR(Z24+AA24,"")</f>
        <v>27900</v>
      </c>
    </row>
    <row r="25" spans="2:53" ht="20.100000000000001" customHeight="1">
      <c r="B25" s="9">
        <v>45904</v>
      </c>
      <c r="C25" s="15" t="s">
        <v>237</v>
      </c>
      <c r="D25" s="79" t="s">
        <v>238</v>
      </c>
      <c r="E25" s="13" t="str">
        <f t="shared" ref="E25" si="103">C25&amp;F25</f>
        <v>ONEYANRF18613900EE1822RC4</v>
      </c>
      <c r="F25" s="79" t="s">
        <v>239</v>
      </c>
      <c r="G25" s="78" t="s">
        <v>178</v>
      </c>
      <c r="H25" s="32">
        <v>1980</v>
      </c>
      <c r="I25" s="41">
        <f t="shared" ref="I25" si="104">ROUNDUP((H25/V25),0)</f>
        <v>36</v>
      </c>
      <c r="J25" s="29">
        <v>0</v>
      </c>
      <c r="K25" s="29">
        <v>1</v>
      </c>
      <c r="L25" s="41">
        <v>0</v>
      </c>
      <c r="M25" s="29">
        <v>0</v>
      </c>
      <c r="N25" s="80">
        <f t="shared" ref="N25" si="105">P25-K25</f>
        <v>54</v>
      </c>
      <c r="O25" s="44">
        <f t="shared" ref="O25" si="106">ROUNDUP((N25/V25),0)</f>
        <v>1</v>
      </c>
      <c r="P25" s="80">
        <f t="shared" ref="P25" si="107">H25-T25-J25</f>
        <v>55</v>
      </c>
      <c r="Q25" s="44">
        <f t="shared" ref="Q25" si="108">L25+O25</f>
        <v>1</v>
      </c>
      <c r="R25" s="29">
        <v>1925</v>
      </c>
      <c r="S25" s="29">
        <f t="shared" si="36"/>
        <v>0</v>
      </c>
      <c r="T25" s="29">
        <f t="shared" ref="T25" si="109">R25+S25+M25</f>
        <v>1925</v>
      </c>
      <c r="U25" s="8"/>
      <c r="V25" s="29">
        <v>55</v>
      </c>
      <c r="W25" s="9">
        <f t="shared" ref="W25" si="110">B25+X25</f>
        <v>45911</v>
      </c>
      <c r="X25" s="11">
        <v>7</v>
      </c>
      <c r="Y25" s="12">
        <v>450</v>
      </c>
      <c r="Z25" s="2">
        <f t="shared" si="39"/>
        <v>0</v>
      </c>
      <c r="AA25" s="2">
        <f t="shared" ref="AA25" ca="1" si="111">IF(W25&gt;TODAY(),"프리타임기간중",Q25*Y25*IF(DATE(YEAR(W25),MONTH(W25),1)&lt;DATE(YEAR($AA$2),MONTH($AA$2),1),DATEDIF($AA$2,$AA$3,"D")+1,DATEDIF(W25,$AA$3+1,"d")))</f>
        <v>13950</v>
      </c>
      <c r="AB25" s="2">
        <f t="shared" ref="AB25" ca="1" si="112">IFERROR(Z25+AA25,"")</f>
        <v>13950</v>
      </c>
    </row>
    <row r="26" spans="2:53" ht="20.100000000000001" customHeight="1">
      <c r="B26" s="9">
        <v>45947</v>
      </c>
      <c r="C26" s="15" t="s">
        <v>250</v>
      </c>
      <c r="D26" s="79" t="s">
        <v>251</v>
      </c>
      <c r="E26" s="13" t="str">
        <f t="shared" ref="E26" si="113">C26&amp;F26</f>
        <v>ONEYANRF22416500EA1522RC2</v>
      </c>
      <c r="F26" s="79" t="s">
        <v>252</v>
      </c>
      <c r="G26" s="78" t="s">
        <v>178</v>
      </c>
      <c r="H26" s="32">
        <v>880</v>
      </c>
      <c r="I26" s="41">
        <f t="shared" ref="I26" si="114">ROUNDUP((H26/V26),0)</f>
        <v>16</v>
      </c>
      <c r="J26" s="29">
        <v>0</v>
      </c>
      <c r="K26" s="29">
        <v>0</v>
      </c>
      <c r="L26" s="41">
        <v>0</v>
      </c>
      <c r="M26" s="29">
        <v>0</v>
      </c>
      <c r="N26" s="80">
        <f t="shared" ref="N26" si="115">P26-K26</f>
        <v>385</v>
      </c>
      <c r="O26" s="44">
        <f t="shared" ref="O26" si="116">ROUNDUP((N26/V26),0)</f>
        <v>7</v>
      </c>
      <c r="P26" s="80">
        <f t="shared" ref="P26" si="117">H26-T26-J26</f>
        <v>385</v>
      </c>
      <c r="Q26" s="44">
        <f t="shared" ref="Q26" si="118">L26+O26</f>
        <v>7</v>
      </c>
      <c r="R26" s="29">
        <v>0</v>
      </c>
      <c r="S26" s="29">
        <f t="shared" si="36"/>
        <v>495</v>
      </c>
      <c r="T26" s="29">
        <f t="shared" ref="T26" si="119">R26+S26+M26</f>
        <v>495</v>
      </c>
      <c r="U26" s="8"/>
      <c r="V26" s="29">
        <v>55</v>
      </c>
      <c r="W26" s="9">
        <f t="shared" ref="W26" si="120">B26+X26</f>
        <v>45954</v>
      </c>
      <c r="X26" s="11">
        <v>7</v>
      </c>
      <c r="Y26" s="12">
        <v>450</v>
      </c>
      <c r="Z26" s="2">
        <f t="shared" si="39"/>
        <v>0</v>
      </c>
      <c r="AA26" s="2">
        <f t="shared" ref="AA26" ca="1" si="121">IF(W26&gt;TODAY(),"프리타임기간중",Q26*Y26*IF(DATE(YEAR(W26),MONTH(W26),1)&lt;DATE(YEAR($AA$2),MONTH($AA$2),1),DATEDIF($AA$2,$AA$3,"D")+1,DATEDIF(W26,$AA$3+1,"d")))</f>
        <v>97650</v>
      </c>
      <c r="AB26" s="2">
        <f t="shared" ref="AB26" ca="1" si="122">IFERROR(Z26+AA26,"")</f>
        <v>97650</v>
      </c>
      <c r="BA26" s="140">
        <v>495</v>
      </c>
    </row>
    <row r="27" spans="2:53" ht="20.100000000000001" customHeight="1">
      <c r="B27" s="9">
        <v>45964</v>
      </c>
      <c r="C27" s="15" t="s">
        <v>195</v>
      </c>
      <c r="D27" s="79" t="s">
        <v>195</v>
      </c>
      <c r="E27" s="13" t="str">
        <f t="shared" ref="E27" si="123">C27&amp;F27</f>
        <v>F2-MAEU720464811DK0511RRN</v>
      </c>
      <c r="F27" s="79" t="s">
        <v>196</v>
      </c>
      <c r="G27" s="78" t="s">
        <v>197</v>
      </c>
      <c r="H27" s="32">
        <v>2</v>
      </c>
      <c r="I27" s="41">
        <f t="shared" ref="I27" si="124">ROUNDUP((H27/V27),0)</f>
        <v>1</v>
      </c>
      <c r="J27" s="29">
        <v>0</v>
      </c>
      <c r="K27" s="29">
        <v>0</v>
      </c>
      <c r="L27" s="41">
        <v>0</v>
      </c>
      <c r="M27" s="29">
        <v>0</v>
      </c>
      <c r="N27" s="80">
        <f t="shared" ref="N27" si="125">P27-K27</f>
        <v>2</v>
      </c>
      <c r="O27" s="44">
        <f t="shared" ref="O27" si="126">ROUNDUP((N27/V27),0)</f>
        <v>1</v>
      </c>
      <c r="P27" s="80">
        <f t="shared" ref="P27" si="127">H27-T27-J27</f>
        <v>2</v>
      </c>
      <c r="Q27" s="44">
        <f t="shared" ref="Q27" si="128">L27+O27</f>
        <v>1</v>
      </c>
      <c r="R27" s="29">
        <v>0</v>
      </c>
      <c r="S27" s="29">
        <f t="shared" si="36"/>
        <v>0</v>
      </c>
      <c r="T27" s="29">
        <f t="shared" ref="T27" si="129">R27+S27+M27</f>
        <v>0</v>
      </c>
      <c r="U27" s="8" t="s">
        <v>257</v>
      </c>
      <c r="V27" s="29">
        <v>2</v>
      </c>
      <c r="W27" s="9">
        <f t="shared" ref="W27" si="130">B27+X27</f>
        <v>45971</v>
      </c>
      <c r="X27" s="11">
        <v>7</v>
      </c>
      <c r="Y27" s="12">
        <v>450</v>
      </c>
      <c r="Z27" s="2">
        <f t="shared" si="39"/>
        <v>0</v>
      </c>
      <c r="AA27" s="2">
        <f t="shared" ref="AA27" ca="1" si="131">IF(W27&gt;TODAY(),"프리타임기간중",Q27*Y27*IF(DATE(YEAR(W27),MONTH(W27),1)&lt;DATE(YEAR($AA$2),MONTH($AA$2),1),DATEDIF($AA$2,$AA$3,"D")+1,DATEDIF(W27,$AA$3+1,"d")))</f>
        <v>13950</v>
      </c>
      <c r="AB27" s="2">
        <f t="shared" ref="AB27" ca="1" si="132">IFERROR(Z27+AA27,"")</f>
        <v>13950</v>
      </c>
    </row>
    <row r="28" spans="2:53" ht="20.100000000000001" customHeight="1">
      <c r="B28" s="9">
        <v>46118</v>
      </c>
      <c r="C28" s="15" t="s">
        <v>336</v>
      </c>
      <c r="D28" s="79" t="s">
        <v>337</v>
      </c>
      <c r="E28" s="13" t="str">
        <f t="shared" ref="E28" si="133">C28&amp;F28</f>
        <v>MEDUW6796306EG2924BA3</v>
      </c>
      <c r="F28" s="79" t="s">
        <v>338</v>
      </c>
      <c r="G28" s="78" t="s">
        <v>186</v>
      </c>
      <c r="H28" s="32">
        <v>110</v>
      </c>
      <c r="I28" s="41">
        <f t="shared" ref="I28" si="134">ROUNDUP((H28/V28),0)</f>
        <v>2</v>
      </c>
      <c r="J28" s="29">
        <v>0</v>
      </c>
      <c r="K28" s="29">
        <v>0</v>
      </c>
      <c r="L28" s="41">
        <v>0</v>
      </c>
      <c r="M28" s="29">
        <v>0</v>
      </c>
      <c r="N28" s="80">
        <f t="shared" ref="N28" si="135">P28-K28</f>
        <v>110</v>
      </c>
      <c r="O28" s="44">
        <f t="shared" ref="O28" si="136">ROUNDUP((N28/V28),0)</f>
        <v>2</v>
      </c>
      <c r="P28" s="80">
        <f t="shared" ref="P28" si="137">H28-T28-J28</f>
        <v>110</v>
      </c>
      <c r="Q28" s="44">
        <f t="shared" ref="Q28" si="138">L28+O28</f>
        <v>2</v>
      </c>
      <c r="R28" s="29">
        <v>0</v>
      </c>
      <c r="S28" s="29">
        <f t="shared" si="36"/>
        <v>0</v>
      </c>
      <c r="T28" s="29">
        <f t="shared" ref="T28" si="139">R28+S28+M28</f>
        <v>0</v>
      </c>
      <c r="U28" s="8"/>
      <c r="V28" s="29">
        <v>55</v>
      </c>
      <c r="W28" s="9">
        <f t="shared" ref="W28" si="140">B28+X28</f>
        <v>46125</v>
      </c>
      <c r="X28" s="11">
        <v>7</v>
      </c>
      <c r="Y28" s="12">
        <v>450</v>
      </c>
      <c r="Z28" s="2">
        <f t="shared" si="39"/>
        <v>0</v>
      </c>
      <c r="AA28" s="2">
        <f t="shared" ref="AA28" ca="1" si="141">IF(W28&gt;TODAY(),"프리타임기간중",Q28*Y28*IF(DATE(YEAR(W28),MONTH(W28),1)&lt;DATE(YEAR($AA$2),MONTH($AA$2),1),DATEDIF($AA$2,$AA$3,"D")+1,DATEDIF(W28,$AA$3+1,"d")))</f>
        <v>27900</v>
      </c>
      <c r="AB28" s="2">
        <f t="shared" ref="AB28" ca="1" si="142">IFERROR(Z28+AA28,"")</f>
        <v>27900</v>
      </c>
    </row>
    <row r="29" spans="2:53" ht="20.100000000000001" customHeight="1">
      <c r="B29" s="9">
        <v>46118</v>
      </c>
      <c r="C29" s="15" t="s">
        <v>336</v>
      </c>
      <c r="D29" s="79" t="s">
        <v>337</v>
      </c>
      <c r="E29" s="13" t="str">
        <f t="shared" ref="E29:E30" si="143">C29&amp;F29</f>
        <v>MEDUW6796306EH2224BA0</v>
      </c>
      <c r="F29" s="79" t="s">
        <v>339</v>
      </c>
      <c r="G29" s="78" t="s">
        <v>124</v>
      </c>
      <c r="H29" s="32">
        <v>330</v>
      </c>
      <c r="I29" s="41">
        <f t="shared" ref="I29:I30" si="144">ROUNDUP((H29/V29),0)</f>
        <v>6</v>
      </c>
      <c r="J29" s="29">
        <v>0</v>
      </c>
      <c r="K29" s="29">
        <v>0</v>
      </c>
      <c r="L29" s="41">
        <v>0</v>
      </c>
      <c r="M29" s="29">
        <v>0</v>
      </c>
      <c r="N29" s="80">
        <f t="shared" ref="N29:N30" si="145">P29-K29</f>
        <v>220</v>
      </c>
      <c r="O29" s="44">
        <f t="shared" ref="O29:O30" si="146">ROUNDUP((N29/V29),0)</f>
        <v>4</v>
      </c>
      <c r="P29" s="80">
        <f t="shared" ref="P29:P30" si="147">H29-T29-J29</f>
        <v>220</v>
      </c>
      <c r="Q29" s="44">
        <f t="shared" ref="Q29:Q30" si="148">L29+O29</f>
        <v>4</v>
      </c>
      <c r="R29" s="29">
        <v>110</v>
      </c>
      <c r="S29" s="29">
        <f t="shared" si="36"/>
        <v>0</v>
      </c>
      <c r="T29" s="29">
        <f t="shared" ref="T29:T30" si="149">R29+S29+M29</f>
        <v>110</v>
      </c>
      <c r="U29" s="8"/>
      <c r="V29" s="29">
        <v>55</v>
      </c>
      <c r="W29" s="9">
        <f t="shared" ref="W29:W30" si="150">B29+X29</f>
        <v>46125</v>
      </c>
      <c r="X29" s="11">
        <v>7</v>
      </c>
      <c r="Y29" s="12">
        <v>450</v>
      </c>
      <c r="Z29" s="2">
        <f t="shared" si="39"/>
        <v>0</v>
      </c>
      <c r="AA29" s="2">
        <f t="shared" ref="AA29:AA30" ca="1" si="151">IF(W29&gt;TODAY(),"프리타임기간중",Q29*Y29*IF(DATE(YEAR(W29),MONTH(W29),1)&lt;DATE(YEAR($AA$2),MONTH($AA$2),1),DATEDIF($AA$2,$AA$3,"D")+1,DATEDIF(W29,$AA$3+1,"d")))</f>
        <v>55800</v>
      </c>
      <c r="AB29" s="2">
        <f t="shared" ref="AB29:AB30" ca="1" si="152">IFERROR(Z29+AA29,"")</f>
        <v>55800</v>
      </c>
    </row>
    <row r="30" spans="2:53" ht="20.100000000000001" customHeight="1">
      <c r="B30" s="9">
        <v>46120</v>
      </c>
      <c r="C30" s="15" t="s">
        <v>341</v>
      </c>
      <c r="D30" s="79" t="s">
        <v>342</v>
      </c>
      <c r="E30" s="13" t="str">
        <f t="shared" si="143"/>
        <v>KMTCLCH556073360145719</v>
      </c>
      <c r="F30" s="79">
        <v>60145719</v>
      </c>
      <c r="G30" s="78" t="s">
        <v>200</v>
      </c>
      <c r="H30" s="32">
        <v>2880</v>
      </c>
      <c r="I30" s="41">
        <f t="shared" si="144"/>
        <v>48</v>
      </c>
      <c r="J30" s="29">
        <v>0</v>
      </c>
      <c r="K30" s="29">
        <v>0</v>
      </c>
      <c r="L30" s="41">
        <v>0</v>
      </c>
      <c r="M30" s="29">
        <v>0</v>
      </c>
      <c r="N30" s="80">
        <f t="shared" si="145"/>
        <v>0</v>
      </c>
      <c r="O30" s="44">
        <f t="shared" si="146"/>
        <v>0</v>
      </c>
      <c r="P30" s="80">
        <f t="shared" si="147"/>
        <v>0</v>
      </c>
      <c r="Q30" s="44">
        <f t="shared" si="148"/>
        <v>0</v>
      </c>
      <c r="R30" s="29">
        <v>2280</v>
      </c>
      <c r="S30" s="29">
        <f t="shared" si="36"/>
        <v>600</v>
      </c>
      <c r="T30" s="29">
        <f t="shared" si="149"/>
        <v>2880</v>
      </c>
      <c r="U30" s="8"/>
      <c r="V30" s="29">
        <v>60</v>
      </c>
      <c r="W30" s="9">
        <f t="shared" si="150"/>
        <v>46127</v>
      </c>
      <c r="X30" s="11">
        <v>7</v>
      </c>
      <c r="Y30" s="12">
        <v>450</v>
      </c>
      <c r="Z30" s="2">
        <f t="shared" si="39"/>
        <v>0</v>
      </c>
      <c r="AA30" s="2">
        <f t="shared" ca="1" si="151"/>
        <v>0</v>
      </c>
      <c r="AB30" s="2">
        <f t="shared" ca="1" si="152"/>
        <v>0</v>
      </c>
      <c r="AD30" s="140">
        <v>360</v>
      </c>
      <c r="AE30" s="140">
        <v>240</v>
      </c>
    </row>
    <row r="31" spans="2:53" ht="20.100000000000001" customHeight="1">
      <c r="B31" s="9">
        <v>46160</v>
      </c>
      <c r="C31" s="15" t="s">
        <v>390</v>
      </c>
      <c r="D31" s="79" t="s">
        <v>391</v>
      </c>
      <c r="E31" s="13" t="str">
        <f t="shared" ref="E31" si="153">C31&amp;F31</f>
        <v>SNLGLCKL01361160145719</v>
      </c>
      <c r="F31" s="79">
        <v>60145719</v>
      </c>
      <c r="G31" s="78" t="s">
        <v>200</v>
      </c>
      <c r="H31" s="32">
        <v>900</v>
      </c>
      <c r="I31" s="41">
        <f t="shared" ref="I31" si="154">ROUNDUP((H31/V31),0)</f>
        <v>15</v>
      </c>
      <c r="J31" s="29">
        <v>0</v>
      </c>
      <c r="K31" s="29">
        <v>0</v>
      </c>
      <c r="L31" s="41">
        <v>0</v>
      </c>
      <c r="M31" s="29">
        <v>0</v>
      </c>
      <c r="N31" s="80">
        <f t="shared" ref="N31" si="155">P31-K31</f>
        <v>420</v>
      </c>
      <c r="O31" s="44">
        <f t="shared" ref="O31" si="156">ROUNDUP((N31/V31),0)</f>
        <v>7</v>
      </c>
      <c r="P31" s="80">
        <f t="shared" ref="P31" si="157">H31-T31-J31</f>
        <v>420</v>
      </c>
      <c r="Q31" s="44">
        <f t="shared" ref="Q31" si="158">L31+O31</f>
        <v>7</v>
      </c>
      <c r="R31" s="29">
        <v>0</v>
      </c>
      <c r="S31" s="29">
        <f t="shared" si="36"/>
        <v>480</v>
      </c>
      <c r="T31" s="29">
        <f t="shared" ref="T31" si="159">R31+S31+M31</f>
        <v>480</v>
      </c>
      <c r="U31" s="8"/>
      <c r="V31" s="29">
        <v>60</v>
      </c>
      <c r="W31" s="9">
        <f t="shared" ref="W31" si="160">B31+X31</f>
        <v>46167</v>
      </c>
      <c r="X31" s="11">
        <v>7</v>
      </c>
      <c r="Y31" s="12">
        <v>450</v>
      </c>
      <c r="Z31" s="2">
        <f t="shared" si="39"/>
        <v>0</v>
      </c>
      <c r="AA31" s="2">
        <f t="shared" ref="AA31" ca="1" si="161">IF(W31&gt;TODAY(),"프리타임기간중",Q31*Y31*IF(DATE(YEAR(W31),MONTH(W31),1)&lt;DATE(YEAR($AA$2),MONTH($AA$2),1),DATEDIF($AA$2,$AA$3,"D")+1,DATEDIF(W31,$AA$3+1,"d")))</f>
        <v>97650</v>
      </c>
      <c r="AB31" s="2">
        <f t="shared" ref="AB31" ca="1" si="162">IFERROR(Z31+AA31,"")</f>
        <v>97650</v>
      </c>
      <c r="AJ31" s="140">
        <v>360</v>
      </c>
      <c r="AL31" s="140">
        <v>120</v>
      </c>
    </row>
    <row r="32" spans="2:53" ht="20.100000000000001" customHeight="1">
      <c r="B32" s="9">
        <v>46160</v>
      </c>
      <c r="C32" s="15" t="s">
        <v>390</v>
      </c>
      <c r="D32" s="79" t="s">
        <v>391</v>
      </c>
      <c r="E32" s="13" t="str">
        <f t="shared" ref="E32" si="163">C32&amp;F32</f>
        <v>SNLGLCKL01361160145721</v>
      </c>
      <c r="F32" s="79">
        <v>60145721</v>
      </c>
      <c r="G32" s="78" t="s">
        <v>200</v>
      </c>
      <c r="H32" s="32">
        <v>1020</v>
      </c>
      <c r="I32" s="41">
        <f t="shared" ref="I32" si="164">ROUNDUP((H32/V32),0)</f>
        <v>17</v>
      </c>
      <c r="J32" s="29">
        <v>0</v>
      </c>
      <c r="K32" s="29">
        <v>0</v>
      </c>
      <c r="L32" s="41">
        <v>0</v>
      </c>
      <c r="M32" s="29">
        <v>0</v>
      </c>
      <c r="N32" s="80">
        <f t="shared" ref="N32" si="165">P32-K32</f>
        <v>780</v>
      </c>
      <c r="O32" s="44">
        <f t="shared" ref="O32" si="166">ROUNDUP((N32/V32),0)</f>
        <v>13</v>
      </c>
      <c r="P32" s="80">
        <f t="shared" ref="P32" si="167">H32-T32-J32</f>
        <v>780</v>
      </c>
      <c r="Q32" s="44">
        <f t="shared" ref="Q32" si="168">L32+O32</f>
        <v>13</v>
      </c>
      <c r="R32" s="29">
        <v>0</v>
      </c>
      <c r="S32" s="29">
        <f t="shared" si="36"/>
        <v>240</v>
      </c>
      <c r="T32" s="29">
        <f t="shared" ref="T32" si="169">R32+S32+M32</f>
        <v>240</v>
      </c>
      <c r="U32" s="8"/>
      <c r="V32" s="29">
        <v>60</v>
      </c>
      <c r="W32" s="9">
        <f t="shared" ref="W32" si="170">B32+X32</f>
        <v>46167</v>
      </c>
      <c r="X32" s="11">
        <v>7</v>
      </c>
      <c r="Y32" s="12">
        <v>450</v>
      </c>
      <c r="Z32" s="2">
        <f t="shared" si="39"/>
        <v>0</v>
      </c>
      <c r="AA32" s="2">
        <f t="shared" ref="AA32" ca="1" si="171">IF(W32&gt;TODAY(),"프리타임기간중",Q32*Y32*IF(DATE(YEAR(W32),MONTH(W32),1)&lt;DATE(YEAR($AA$2),MONTH($AA$2),1),DATEDIF($AA$2,$AA$3,"D")+1,DATEDIF(W32,$AA$3+1,"d")))</f>
        <v>181350</v>
      </c>
      <c r="AB32" s="2">
        <f t="shared" ref="AB32" ca="1" si="172">IFERROR(Z32+AA32,"")</f>
        <v>181350</v>
      </c>
      <c r="AP32" s="7">
        <f>60*4</f>
        <v>240</v>
      </c>
    </row>
    <row r="33" spans="2:56" ht="20.100000000000001" customHeight="1">
      <c r="B33" s="9">
        <v>46178</v>
      </c>
      <c r="C33" s="15" t="s">
        <v>433</v>
      </c>
      <c r="D33" s="79" t="s">
        <v>434</v>
      </c>
      <c r="E33" s="13" t="str">
        <f t="shared" ref="E33" si="173">C33&amp;F33</f>
        <v>EGLV05060058343860144237</v>
      </c>
      <c r="F33" s="79">
        <v>60144237</v>
      </c>
      <c r="G33" s="78" t="s">
        <v>200</v>
      </c>
      <c r="H33" s="32">
        <v>120</v>
      </c>
      <c r="I33" s="41">
        <f t="shared" ref="I33" si="174">ROUNDUP((H33/V33),0)</f>
        <v>2</v>
      </c>
      <c r="J33" s="29">
        <v>0</v>
      </c>
      <c r="K33" s="29">
        <v>0</v>
      </c>
      <c r="L33" s="41">
        <v>0</v>
      </c>
      <c r="M33" s="29">
        <v>0</v>
      </c>
      <c r="N33" s="80">
        <f t="shared" ref="N33" si="175">P33-K33</f>
        <v>0</v>
      </c>
      <c r="O33" s="44">
        <f t="shared" ref="O33" si="176">ROUNDUP((N33/V33),0)</f>
        <v>0</v>
      </c>
      <c r="P33" s="80">
        <f t="shared" ref="P33" si="177">H33-T33-J33</f>
        <v>0</v>
      </c>
      <c r="Q33" s="44">
        <f t="shared" ref="Q33" si="178">L33+O33</f>
        <v>0</v>
      </c>
      <c r="R33" s="29">
        <v>0</v>
      </c>
      <c r="S33" s="29">
        <f t="shared" si="36"/>
        <v>120</v>
      </c>
      <c r="T33" s="29">
        <f t="shared" ref="T33" si="179">R33+S33+M33</f>
        <v>120</v>
      </c>
      <c r="U33" s="8"/>
      <c r="V33" s="29">
        <v>60</v>
      </c>
      <c r="W33" s="9">
        <f t="shared" ref="W33" si="180">B33+X33</f>
        <v>46185</v>
      </c>
      <c r="X33" s="11">
        <v>7</v>
      </c>
      <c r="Y33" s="12">
        <v>450</v>
      </c>
      <c r="Z33" s="2">
        <f t="shared" si="39"/>
        <v>0</v>
      </c>
      <c r="AA33" s="2">
        <f t="shared" ref="AA33" ca="1" si="181">IF(W33&gt;TODAY(),"프리타임기간중",Q33*Y33*IF(DATE(YEAR(W33),MONTH(W33),1)&lt;DATE(YEAR($AA$2),MONTH($AA$2),1),DATEDIF($AA$2,$AA$3,"D")+1,DATEDIF(W33,$AA$3+1,"d")))</f>
        <v>0</v>
      </c>
      <c r="AB33" s="2">
        <f t="shared" ref="AB33" ca="1" si="182">IFERROR(Z33+AA33,"")</f>
        <v>0</v>
      </c>
      <c r="AQ33" s="7">
        <v>120</v>
      </c>
    </row>
    <row r="34" spans="2:56" ht="20.100000000000001" customHeight="1">
      <c r="B34" s="9">
        <v>46178</v>
      </c>
      <c r="C34" s="15" t="s">
        <v>433</v>
      </c>
      <c r="D34" s="79" t="s">
        <v>434</v>
      </c>
      <c r="E34" s="13" t="str">
        <f t="shared" ref="E34" si="183">C34&amp;F34</f>
        <v>EGLV05060058343860145719</v>
      </c>
      <c r="F34" s="79">
        <v>60145719</v>
      </c>
      <c r="G34" s="78" t="s">
        <v>200</v>
      </c>
      <c r="H34" s="32">
        <v>180</v>
      </c>
      <c r="I34" s="41">
        <f t="shared" ref="I34" si="184">ROUNDUP((H34/V34),0)</f>
        <v>3</v>
      </c>
      <c r="J34" s="29">
        <v>0</v>
      </c>
      <c r="K34" s="29">
        <v>0</v>
      </c>
      <c r="L34" s="41">
        <v>0</v>
      </c>
      <c r="M34" s="29">
        <v>0</v>
      </c>
      <c r="N34" s="80">
        <f t="shared" ref="N34" si="185">P34-K34</f>
        <v>0</v>
      </c>
      <c r="O34" s="44">
        <f t="shared" ref="O34" si="186">ROUNDUP((N34/V34),0)</f>
        <v>0</v>
      </c>
      <c r="P34" s="80">
        <f t="shared" ref="P34" si="187">H34-T34-J34</f>
        <v>0</v>
      </c>
      <c r="Q34" s="44">
        <f t="shared" ref="Q34" si="188">L34+O34</f>
        <v>0</v>
      </c>
      <c r="R34" s="29">
        <v>0</v>
      </c>
      <c r="S34" s="29">
        <f t="shared" si="36"/>
        <v>180</v>
      </c>
      <c r="T34" s="29">
        <f t="shared" ref="T34" si="189">R34+S34+M34</f>
        <v>180</v>
      </c>
      <c r="U34" s="8"/>
      <c r="V34" s="29">
        <v>60</v>
      </c>
      <c r="W34" s="9">
        <f t="shared" ref="W34" si="190">B34+X34</f>
        <v>46185</v>
      </c>
      <c r="X34" s="11">
        <v>7</v>
      </c>
      <c r="Y34" s="12">
        <v>450</v>
      </c>
      <c r="Z34" s="2">
        <f t="shared" si="39"/>
        <v>0</v>
      </c>
      <c r="AA34" s="2">
        <f t="shared" ref="AA34" ca="1" si="191">IF(W34&gt;TODAY(),"프리타임기간중",Q34*Y34*IF(DATE(YEAR(W34),MONTH(W34),1)&lt;DATE(YEAR($AA$2),MONTH($AA$2),1),DATEDIF($AA$2,$AA$3,"D")+1,DATEDIF(W34,$AA$3+1,"d")))</f>
        <v>0</v>
      </c>
      <c r="AB34" s="2">
        <f t="shared" ref="AB34" ca="1" si="192">IFERROR(Z34+AA34,"")</f>
        <v>0</v>
      </c>
      <c r="BB34" s="7">
        <v>180</v>
      </c>
    </row>
    <row r="35" spans="2:56" ht="20.100000000000001" customHeight="1">
      <c r="B35" s="9">
        <v>46178</v>
      </c>
      <c r="C35" s="15" t="s">
        <v>433</v>
      </c>
      <c r="D35" s="79" t="s">
        <v>434</v>
      </c>
      <c r="E35" s="13" t="str">
        <f t="shared" ref="E35:E36" si="193">C35&amp;F35</f>
        <v>EGLV05060058343860145721</v>
      </c>
      <c r="F35" s="79">
        <v>60145721</v>
      </c>
      <c r="G35" s="78" t="s">
        <v>200</v>
      </c>
      <c r="H35" s="32">
        <f>840+780</f>
        <v>1620</v>
      </c>
      <c r="I35" s="41">
        <f t="shared" ref="I35:I36" si="194">ROUNDUP((H35/V35),0)</f>
        <v>27</v>
      </c>
      <c r="J35" s="29">
        <v>0</v>
      </c>
      <c r="K35" s="29">
        <v>0</v>
      </c>
      <c r="L35" s="41">
        <v>0</v>
      </c>
      <c r="M35" s="29">
        <v>0</v>
      </c>
      <c r="N35" s="80">
        <f t="shared" ref="N35:N36" si="195">P35-K35</f>
        <v>0</v>
      </c>
      <c r="O35" s="44">
        <f t="shared" ref="O35:O36" si="196">ROUNDUP((N35/V35),0)</f>
        <v>0</v>
      </c>
      <c r="P35" s="80">
        <f t="shared" ref="P35:P36" si="197">H35-T35-J35</f>
        <v>0</v>
      </c>
      <c r="Q35" s="44">
        <f t="shared" ref="Q35:Q36" si="198">L35+O35</f>
        <v>0</v>
      </c>
      <c r="R35" s="29">
        <v>0</v>
      </c>
      <c r="S35" s="29">
        <f t="shared" si="36"/>
        <v>1620</v>
      </c>
      <c r="T35" s="29">
        <f t="shared" ref="T35:T36" si="199">R35+S35+M35</f>
        <v>1620</v>
      </c>
      <c r="U35" s="8"/>
      <c r="V35" s="29">
        <v>60</v>
      </c>
      <c r="W35" s="9">
        <f t="shared" ref="W35:W36" si="200">B35+X35</f>
        <v>46185</v>
      </c>
      <c r="X35" s="11">
        <v>7</v>
      </c>
      <c r="Y35" s="12">
        <v>450</v>
      </c>
      <c r="Z35" s="2">
        <f t="shared" si="39"/>
        <v>0</v>
      </c>
      <c r="AA35" s="2">
        <f t="shared" ref="AA35:AA36" ca="1" si="201">IF(W35&gt;TODAY(),"프리타임기간중",Q35*Y35*IF(DATE(YEAR(W35),MONTH(W35),1)&lt;DATE(YEAR($AA$2),MONTH($AA$2),1),DATEDIF($AA$2,$AA$3,"D")+1,DATEDIF(W35,$AA$3+1,"d")))</f>
        <v>0</v>
      </c>
      <c r="AB35" s="2">
        <f t="shared" ref="AB35:AB36" ca="1" si="202">IFERROR(Z35+AA35,"")</f>
        <v>0</v>
      </c>
      <c r="AR35" s="7">
        <f>60*4</f>
        <v>240</v>
      </c>
      <c r="AS35" s="7">
        <f>60*6</f>
        <v>360</v>
      </c>
      <c r="AT35" s="7">
        <f>60*4</f>
        <v>240</v>
      </c>
      <c r="AX35" s="7">
        <v>360</v>
      </c>
      <c r="AY35" s="7">
        <v>120</v>
      </c>
      <c r="AZ35" s="7">
        <v>300</v>
      </c>
    </row>
    <row r="36" spans="2:56" ht="20.100000000000001" customHeight="1">
      <c r="B36" s="9">
        <v>46189</v>
      </c>
      <c r="C36" s="15" t="s">
        <v>475</v>
      </c>
      <c r="D36" s="79" t="s">
        <v>476</v>
      </c>
      <c r="E36" s="13" t="str">
        <f t="shared" si="193"/>
        <v>ONEYGOAG08782700EL2311RUP</v>
      </c>
      <c r="F36" s="79" t="s">
        <v>477</v>
      </c>
      <c r="G36" s="78" t="s">
        <v>41</v>
      </c>
      <c r="H36" s="32">
        <v>990</v>
      </c>
      <c r="I36" s="41">
        <f t="shared" si="194"/>
        <v>18</v>
      </c>
      <c r="J36" s="29">
        <v>0</v>
      </c>
      <c r="K36" s="29">
        <v>0</v>
      </c>
      <c r="L36" s="41">
        <v>0</v>
      </c>
      <c r="M36" s="29">
        <v>0</v>
      </c>
      <c r="N36" s="80">
        <f t="shared" si="195"/>
        <v>0</v>
      </c>
      <c r="O36" s="44">
        <f t="shared" si="196"/>
        <v>0</v>
      </c>
      <c r="P36" s="80">
        <f t="shared" si="197"/>
        <v>0</v>
      </c>
      <c r="Q36" s="44">
        <f t="shared" si="198"/>
        <v>0</v>
      </c>
      <c r="R36" s="29">
        <v>55</v>
      </c>
      <c r="S36" s="29">
        <f t="shared" si="36"/>
        <v>935</v>
      </c>
      <c r="T36" s="29">
        <f t="shared" si="199"/>
        <v>990</v>
      </c>
      <c r="U36" s="8"/>
      <c r="V36" s="29">
        <v>55</v>
      </c>
      <c r="W36" s="9">
        <f t="shared" si="200"/>
        <v>46196</v>
      </c>
      <c r="X36" s="11">
        <v>7</v>
      </c>
      <c r="Y36" s="12">
        <v>450</v>
      </c>
      <c r="Z36" s="2">
        <f t="shared" si="39"/>
        <v>0</v>
      </c>
      <c r="AA36" s="2">
        <f t="shared" ca="1" si="201"/>
        <v>0</v>
      </c>
      <c r="AB36" s="2">
        <f t="shared" ca="1" si="202"/>
        <v>0</v>
      </c>
      <c r="AI36" s="140">
        <v>770</v>
      </c>
      <c r="AN36" s="140">
        <v>165</v>
      </c>
    </row>
    <row r="37" spans="2:56" ht="20.100000000000001" customHeight="1">
      <c r="B37" s="9">
        <v>46196</v>
      </c>
      <c r="C37" s="15" t="s">
        <v>487</v>
      </c>
      <c r="D37" s="79" t="s">
        <v>488</v>
      </c>
      <c r="E37" s="13" t="str">
        <f t="shared" ref="E37" si="203">C37&amp;F37</f>
        <v>ONEYGOAG08777400EJ0511RRJ</v>
      </c>
      <c r="F37" s="79" t="s">
        <v>489</v>
      </c>
      <c r="G37" s="78" t="s">
        <v>490</v>
      </c>
      <c r="H37" s="32">
        <v>990</v>
      </c>
      <c r="I37" s="41">
        <f t="shared" ref="I37" si="204">ROUNDUP((H37/V37),0)</f>
        <v>18</v>
      </c>
      <c r="J37" s="29">
        <v>0</v>
      </c>
      <c r="K37" s="29">
        <v>0</v>
      </c>
      <c r="L37" s="41">
        <v>0</v>
      </c>
      <c r="M37" s="29">
        <v>0</v>
      </c>
      <c r="N37" s="80">
        <f t="shared" ref="N37" si="205">P37-K37</f>
        <v>990</v>
      </c>
      <c r="O37" s="44">
        <f t="shared" ref="O37" si="206">ROUNDUP((N37/V37),0)</f>
        <v>18</v>
      </c>
      <c r="P37" s="80">
        <f t="shared" ref="P37" si="207">H37-T37-J37</f>
        <v>990</v>
      </c>
      <c r="Q37" s="44">
        <f t="shared" ref="Q37" si="208">L37+O37</f>
        <v>18</v>
      </c>
      <c r="R37" s="29">
        <v>0</v>
      </c>
      <c r="S37" s="29">
        <f t="shared" si="36"/>
        <v>0</v>
      </c>
      <c r="T37" s="29">
        <f t="shared" ref="T37" si="209">R37+S37+M37</f>
        <v>0</v>
      </c>
      <c r="U37" s="8"/>
      <c r="V37" s="29">
        <v>55</v>
      </c>
      <c r="W37" s="9">
        <f t="shared" ref="W37" si="210">B37+X37</f>
        <v>46203</v>
      </c>
      <c r="X37" s="11">
        <v>7</v>
      </c>
      <c r="Y37" s="12">
        <v>450</v>
      </c>
      <c r="Z37" s="2">
        <f t="shared" si="39"/>
        <v>0</v>
      </c>
      <c r="AA37" s="2">
        <f t="shared" ref="AA37" ca="1" si="211">IF(W37&gt;TODAY(),"프리타임기간중",Q37*Y37*IF(DATE(YEAR(W37),MONTH(W37),1)&lt;DATE(YEAR($AA$2),MONTH($AA$2),1),DATEDIF($AA$2,$AA$3,"D")+1,DATEDIF(W37,$AA$3+1,"d")))</f>
        <v>251100</v>
      </c>
      <c r="AB37" s="2">
        <f t="shared" ref="AB37" ca="1" si="212">IFERROR(Z37+AA37,"")</f>
        <v>251100</v>
      </c>
    </row>
    <row r="38" spans="2:56" ht="20.100000000000001" customHeight="1">
      <c r="B38" s="9">
        <v>46203</v>
      </c>
      <c r="C38" s="15" t="s">
        <v>552</v>
      </c>
      <c r="D38" s="79" t="s">
        <v>553</v>
      </c>
      <c r="E38" s="13" t="str">
        <f t="shared" ref="E38:E39" si="213">C38&amp;F38</f>
        <v>ONEYANRG06354900FB2222RA3</v>
      </c>
      <c r="F38" s="79" t="s">
        <v>554</v>
      </c>
      <c r="G38" s="78" t="s">
        <v>131</v>
      </c>
      <c r="H38" s="32">
        <v>990</v>
      </c>
      <c r="I38" s="41">
        <f t="shared" ref="I38:I39" si="214">ROUNDUP((H38/V38),0)</f>
        <v>18</v>
      </c>
      <c r="J38" s="29">
        <v>0</v>
      </c>
      <c r="K38" s="29">
        <v>1</v>
      </c>
      <c r="L38" s="41">
        <v>0</v>
      </c>
      <c r="M38" s="29">
        <v>0</v>
      </c>
      <c r="N38" s="80">
        <f t="shared" ref="N38:N39" si="215">P38-K38</f>
        <v>534</v>
      </c>
      <c r="O38" s="44">
        <f t="shared" ref="O38:O39" si="216">ROUNDUP((N38/V38),0)</f>
        <v>10</v>
      </c>
      <c r="P38" s="80">
        <f t="shared" ref="P38:P39" si="217">H38-T38-J38</f>
        <v>535</v>
      </c>
      <c r="Q38" s="44">
        <f t="shared" ref="Q38:Q39" si="218">L38+O38</f>
        <v>10</v>
      </c>
      <c r="R38" s="29">
        <v>55</v>
      </c>
      <c r="S38" s="29">
        <f t="shared" si="36"/>
        <v>400</v>
      </c>
      <c r="T38" s="29">
        <f t="shared" ref="T38:T39" si="219">R38+S38+M38</f>
        <v>455</v>
      </c>
      <c r="U38" s="8"/>
      <c r="V38" s="29">
        <v>55</v>
      </c>
      <c r="W38" s="9">
        <f t="shared" ref="W38:W39" si="220">B38+X38</f>
        <v>46210</v>
      </c>
      <c r="X38" s="11">
        <v>7</v>
      </c>
      <c r="Y38" s="12">
        <v>450</v>
      </c>
      <c r="Z38" s="2">
        <f t="shared" si="39"/>
        <v>0</v>
      </c>
      <c r="AA38" s="2">
        <f t="shared" ref="AA38:AA39" ca="1" si="221">IF(W38&gt;TODAY(),"프리타임기간중",Q38*Y38*IF(DATE(YEAR(W38),MONTH(W38),1)&lt;DATE(YEAR($AA$2),MONTH($AA$2),1),DATEDIF($AA$2,$AA$3,"D")+1,DATEDIF(W38,$AA$3+1,"d")))</f>
        <v>112500</v>
      </c>
      <c r="AB38" s="2">
        <f t="shared" ref="AB38:AB39" ca="1" si="222">IFERROR(Z38+AA38,"")</f>
        <v>112500</v>
      </c>
      <c r="AF38" s="140">
        <v>165</v>
      </c>
      <c r="AG38" s="140">
        <v>110</v>
      </c>
      <c r="AH38" s="140">
        <v>15</v>
      </c>
      <c r="AK38" s="140">
        <v>55</v>
      </c>
      <c r="AM38" s="140">
        <v>55</v>
      </c>
    </row>
    <row r="39" spans="2:56" ht="20.100000000000001" customHeight="1">
      <c r="B39" s="9">
        <v>46205</v>
      </c>
      <c r="C39" s="15" t="s">
        <v>593</v>
      </c>
      <c r="D39" s="79" t="s">
        <v>594</v>
      </c>
      <c r="E39" s="13" t="str">
        <f t="shared" si="213"/>
        <v>ONEYGOAG08782701EL2311RUP</v>
      </c>
      <c r="F39" s="79" t="s">
        <v>477</v>
      </c>
      <c r="G39" s="78" t="s">
        <v>41</v>
      </c>
      <c r="H39" s="32">
        <v>1980</v>
      </c>
      <c r="I39" s="41">
        <f t="shared" si="214"/>
        <v>36</v>
      </c>
      <c r="J39" s="29">
        <v>0</v>
      </c>
      <c r="K39" s="29">
        <v>0</v>
      </c>
      <c r="L39" s="41">
        <v>0</v>
      </c>
      <c r="M39" s="29">
        <v>0</v>
      </c>
      <c r="N39" s="80">
        <f t="shared" si="215"/>
        <v>1485</v>
      </c>
      <c r="O39" s="44">
        <f t="shared" si="216"/>
        <v>27</v>
      </c>
      <c r="P39" s="80">
        <f t="shared" si="217"/>
        <v>1485</v>
      </c>
      <c r="Q39" s="44">
        <f t="shared" si="218"/>
        <v>27</v>
      </c>
      <c r="R39" s="29">
        <v>0</v>
      </c>
      <c r="S39" s="29">
        <f t="shared" si="36"/>
        <v>495</v>
      </c>
      <c r="T39" s="29">
        <f t="shared" si="219"/>
        <v>495</v>
      </c>
      <c r="U39" s="8"/>
      <c r="V39" s="29">
        <v>55</v>
      </c>
      <c r="W39" s="9">
        <f t="shared" si="220"/>
        <v>46212</v>
      </c>
      <c r="X39" s="11">
        <v>7</v>
      </c>
      <c r="Y39" s="12">
        <v>450</v>
      </c>
      <c r="Z39" s="2">
        <f t="shared" si="39"/>
        <v>0</v>
      </c>
      <c r="AA39" s="2">
        <f t="shared" ca="1" si="221"/>
        <v>279450</v>
      </c>
      <c r="AB39" s="2">
        <f t="shared" ca="1" si="222"/>
        <v>279450</v>
      </c>
      <c r="AO39" s="140">
        <v>495</v>
      </c>
    </row>
    <row r="40" spans="2:56" ht="20.100000000000001" customHeight="1">
      <c r="B40" s="9">
        <v>46214</v>
      </c>
      <c r="C40" s="15" t="s">
        <v>686</v>
      </c>
      <c r="D40" s="79" t="s">
        <v>687</v>
      </c>
      <c r="E40" s="13" t="str">
        <f t="shared" ref="E40" si="223">C40&amp;F40</f>
        <v>EGLV05060074355960145721</v>
      </c>
      <c r="F40" s="79">
        <v>60145721</v>
      </c>
      <c r="G40" s="78" t="s">
        <v>200</v>
      </c>
      <c r="H40" s="32">
        <v>1920</v>
      </c>
      <c r="I40" s="41">
        <f t="shared" ref="I40" si="224">ROUNDUP((H40/V40),0)</f>
        <v>32</v>
      </c>
      <c r="J40" s="29">
        <v>0</v>
      </c>
      <c r="K40" s="29">
        <v>0</v>
      </c>
      <c r="L40" s="41">
        <v>0</v>
      </c>
      <c r="M40" s="29">
        <v>0</v>
      </c>
      <c r="N40" s="80">
        <f t="shared" ref="N40" si="225">P40-K40</f>
        <v>1740</v>
      </c>
      <c r="O40" s="44">
        <f t="shared" ref="O40" si="226">ROUNDUP((N40/V40),0)</f>
        <v>29</v>
      </c>
      <c r="P40" s="80">
        <f t="shared" ref="P40" si="227">H40-T40-J40</f>
        <v>1740</v>
      </c>
      <c r="Q40" s="44">
        <f t="shared" ref="Q40" si="228">L40+O40</f>
        <v>29</v>
      </c>
      <c r="R40" s="29">
        <v>0</v>
      </c>
      <c r="S40" s="29">
        <f t="shared" ref="S40" si="229">SUM(AD40:MP40)</f>
        <v>180</v>
      </c>
      <c r="T40" s="29">
        <f t="shared" ref="T40" si="230">R40+S40+M40</f>
        <v>180</v>
      </c>
      <c r="U40" s="8"/>
      <c r="V40" s="29">
        <v>60</v>
      </c>
      <c r="W40" s="9">
        <f t="shared" ref="W40" si="231">B40+X40</f>
        <v>46221</v>
      </c>
      <c r="X40" s="11">
        <v>7</v>
      </c>
      <c r="Y40" s="12">
        <v>450</v>
      </c>
      <c r="Z40" s="2">
        <f t="shared" ref="Z40" si="232">SUMIF($AD$6:$DB$6,E40,$AD$12:$DS$12)</f>
        <v>0</v>
      </c>
      <c r="AA40" s="2">
        <f t="shared" ref="AA40" ca="1" si="233">IF(W40&gt;TODAY(),"프리타임기간중",Q40*Y40*IF(DATE(YEAR(W40),MONTH(W40),1)&lt;DATE(YEAR($AA$2),MONTH($AA$2),1),DATEDIF($AA$2,$AA$3,"D")+1,DATEDIF(W40,$AA$3+1,"d")))</f>
        <v>182700</v>
      </c>
      <c r="AB40" s="2">
        <f t="shared" ref="AB40" ca="1" si="234">IFERROR(Z40+AA40,"")</f>
        <v>182700</v>
      </c>
      <c r="AO40" s="140"/>
      <c r="BC40" s="7">
        <v>120</v>
      </c>
      <c r="BD40" s="140">
        <v>60</v>
      </c>
    </row>
    <row r="41" spans="2:56" ht="20.100000000000001" customHeight="1">
      <c r="B41" s="9">
        <v>46219</v>
      </c>
      <c r="C41" s="15" t="s">
        <v>745</v>
      </c>
      <c r="D41" s="79" t="s">
        <v>746</v>
      </c>
      <c r="E41" s="13" t="str">
        <f t="shared" ref="E41" si="235">C41&amp;F41</f>
        <v>ONEYGOAG10996700EG0711RLD</v>
      </c>
      <c r="F41" s="79" t="s">
        <v>747</v>
      </c>
      <c r="G41" s="78" t="s">
        <v>197</v>
      </c>
      <c r="H41" s="32">
        <v>440</v>
      </c>
      <c r="I41" s="41">
        <f t="shared" ref="I41" si="236">ROUNDUP((H41/V41),0)</f>
        <v>8</v>
      </c>
      <c r="J41" s="29">
        <v>0</v>
      </c>
      <c r="K41" s="29">
        <v>0</v>
      </c>
      <c r="L41" s="41">
        <v>0</v>
      </c>
      <c r="M41" s="29">
        <v>0</v>
      </c>
      <c r="N41" s="80">
        <f t="shared" ref="N41" si="237">P41-K41</f>
        <v>440</v>
      </c>
      <c r="O41" s="44">
        <f t="shared" ref="O41" si="238">ROUNDUP((N41/V41),0)</f>
        <v>8</v>
      </c>
      <c r="P41" s="80">
        <f t="shared" ref="P41" si="239">H41-T41-J41</f>
        <v>440</v>
      </c>
      <c r="Q41" s="44">
        <f t="shared" ref="Q41" si="240">L41+O41</f>
        <v>8</v>
      </c>
      <c r="R41" s="29">
        <v>0</v>
      </c>
      <c r="S41" s="29">
        <f t="shared" ref="S41" si="241">SUM(AD41:MP41)</f>
        <v>0</v>
      </c>
      <c r="T41" s="29">
        <f t="shared" ref="T41" si="242">R41+S41+M41</f>
        <v>0</v>
      </c>
      <c r="U41" s="8"/>
      <c r="V41" s="29">
        <v>55</v>
      </c>
      <c r="W41" s="9">
        <f t="shared" ref="W41" si="243">B41+X41</f>
        <v>46226</v>
      </c>
      <c r="X41" s="11">
        <v>7</v>
      </c>
      <c r="Y41" s="12">
        <v>450</v>
      </c>
      <c r="Z41" s="2">
        <f t="shared" ref="Z41" si="244">SUMIF($AD$6:$DB$6,E41,$AD$12:$DS$12)</f>
        <v>0</v>
      </c>
      <c r="AA41" s="2">
        <f t="shared" ref="AA41" ca="1" si="245">IF(W41&gt;TODAY(),"프리타임기간중",Q41*Y41*IF(DATE(YEAR(W41),MONTH(W41),1)&lt;DATE(YEAR($AA$2),MONTH($AA$2),1),DATEDIF($AA$2,$AA$3,"D")+1,DATEDIF(W41,$AA$3+1,"d")))</f>
        <v>32400</v>
      </c>
      <c r="AB41" s="2">
        <f t="shared" ref="AB41" ca="1" si="246">IFERROR(Z41+AA41,"")</f>
        <v>32400</v>
      </c>
      <c r="AO41" s="140"/>
    </row>
    <row r="42" spans="2:56" ht="20.100000000000001" customHeight="1">
      <c r="B42" s="9">
        <v>46224</v>
      </c>
      <c r="C42" s="15" t="s">
        <v>778</v>
      </c>
      <c r="D42" s="79" t="s">
        <v>779</v>
      </c>
      <c r="E42" s="13" t="str">
        <f t="shared" ref="E42" si="247">C42&amp;F42</f>
        <v>MEDUWW382990FD1911RDH</v>
      </c>
      <c r="F42" s="79" t="s">
        <v>780</v>
      </c>
      <c r="G42" s="78" t="s">
        <v>41</v>
      </c>
      <c r="H42" s="32">
        <v>990</v>
      </c>
      <c r="I42" s="41">
        <f t="shared" ref="I42" si="248">ROUNDUP((H42/V42),0)</f>
        <v>18</v>
      </c>
      <c r="J42" s="29">
        <v>0</v>
      </c>
      <c r="K42" s="29">
        <v>0</v>
      </c>
      <c r="L42" s="41">
        <v>0</v>
      </c>
      <c r="M42" s="29">
        <v>0</v>
      </c>
      <c r="N42" s="80">
        <f t="shared" ref="N42" si="249">P42-K42</f>
        <v>220</v>
      </c>
      <c r="O42" s="44">
        <f t="shared" ref="O42" si="250">ROUNDUP((N42/V42),0)</f>
        <v>4</v>
      </c>
      <c r="P42" s="80">
        <f t="shared" ref="P42" si="251">H42-T42-J42</f>
        <v>220</v>
      </c>
      <c r="Q42" s="44">
        <f t="shared" ref="Q42" si="252">L42+O42</f>
        <v>4</v>
      </c>
      <c r="R42" s="29">
        <v>0</v>
      </c>
      <c r="S42" s="29">
        <f t="shared" ref="S42" si="253">SUM(AD42:MP42)</f>
        <v>770</v>
      </c>
      <c r="T42" s="29">
        <f t="shared" ref="T42" si="254">R42+S42+M42</f>
        <v>770</v>
      </c>
      <c r="U42" s="8"/>
      <c r="V42" s="29">
        <v>55</v>
      </c>
      <c r="W42" s="9">
        <f t="shared" ref="W42" si="255">B42+X42</f>
        <v>46231</v>
      </c>
      <c r="X42" s="11">
        <v>7</v>
      </c>
      <c r="Y42" s="12">
        <v>450</v>
      </c>
      <c r="Z42" s="2">
        <f t="shared" ref="Z42" si="256">SUMIF($AD$6:$DB$6,E42,$AD$12:$DS$12)</f>
        <v>0</v>
      </c>
      <c r="AA42" s="2">
        <f t="shared" ref="AA42" ca="1" si="257">IF(W42&gt;TODAY(),"프리타임기간중",Q42*Y42*IF(DATE(YEAR(W42),MONTH(W42),1)&lt;DATE(YEAR($AA$2),MONTH($AA$2),1),DATEDIF($AA$2,$AA$3,"D")+1,DATEDIF(W42,$AA$3+1,"d")))</f>
        <v>7200</v>
      </c>
      <c r="AB42" s="2">
        <f t="shared" ref="AB42" ca="1" si="258">IFERROR(Z42+AA42,"")</f>
        <v>7200</v>
      </c>
      <c r="AO42" s="140"/>
      <c r="AW42" s="140">
        <v>770</v>
      </c>
    </row>
    <row r="43" spans="2:56" ht="15" customHeight="1" thickBot="1">
      <c r="B43" s="128"/>
      <c r="C43" s="67"/>
      <c r="D43" s="68"/>
      <c r="E43" s="67"/>
    </row>
    <row r="44" spans="2:56" ht="15" customHeight="1" thickTop="1">
      <c r="E44" s="238" t="s">
        <v>41</v>
      </c>
      <c r="F44" s="239"/>
      <c r="G44" s="240" t="s">
        <v>42</v>
      </c>
      <c r="H44" s="241"/>
      <c r="I44" s="242"/>
      <c r="J44" s="33">
        <f>M44/1375</f>
        <v>8</v>
      </c>
      <c r="K44" s="34" t="s">
        <v>43</v>
      </c>
      <c r="L44" s="43">
        <v>440</v>
      </c>
      <c r="M44" s="35">
        <v>11000</v>
      </c>
    </row>
    <row r="45" spans="2:56" ht="15" customHeight="1"/>
    <row r="46" spans="2:56" ht="15" customHeight="1"/>
    <row r="47" spans="2:56" ht="15" customHeight="1">
      <c r="C47" s="7" t="s">
        <v>97</v>
      </c>
      <c r="F47" s="6">
        <f>9420*25</f>
        <v>235500</v>
      </c>
    </row>
    <row r="48" spans="2:56" ht="15" customHeight="1">
      <c r="C48" s="7" t="s">
        <v>94</v>
      </c>
    </row>
    <row r="49" spans="3:3" ht="15" customHeight="1">
      <c r="C49" s="7" t="s">
        <v>95</v>
      </c>
    </row>
    <row r="50" spans="3:3" ht="15" customHeight="1">
      <c r="C50" s="75">
        <v>24750</v>
      </c>
    </row>
    <row r="51" spans="3:3" ht="15" customHeight="1">
      <c r="C51" s="7" t="s">
        <v>93</v>
      </c>
    </row>
    <row r="52" spans="3:3" ht="15" customHeight="1">
      <c r="C52" s="75" t="s">
        <v>96</v>
      </c>
    </row>
    <row r="53" spans="3:3" ht="15" customHeight="1"/>
    <row r="54" spans="3:3" ht="15" customHeight="1">
      <c r="C54" s="7" t="s">
        <v>100</v>
      </c>
    </row>
    <row r="55" spans="3:3" ht="15" customHeight="1"/>
    <row r="56" spans="3:3" ht="15" customHeight="1"/>
    <row r="57" spans="3:3" ht="15" customHeight="1"/>
    <row r="58" spans="3:3" ht="15" customHeight="1"/>
    <row r="59" spans="3:3" ht="15" customHeight="1"/>
    <row r="60" spans="3:3" ht="15" customHeight="1"/>
    <row r="61" spans="3:3" ht="15" customHeight="1"/>
    <row r="62" spans="3:3" ht="15" customHeight="1"/>
    <row r="63" spans="3:3" ht="15" customHeight="1"/>
    <row r="64" spans="3:3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</sheetData>
  <protectedRanges>
    <protectedRange sqref="E44:M44" name="범위1"/>
    <protectedRange sqref="B43:E43" name="범위1_1"/>
  </protectedRanges>
  <autoFilter ref="B12:AC42" xr:uid="{00000000-0001-0000-0200-000000000000}"/>
  <mergeCells count="29">
    <mergeCell ref="Z4:Z12"/>
    <mergeCell ref="AA4:AA12"/>
    <mergeCell ref="AB4:AB12"/>
    <mergeCell ref="E44:F44"/>
    <mergeCell ref="G44:I44"/>
    <mergeCell ref="T4:T12"/>
    <mergeCell ref="U4:U12"/>
    <mergeCell ref="V4:V12"/>
    <mergeCell ref="W4:W12"/>
    <mergeCell ref="X4:X12"/>
    <mergeCell ref="Y4:Y12"/>
    <mergeCell ref="N4:N12"/>
    <mergeCell ref="O4:O12"/>
    <mergeCell ref="P4:P12"/>
    <mergeCell ref="Q4:Q12"/>
    <mergeCell ref="R4:R12"/>
    <mergeCell ref="S4:S12"/>
    <mergeCell ref="H4:H12"/>
    <mergeCell ref="I4:I12"/>
    <mergeCell ref="K4:K12"/>
    <mergeCell ref="L4:L12"/>
    <mergeCell ref="J4:J12"/>
    <mergeCell ref="M4:M12"/>
    <mergeCell ref="G4:G12"/>
    <mergeCell ref="B4:B12"/>
    <mergeCell ref="C4:C12"/>
    <mergeCell ref="D4:D12"/>
    <mergeCell ref="E4:E12"/>
    <mergeCell ref="F4:F12"/>
  </mergeCells>
  <phoneticPr fontId="2" type="noConversion"/>
  <conditionalFormatting sqref="P13 P15:P42">
    <cfRule type="cellIs" dxfId="21" priority="172" operator="equal">
      <formula>0</formula>
    </cfRule>
  </conditionalFormatting>
  <conditionalFormatting sqref="P14">
    <cfRule type="cellIs" dxfId="20" priority="14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horizontalDpi="200" verticalDpi="2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1AC59-2C59-46F1-946E-4B39B24278D2}">
  <sheetPr codeName="Sheet27"/>
  <dimension ref="B1:HO119"/>
  <sheetViews>
    <sheetView zoomScaleNormal="100" workbookViewId="0">
      <pane xSplit="29" ySplit="12" topLeftCell="AD74" activePane="bottomRight" state="frozen"/>
      <selection activeCell="C17" sqref="C17"/>
      <selection pane="topRight" activeCell="C17" sqref="C17"/>
      <selection pane="bottomLeft" activeCell="C17" sqref="C17"/>
      <selection pane="bottomRight" activeCell="F111" sqref="F111"/>
    </sheetView>
  </sheetViews>
  <sheetFormatPr defaultColWidth="9" defaultRowHeight="11.25" outlineLevelCol="1"/>
  <cols>
    <col min="1" max="1" width="2" style="7" customWidth="1"/>
    <col min="2" max="2" width="9.25" style="6" customWidth="1"/>
    <col min="3" max="3" width="15.125" style="7" bestFit="1" customWidth="1"/>
    <col min="4" max="4" width="5.75" style="7" customWidth="1"/>
    <col min="5" max="5" width="7.875" style="6" customWidth="1"/>
    <col min="6" max="6" width="23.125" style="6" customWidth="1"/>
    <col min="7" max="7" width="8.5" style="6" customWidth="1" outlineLevel="1"/>
    <col min="8" max="8" width="6.75" style="16" customWidth="1" outlineLevel="1"/>
    <col min="9" max="9" width="7" style="40" customWidth="1" outlineLevel="1"/>
    <col min="10" max="11" width="6.75" style="16" customWidth="1" outlineLevel="1"/>
    <col min="12" max="12" width="6.75" style="40" customWidth="1" outlineLevel="1"/>
    <col min="13" max="13" width="8.75" style="16" customWidth="1" outlineLevel="1"/>
    <col min="14" max="14" width="6.75" style="16" customWidth="1"/>
    <col min="15" max="15" width="6.75" style="40" customWidth="1"/>
    <col min="16" max="16" width="6.5" style="21" customWidth="1"/>
    <col min="17" max="17" width="6.75" style="22" customWidth="1"/>
    <col min="18" max="18" width="6.75" style="16" customWidth="1" outlineLevel="1"/>
    <col min="19" max="20" width="6.75" style="30" customWidth="1" outlineLevel="1"/>
    <col min="21" max="21" width="17" style="94" customWidth="1" outlineLevel="1"/>
    <col min="22" max="22" width="4.625" style="30" customWidth="1" outlineLevel="1"/>
    <col min="23" max="23" width="9.25" style="7" customWidth="1" outlineLevel="1"/>
    <col min="24" max="24" width="5" style="7" customWidth="1" outlineLevel="1"/>
    <col min="25" max="25" width="4.5" style="7" customWidth="1" outlineLevel="1"/>
    <col min="26" max="26" width="7.25" style="1" customWidth="1" outlineLevel="1"/>
    <col min="27" max="27" width="11.25" style="1" customWidth="1" outlineLevel="1"/>
    <col min="28" max="28" width="7.25" style="1" customWidth="1" outlineLevel="1"/>
    <col min="29" max="29" width="13.75" style="60" customWidth="1"/>
    <col min="30" max="73" width="0" style="7" hidden="1" customWidth="1"/>
    <col min="74" max="16384" width="9" style="7"/>
  </cols>
  <sheetData>
    <row r="1" spans="2:223" s="23" customFormat="1" ht="20.100000000000001" customHeight="1">
      <c r="H1" s="25"/>
      <c r="I1" s="36"/>
      <c r="J1" s="25"/>
      <c r="K1" s="25"/>
      <c r="L1" s="36"/>
      <c r="M1" s="25"/>
      <c r="N1" s="25"/>
      <c r="O1" s="36"/>
      <c r="P1" s="25"/>
      <c r="Q1" s="36"/>
      <c r="R1" s="25"/>
      <c r="S1" s="25"/>
      <c r="T1" s="25"/>
      <c r="V1" s="25"/>
      <c r="AC1" s="54"/>
    </row>
    <row r="2" spans="2:223" s="23" customFormat="1" ht="20.100000000000001" customHeight="1">
      <c r="F2" s="63"/>
      <c r="H2" s="25"/>
      <c r="I2" s="36"/>
      <c r="J2" s="25"/>
      <c r="K2" s="25"/>
      <c r="L2" s="36"/>
      <c r="M2" s="25"/>
      <c r="N2" s="25"/>
      <c r="O2" s="36"/>
      <c r="P2" s="25"/>
      <c r="Q2" s="36"/>
      <c r="R2" s="25"/>
      <c r="S2" s="25"/>
      <c r="T2" s="25"/>
      <c r="V2" s="25"/>
      <c r="Z2" s="23" t="s">
        <v>87</v>
      </c>
      <c r="AA2" s="102">
        <v>46204</v>
      </c>
      <c r="AC2" s="54"/>
    </row>
    <row r="3" spans="2:223" s="23" customFormat="1" ht="20.100000000000001" customHeight="1" thickBot="1">
      <c r="H3" s="25"/>
      <c r="I3" s="36"/>
      <c r="J3" s="25"/>
      <c r="K3" s="25"/>
      <c r="L3" s="36"/>
      <c r="M3" s="25"/>
      <c r="N3" s="25"/>
      <c r="O3" s="36"/>
      <c r="P3" s="25"/>
      <c r="Q3" s="36"/>
      <c r="R3" s="25"/>
      <c r="S3" s="25"/>
      <c r="T3" s="25"/>
      <c r="V3" s="25"/>
      <c r="Z3" s="23" t="s">
        <v>86</v>
      </c>
      <c r="AA3" s="102">
        <v>46234</v>
      </c>
      <c r="AC3" s="54"/>
    </row>
    <row r="4" spans="2:223" ht="22.5" customHeight="1">
      <c r="B4" s="187" t="s">
        <v>16</v>
      </c>
      <c r="C4" s="173" t="s">
        <v>17</v>
      </c>
      <c r="D4" s="173" t="s">
        <v>18</v>
      </c>
      <c r="E4" s="173" t="s">
        <v>19</v>
      </c>
      <c r="F4" s="173" t="s">
        <v>20</v>
      </c>
      <c r="G4" s="173" t="s">
        <v>49</v>
      </c>
      <c r="H4" s="179" t="s">
        <v>21</v>
      </c>
      <c r="I4" s="182" t="s">
        <v>22</v>
      </c>
      <c r="J4" s="185" t="s">
        <v>71</v>
      </c>
      <c r="K4" s="185" t="s">
        <v>23</v>
      </c>
      <c r="L4" s="186" t="s">
        <v>9</v>
      </c>
      <c r="M4" s="179" t="s">
        <v>24</v>
      </c>
      <c r="N4" s="179" t="s">
        <v>25</v>
      </c>
      <c r="O4" s="182" t="s">
        <v>26</v>
      </c>
      <c r="P4" s="179" t="s">
        <v>27</v>
      </c>
      <c r="Q4" s="182" t="s">
        <v>28</v>
      </c>
      <c r="R4" s="179" t="s">
        <v>29</v>
      </c>
      <c r="S4" s="179" t="s">
        <v>30</v>
      </c>
      <c r="T4" s="179" t="s">
        <v>31</v>
      </c>
      <c r="U4" s="173" t="s">
        <v>32</v>
      </c>
      <c r="V4" s="179" t="s">
        <v>33</v>
      </c>
      <c r="W4" s="173" t="s">
        <v>34</v>
      </c>
      <c r="X4" s="173" t="s">
        <v>35</v>
      </c>
      <c r="Y4" s="173" t="s">
        <v>36</v>
      </c>
      <c r="Z4" s="173" t="s">
        <v>37</v>
      </c>
      <c r="AA4" s="173" t="s">
        <v>38</v>
      </c>
      <c r="AB4" s="176" t="s">
        <v>39</v>
      </c>
      <c r="AC4" s="70" t="s">
        <v>0</v>
      </c>
      <c r="AD4" s="73">
        <v>46205</v>
      </c>
      <c r="AE4" s="73">
        <v>46205</v>
      </c>
      <c r="AF4" s="73">
        <v>46205</v>
      </c>
      <c r="AG4" s="73">
        <v>46205</v>
      </c>
      <c r="AH4" s="73">
        <v>46205</v>
      </c>
      <c r="AI4" s="73">
        <v>46205</v>
      </c>
      <c r="AJ4" s="73">
        <v>46205</v>
      </c>
      <c r="AK4" s="73">
        <v>46206</v>
      </c>
      <c r="AL4" s="73">
        <v>46206</v>
      </c>
      <c r="AM4" s="73">
        <v>46206</v>
      </c>
      <c r="AN4" s="73">
        <v>46206</v>
      </c>
      <c r="AO4" s="73">
        <v>46206</v>
      </c>
      <c r="AP4" s="73">
        <v>46206</v>
      </c>
      <c r="AQ4" s="73">
        <v>46206</v>
      </c>
      <c r="AR4" s="73">
        <v>46211</v>
      </c>
      <c r="AS4" s="73">
        <v>46211</v>
      </c>
      <c r="AT4" s="73">
        <v>46211</v>
      </c>
      <c r="AU4" s="73">
        <v>46211</v>
      </c>
      <c r="AV4" s="73">
        <v>46212</v>
      </c>
      <c r="AW4" s="73">
        <v>46212</v>
      </c>
      <c r="AX4" s="73">
        <v>46212</v>
      </c>
      <c r="AY4" s="73">
        <v>46212</v>
      </c>
      <c r="AZ4" s="73">
        <v>46212</v>
      </c>
      <c r="BA4" s="73">
        <v>46217</v>
      </c>
      <c r="BB4" s="73">
        <v>46217</v>
      </c>
      <c r="BC4" s="73">
        <v>46217</v>
      </c>
      <c r="BD4" s="73">
        <v>46217</v>
      </c>
      <c r="BE4" s="73">
        <v>46217</v>
      </c>
      <c r="BF4" s="73">
        <v>46217</v>
      </c>
      <c r="BG4" s="73">
        <v>46217</v>
      </c>
      <c r="BH4" s="73">
        <v>46217</v>
      </c>
      <c r="BI4" s="73">
        <v>46217</v>
      </c>
      <c r="BJ4" s="73">
        <v>46217</v>
      </c>
      <c r="BK4" s="73">
        <v>46217</v>
      </c>
      <c r="BL4" s="73">
        <v>46217</v>
      </c>
      <c r="BM4" s="73">
        <v>46218</v>
      </c>
      <c r="BN4" s="73">
        <v>46219</v>
      </c>
      <c r="BO4" s="73">
        <v>46219</v>
      </c>
      <c r="BP4" s="73">
        <v>46219</v>
      </c>
      <c r="BQ4" s="73">
        <v>46219</v>
      </c>
      <c r="BR4" s="73">
        <v>46224</v>
      </c>
      <c r="BS4" s="73">
        <v>46224</v>
      </c>
      <c r="BT4" s="73">
        <v>46224</v>
      </c>
      <c r="BU4" s="73">
        <v>46224</v>
      </c>
      <c r="BV4" s="73">
        <v>46224</v>
      </c>
      <c r="BW4" s="73">
        <v>46224</v>
      </c>
      <c r="BX4" s="73">
        <v>46224</v>
      </c>
      <c r="BY4" s="73">
        <v>46232</v>
      </c>
      <c r="BZ4" s="73">
        <v>46232</v>
      </c>
      <c r="CA4" s="73">
        <v>46232</v>
      </c>
      <c r="CB4" s="73">
        <v>46232</v>
      </c>
      <c r="CC4" s="73">
        <v>46232</v>
      </c>
      <c r="CD4" s="73">
        <v>46232</v>
      </c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</row>
    <row r="5" spans="2:223" ht="20.100000000000001" customHeight="1">
      <c r="B5" s="188"/>
      <c r="C5" s="174"/>
      <c r="D5" s="174"/>
      <c r="E5" s="174"/>
      <c r="F5" s="174"/>
      <c r="G5" s="174"/>
      <c r="H5" s="180"/>
      <c r="I5" s="183"/>
      <c r="J5" s="180"/>
      <c r="K5" s="180"/>
      <c r="L5" s="183"/>
      <c r="M5" s="180"/>
      <c r="N5" s="180"/>
      <c r="O5" s="183"/>
      <c r="P5" s="180"/>
      <c r="Q5" s="183"/>
      <c r="R5" s="180"/>
      <c r="S5" s="180"/>
      <c r="T5" s="180"/>
      <c r="U5" s="174"/>
      <c r="V5" s="180"/>
      <c r="W5" s="174"/>
      <c r="X5" s="174"/>
      <c r="Y5" s="174"/>
      <c r="Z5" s="174"/>
      <c r="AA5" s="174"/>
      <c r="AB5" s="177"/>
      <c r="AC5" s="70" t="s">
        <v>1</v>
      </c>
      <c r="AD5" s="74" t="s">
        <v>461</v>
      </c>
      <c r="AE5" s="74" t="s">
        <v>461</v>
      </c>
      <c r="AF5" s="74" t="s">
        <v>461</v>
      </c>
      <c r="AG5" s="74" t="s">
        <v>461</v>
      </c>
      <c r="AH5" s="74" t="s">
        <v>461</v>
      </c>
      <c r="AI5" s="74" t="s">
        <v>461</v>
      </c>
      <c r="AJ5" s="74" t="s">
        <v>461</v>
      </c>
      <c r="AK5" s="74" t="s">
        <v>461</v>
      </c>
      <c r="AL5" s="74" t="s">
        <v>461</v>
      </c>
      <c r="AM5" s="74" t="s">
        <v>461</v>
      </c>
      <c r="AN5" s="74" t="s">
        <v>461</v>
      </c>
      <c r="AO5" s="74" t="s">
        <v>461</v>
      </c>
      <c r="AP5" s="74" t="s">
        <v>461</v>
      </c>
      <c r="AQ5" s="74" t="s">
        <v>461</v>
      </c>
      <c r="AR5" s="74" t="s">
        <v>461</v>
      </c>
      <c r="AS5" s="74" t="s">
        <v>461</v>
      </c>
      <c r="AT5" s="74" t="s">
        <v>461</v>
      </c>
      <c r="AU5" s="74" t="s">
        <v>650</v>
      </c>
      <c r="AV5" s="74" t="s">
        <v>461</v>
      </c>
      <c r="AW5" s="74" t="s">
        <v>461</v>
      </c>
      <c r="AX5" s="74" t="s">
        <v>461</v>
      </c>
      <c r="AY5" s="74" t="s">
        <v>461</v>
      </c>
      <c r="AZ5" s="74" t="s">
        <v>461</v>
      </c>
      <c r="BA5" s="74" t="s">
        <v>461</v>
      </c>
      <c r="BB5" s="74" t="s">
        <v>461</v>
      </c>
      <c r="BC5" s="74" t="s">
        <v>461</v>
      </c>
      <c r="BD5" s="74" t="s">
        <v>461</v>
      </c>
      <c r="BE5" s="74" t="s">
        <v>461</v>
      </c>
      <c r="BF5" s="74" t="s">
        <v>461</v>
      </c>
      <c r="BG5" s="74" t="s">
        <v>461</v>
      </c>
      <c r="BH5" s="74" t="s">
        <v>461</v>
      </c>
      <c r="BI5" s="74" t="s">
        <v>461</v>
      </c>
      <c r="BJ5" s="74" t="s">
        <v>461</v>
      </c>
      <c r="BK5" s="74" t="s">
        <v>461</v>
      </c>
      <c r="BL5" s="74" t="s">
        <v>461</v>
      </c>
      <c r="BM5" s="74" t="s">
        <v>461</v>
      </c>
      <c r="BN5" s="74" t="s">
        <v>461</v>
      </c>
      <c r="BO5" s="74" t="s">
        <v>461</v>
      </c>
      <c r="BP5" s="74" t="s">
        <v>461</v>
      </c>
      <c r="BQ5" s="74" t="s">
        <v>461</v>
      </c>
      <c r="BR5" s="74" t="s">
        <v>461</v>
      </c>
      <c r="BS5" s="74" t="s">
        <v>461</v>
      </c>
      <c r="BT5" s="74" t="s">
        <v>461</v>
      </c>
      <c r="BU5" s="74" t="s">
        <v>461</v>
      </c>
      <c r="BV5" s="74" t="s">
        <v>461</v>
      </c>
      <c r="BW5" s="74" t="s">
        <v>461</v>
      </c>
      <c r="BX5" s="74" t="s">
        <v>461</v>
      </c>
      <c r="BY5" s="74" t="s">
        <v>461</v>
      </c>
      <c r="BZ5" s="74" t="s">
        <v>461</v>
      </c>
      <c r="CA5" s="74" t="s">
        <v>461</v>
      </c>
      <c r="CB5" s="74" t="s">
        <v>461</v>
      </c>
      <c r="CC5" s="74" t="s">
        <v>461</v>
      </c>
      <c r="CD5" s="74" t="s">
        <v>461</v>
      </c>
      <c r="CE5" s="74"/>
      <c r="CF5" s="74"/>
      <c r="CG5" s="74"/>
      <c r="CH5" s="74"/>
      <c r="CI5" s="74"/>
      <c r="CJ5" s="74"/>
      <c r="CK5" s="74"/>
      <c r="CL5" s="74"/>
      <c r="CM5" s="74"/>
      <c r="CN5" s="74"/>
      <c r="CO5" s="74"/>
      <c r="CP5" s="74"/>
      <c r="CQ5" s="74"/>
      <c r="CR5" s="74"/>
      <c r="CS5" s="74"/>
      <c r="CT5" s="74"/>
      <c r="CU5" s="74"/>
      <c r="CV5" s="74"/>
      <c r="CW5" s="74"/>
      <c r="CX5" s="74"/>
      <c r="CY5" s="74"/>
      <c r="CZ5" s="74"/>
      <c r="DA5" s="74"/>
      <c r="DB5" s="74"/>
      <c r="DC5" s="74"/>
      <c r="DD5" s="74"/>
      <c r="DE5" s="74"/>
      <c r="DF5" s="74"/>
      <c r="DG5" s="74"/>
      <c r="DH5" s="74"/>
      <c r="DI5" s="74"/>
      <c r="DJ5" s="74"/>
      <c r="DK5" s="74"/>
      <c r="DL5" s="74"/>
      <c r="DM5" s="74"/>
      <c r="DN5" s="74"/>
      <c r="DO5" s="74"/>
      <c r="DP5" s="74"/>
      <c r="DQ5" s="74"/>
      <c r="DR5" s="74"/>
      <c r="DS5" s="74"/>
      <c r="DT5" s="74"/>
      <c r="DU5" s="74"/>
      <c r="DV5" s="74"/>
      <c r="DW5" s="74"/>
      <c r="DX5" s="74"/>
      <c r="DY5" s="74"/>
      <c r="DZ5" s="74"/>
      <c r="EA5" s="74"/>
      <c r="EB5" s="74"/>
      <c r="EC5" s="74"/>
      <c r="ED5" s="74"/>
      <c r="EE5" s="74"/>
      <c r="EF5" s="74"/>
      <c r="EG5" s="74"/>
      <c r="EH5" s="74"/>
      <c r="EI5" s="74"/>
      <c r="EJ5" s="74"/>
      <c r="EK5" s="74"/>
      <c r="EL5" s="74"/>
      <c r="EM5" s="74"/>
      <c r="EN5" s="74"/>
      <c r="EO5" s="74"/>
      <c r="EP5" s="74"/>
      <c r="EQ5" s="74"/>
      <c r="ER5" s="74"/>
      <c r="ES5" s="74"/>
      <c r="ET5" s="74"/>
      <c r="EU5" s="74"/>
      <c r="EV5" s="74"/>
      <c r="EW5" s="74"/>
      <c r="EX5" s="74"/>
      <c r="EY5" s="74"/>
      <c r="EZ5" s="74"/>
      <c r="FA5" s="74"/>
      <c r="FB5" s="74"/>
      <c r="FC5" s="74"/>
      <c r="FD5" s="74"/>
      <c r="FE5" s="74"/>
      <c r="FF5" s="74"/>
      <c r="FG5" s="74"/>
      <c r="FH5" s="74"/>
      <c r="FI5" s="74"/>
      <c r="FJ5" s="74"/>
      <c r="FK5" s="74"/>
      <c r="FL5" s="74"/>
      <c r="FM5" s="74"/>
      <c r="FN5" s="74"/>
      <c r="FO5" s="74"/>
      <c r="FP5" s="74"/>
      <c r="FQ5" s="74"/>
      <c r="FR5" s="74"/>
      <c r="FS5" s="74"/>
      <c r="FT5" s="74"/>
      <c r="FU5" s="74"/>
      <c r="FV5" s="74"/>
      <c r="FW5" s="74"/>
      <c r="FX5" s="74"/>
      <c r="FY5" s="74"/>
      <c r="FZ5" s="74"/>
      <c r="GA5" s="74"/>
      <c r="GB5" s="74"/>
      <c r="GC5" s="74"/>
      <c r="GD5" s="74"/>
      <c r="GE5" s="74"/>
      <c r="GF5" s="74"/>
      <c r="GG5" s="74"/>
      <c r="GH5" s="74"/>
      <c r="GI5" s="74"/>
      <c r="GJ5" s="74"/>
      <c r="GK5" s="74"/>
      <c r="GL5" s="74"/>
      <c r="GM5" s="74"/>
      <c r="GN5" s="74"/>
      <c r="GO5" s="74"/>
      <c r="GP5" s="74"/>
      <c r="GQ5" s="74"/>
      <c r="GR5" s="74"/>
      <c r="GS5" s="74"/>
      <c r="GT5" s="74"/>
      <c r="GU5" s="74"/>
      <c r="GV5" s="74"/>
      <c r="GW5" s="74"/>
      <c r="GX5" s="74"/>
      <c r="GY5" s="74"/>
      <c r="GZ5" s="74"/>
      <c r="HA5" s="74"/>
      <c r="HB5" s="74"/>
      <c r="HC5" s="74"/>
      <c r="HD5" s="74"/>
      <c r="HE5" s="74"/>
      <c r="HF5" s="74"/>
      <c r="HG5" s="74"/>
      <c r="HH5" s="74"/>
      <c r="HI5" s="74"/>
      <c r="HJ5" s="74"/>
      <c r="HK5" s="74"/>
      <c r="HL5" s="74"/>
      <c r="HM5" s="74"/>
      <c r="HN5" s="74"/>
      <c r="HO5" s="74"/>
    </row>
    <row r="6" spans="2:223" ht="15" customHeight="1">
      <c r="B6" s="188"/>
      <c r="C6" s="174"/>
      <c r="D6" s="174"/>
      <c r="E6" s="174"/>
      <c r="F6" s="174"/>
      <c r="G6" s="174"/>
      <c r="H6" s="180"/>
      <c r="I6" s="183"/>
      <c r="J6" s="180"/>
      <c r="K6" s="180"/>
      <c r="L6" s="183"/>
      <c r="M6" s="180"/>
      <c r="N6" s="180"/>
      <c r="O6" s="183"/>
      <c r="P6" s="180"/>
      <c r="Q6" s="183"/>
      <c r="R6" s="180"/>
      <c r="S6" s="180"/>
      <c r="T6" s="180"/>
      <c r="U6" s="174"/>
      <c r="V6" s="180"/>
      <c r="W6" s="174"/>
      <c r="X6" s="174"/>
      <c r="Y6" s="174"/>
      <c r="Z6" s="174"/>
      <c r="AA6" s="174"/>
      <c r="AB6" s="177"/>
      <c r="AC6" s="58" t="s">
        <v>2</v>
      </c>
      <c r="AD6" s="17" t="str">
        <f t="shared" ref="AD6:CN6" si="0">IFERROR(INDEX($C$13:$C$376,MATCH(SUM(AD$13:AD$376),AD$13:AD$376,0),1),"")</f>
        <v>WDFCHNP22632402</v>
      </c>
      <c r="AE6" s="17" t="str">
        <f t="shared" si="0"/>
        <v>WDFCHNP22632402</v>
      </c>
      <c r="AF6" s="17" t="str">
        <f t="shared" si="0"/>
        <v>WDFCHNP22632402</v>
      </c>
      <c r="AG6" s="17" t="str">
        <f t="shared" si="0"/>
        <v>WDFCHNP22632402</v>
      </c>
      <c r="AH6" s="17" t="str">
        <f t="shared" si="0"/>
        <v>WDFCHNP22632402</v>
      </c>
      <c r="AI6" s="17" t="str">
        <f t="shared" si="0"/>
        <v>WDFCHNP22632402</v>
      </c>
      <c r="AJ6" s="17" t="str">
        <f t="shared" si="0"/>
        <v>WDFCHNP22632402</v>
      </c>
      <c r="AK6" s="17" t="str">
        <f t="shared" si="0"/>
        <v>JYPRQD2606057</v>
      </c>
      <c r="AL6" s="17" t="str">
        <f t="shared" si="0"/>
        <v>JYPRQD2606057</v>
      </c>
      <c r="AM6" s="17" t="str">
        <f t="shared" si="0"/>
        <v>JYPRQD2606057</v>
      </c>
      <c r="AN6" s="17" t="str">
        <f t="shared" si="0"/>
        <v>JYPRQD2606057</v>
      </c>
      <c r="AO6" s="17" t="str">
        <f t="shared" si="0"/>
        <v>JYPRQD2606057</v>
      </c>
      <c r="AP6" s="17" t="str">
        <f t="shared" si="0"/>
        <v>JYPRQD2606057</v>
      </c>
      <c r="AQ6" s="17" t="str">
        <f t="shared" si="0"/>
        <v>JYPRQD2606057</v>
      </c>
      <c r="AR6" s="17" t="str">
        <f t="shared" si="0"/>
        <v>COHEAR685YN066</v>
      </c>
      <c r="AS6" s="17" t="str">
        <f t="shared" si="0"/>
        <v>COHEAR685YN066</v>
      </c>
      <c r="AT6" s="17" t="str">
        <f t="shared" si="0"/>
        <v>EASHP2263QI212</v>
      </c>
      <c r="AU6" s="17" t="str">
        <f t="shared" si="0"/>
        <v>JYPRQD2606057</v>
      </c>
      <c r="AV6" s="17" t="str">
        <f t="shared" si="0"/>
        <v>SITTAGIN653306</v>
      </c>
      <c r="AW6" s="17" t="str">
        <f t="shared" si="0"/>
        <v>SITTAGIN653306</v>
      </c>
      <c r="AX6" s="17" t="str">
        <f t="shared" si="0"/>
        <v>SITTAGIN653306</v>
      </c>
      <c r="AY6" s="17" t="str">
        <f t="shared" si="0"/>
        <v>SITTAGIN653306</v>
      </c>
      <c r="AZ6" s="17" t="str">
        <f t="shared" si="0"/>
        <v>COHEAR685YN066</v>
      </c>
      <c r="BA6" s="17" t="str">
        <f t="shared" si="0"/>
        <v>JYPRQD2607006</v>
      </c>
      <c r="BB6" s="17" t="str">
        <f t="shared" si="0"/>
        <v>JYPRQD2607006</v>
      </c>
      <c r="BC6" s="17" t="str">
        <f t="shared" si="0"/>
        <v>JYPRQD2607006</v>
      </c>
      <c r="BD6" s="17" t="str">
        <f t="shared" si="0"/>
        <v>JYPRQD2607006</v>
      </c>
      <c r="BE6" s="17" t="str">
        <f t="shared" si="0"/>
        <v>JYPRQD2607006</v>
      </c>
      <c r="BF6" s="17" t="str">
        <f t="shared" si="0"/>
        <v>JYPRQD2607006</v>
      </c>
      <c r="BG6" s="17" t="str">
        <f t="shared" si="0"/>
        <v>JYPRQD2607006</v>
      </c>
      <c r="BH6" s="17" t="str">
        <f t="shared" si="0"/>
        <v>SITTAGIN657094</v>
      </c>
      <c r="BI6" s="17" t="str">
        <f t="shared" si="0"/>
        <v>SITTAGIN657094</v>
      </c>
      <c r="BJ6" s="17" t="str">
        <f t="shared" si="0"/>
        <v>SITTAGIN657094</v>
      </c>
      <c r="BK6" s="17" t="str">
        <f t="shared" si="0"/>
        <v>SITTAGIN657094</v>
      </c>
      <c r="BL6" s="17" t="str">
        <f t="shared" si="0"/>
        <v>SITTAGIN657094</v>
      </c>
      <c r="BM6" s="17" t="str">
        <f t="shared" si="0"/>
        <v>HCMKRINC260770</v>
      </c>
      <c r="BN6" s="17" t="str">
        <f t="shared" si="0"/>
        <v>JYPRQD2607006</v>
      </c>
      <c r="BO6" s="17" t="str">
        <f t="shared" si="0"/>
        <v>HSTE26070292</v>
      </c>
      <c r="BP6" s="17" t="str">
        <f t="shared" si="0"/>
        <v>HSTE26070292</v>
      </c>
      <c r="BQ6" s="17" t="str">
        <f t="shared" si="0"/>
        <v>HSTE26070292</v>
      </c>
      <c r="BR6" s="17" t="str">
        <f t="shared" si="0"/>
        <v>JYPRQD2607006</v>
      </c>
      <c r="BS6" s="17" t="str">
        <f t="shared" si="0"/>
        <v>YZJHP2268EQDIH906</v>
      </c>
      <c r="BT6" s="17" t="str">
        <f t="shared" si="0"/>
        <v>YZJHP2268EQDIH906</v>
      </c>
      <c r="BU6" s="17" t="str">
        <f t="shared" si="0"/>
        <v>YZJHP2268EQDIH906</v>
      </c>
      <c r="BV6" s="17" t="str">
        <f t="shared" si="0"/>
        <v>YZJHP2268EQDIH906</v>
      </c>
      <c r="BW6" s="17" t="str">
        <f t="shared" si="0"/>
        <v>YZJHP2268EQDIH906</v>
      </c>
      <c r="BX6" s="17" t="str">
        <f t="shared" si="0"/>
        <v>YZJHP2268EQDIH906</v>
      </c>
      <c r="BY6" s="17" t="str">
        <f t="shared" si="0"/>
        <v>CKCOTAO1200884</v>
      </c>
      <c r="BZ6" s="17" t="str">
        <f t="shared" si="0"/>
        <v>CKCOTAO1200884</v>
      </c>
      <c r="CA6" s="17" t="str">
        <f t="shared" si="0"/>
        <v>CKCOTAO1200884</v>
      </c>
      <c r="CB6" s="17" t="str">
        <f t="shared" si="0"/>
        <v>CKCOTAO1200884</v>
      </c>
      <c r="CC6" s="17" t="str">
        <f t="shared" si="0"/>
        <v>CKCOTAO1200884</v>
      </c>
      <c r="CD6" s="17" t="str">
        <f t="shared" si="0"/>
        <v>CKCOTAO1200884</v>
      </c>
      <c r="CE6" s="17" t="str">
        <f t="shared" si="0"/>
        <v/>
      </c>
      <c r="CF6" s="17" t="str">
        <f t="shared" si="0"/>
        <v/>
      </c>
      <c r="CG6" s="17" t="str">
        <f t="shared" si="0"/>
        <v/>
      </c>
      <c r="CH6" s="17" t="str">
        <f t="shared" si="0"/>
        <v/>
      </c>
      <c r="CI6" s="17" t="str">
        <f t="shared" si="0"/>
        <v/>
      </c>
      <c r="CJ6" s="17" t="str">
        <f t="shared" si="0"/>
        <v/>
      </c>
      <c r="CK6" s="17" t="str">
        <f t="shared" si="0"/>
        <v/>
      </c>
      <c r="CL6" s="17" t="str">
        <f t="shared" si="0"/>
        <v/>
      </c>
      <c r="CM6" s="17" t="str">
        <f t="shared" si="0"/>
        <v/>
      </c>
      <c r="CN6" s="17" t="str">
        <f t="shared" si="0"/>
        <v/>
      </c>
      <c r="CO6" s="17" t="str">
        <f t="shared" ref="CO6:EZ6" si="1">IFERROR(INDEX($C$13:$C$376,MATCH(SUM(CO$13:CO$376),CO$13:CO$376,0),1),"")</f>
        <v/>
      </c>
      <c r="CP6" s="17" t="str">
        <f t="shared" si="1"/>
        <v/>
      </c>
      <c r="CQ6" s="17" t="str">
        <f t="shared" si="1"/>
        <v/>
      </c>
      <c r="CR6" s="17" t="str">
        <f t="shared" si="1"/>
        <v/>
      </c>
      <c r="CS6" s="17" t="str">
        <f t="shared" si="1"/>
        <v/>
      </c>
      <c r="CT6" s="17" t="str">
        <f t="shared" si="1"/>
        <v/>
      </c>
      <c r="CU6" s="17" t="str">
        <f t="shared" si="1"/>
        <v/>
      </c>
      <c r="CV6" s="17" t="str">
        <f t="shared" si="1"/>
        <v/>
      </c>
      <c r="CW6" s="17" t="str">
        <f t="shared" si="1"/>
        <v/>
      </c>
      <c r="CX6" s="17" t="str">
        <f t="shared" si="1"/>
        <v/>
      </c>
      <c r="CY6" s="17" t="str">
        <f t="shared" si="1"/>
        <v/>
      </c>
      <c r="CZ6" s="17" t="str">
        <f t="shared" si="1"/>
        <v/>
      </c>
      <c r="DA6" s="17" t="str">
        <f t="shared" si="1"/>
        <v/>
      </c>
      <c r="DB6" s="17" t="str">
        <f t="shared" si="1"/>
        <v/>
      </c>
      <c r="DC6" s="17" t="str">
        <f t="shared" si="1"/>
        <v/>
      </c>
      <c r="DD6" s="17" t="str">
        <f t="shared" si="1"/>
        <v/>
      </c>
      <c r="DE6" s="17" t="str">
        <f t="shared" si="1"/>
        <v/>
      </c>
      <c r="DF6" s="17" t="str">
        <f t="shared" si="1"/>
        <v/>
      </c>
      <c r="DG6" s="17" t="str">
        <f t="shared" si="1"/>
        <v/>
      </c>
      <c r="DH6" s="17" t="str">
        <f t="shared" si="1"/>
        <v/>
      </c>
      <c r="DI6" s="17" t="str">
        <f t="shared" si="1"/>
        <v/>
      </c>
      <c r="DJ6" s="17" t="str">
        <f t="shared" si="1"/>
        <v/>
      </c>
      <c r="DK6" s="17" t="str">
        <f t="shared" si="1"/>
        <v/>
      </c>
      <c r="DL6" s="17" t="str">
        <f t="shared" si="1"/>
        <v/>
      </c>
      <c r="DM6" s="17" t="str">
        <f t="shared" si="1"/>
        <v/>
      </c>
      <c r="DN6" s="17" t="str">
        <f t="shared" si="1"/>
        <v/>
      </c>
      <c r="DO6" s="17" t="str">
        <f t="shared" si="1"/>
        <v/>
      </c>
      <c r="DP6" s="17" t="str">
        <f t="shared" si="1"/>
        <v/>
      </c>
      <c r="DQ6" s="17" t="str">
        <f t="shared" si="1"/>
        <v/>
      </c>
      <c r="DR6" s="17" t="str">
        <f t="shared" si="1"/>
        <v/>
      </c>
      <c r="DS6" s="17" t="str">
        <f t="shared" si="1"/>
        <v/>
      </c>
      <c r="DT6" s="17" t="str">
        <f t="shared" si="1"/>
        <v/>
      </c>
      <c r="DU6" s="17" t="str">
        <f t="shared" si="1"/>
        <v/>
      </c>
      <c r="DV6" s="17" t="str">
        <f t="shared" si="1"/>
        <v/>
      </c>
      <c r="DW6" s="17" t="str">
        <f t="shared" si="1"/>
        <v/>
      </c>
      <c r="DX6" s="17" t="str">
        <f t="shared" si="1"/>
        <v/>
      </c>
      <c r="DY6" s="17" t="str">
        <f t="shared" si="1"/>
        <v/>
      </c>
      <c r="DZ6" s="17" t="str">
        <f t="shared" si="1"/>
        <v/>
      </c>
      <c r="EA6" s="17" t="str">
        <f t="shared" si="1"/>
        <v/>
      </c>
      <c r="EB6" s="17" t="str">
        <f t="shared" si="1"/>
        <v/>
      </c>
      <c r="EC6" s="17" t="str">
        <f t="shared" si="1"/>
        <v/>
      </c>
      <c r="ED6" s="17" t="str">
        <f t="shared" si="1"/>
        <v/>
      </c>
      <c r="EE6" s="17" t="str">
        <f t="shared" si="1"/>
        <v/>
      </c>
      <c r="EF6" s="17" t="str">
        <f t="shared" si="1"/>
        <v/>
      </c>
      <c r="EG6" s="17" t="str">
        <f t="shared" si="1"/>
        <v/>
      </c>
      <c r="EH6" s="17" t="str">
        <f t="shared" si="1"/>
        <v/>
      </c>
      <c r="EI6" s="17" t="str">
        <f t="shared" si="1"/>
        <v/>
      </c>
      <c r="EJ6" s="17" t="str">
        <f t="shared" si="1"/>
        <v/>
      </c>
      <c r="EK6" s="17" t="str">
        <f t="shared" si="1"/>
        <v/>
      </c>
      <c r="EL6" s="17" t="str">
        <f t="shared" si="1"/>
        <v/>
      </c>
      <c r="EM6" s="17" t="str">
        <f t="shared" si="1"/>
        <v/>
      </c>
      <c r="EN6" s="17" t="str">
        <f t="shared" si="1"/>
        <v/>
      </c>
      <c r="EO6" s="17" t="str">
        <f t="shared" si="1"/>
        <v/>
      </c>
      <c r="EP6" s="17" t="str">
        <f t="shared" si="1"/>
        <v/>
      </c>
      <c r="EQ6" s="17" t="str">
        <f t="shared" si="1"/>
        <v/>
      </c>
      <c r="ER6" s="17" t="str">
        <f t="shared" si="1"/>
        <v/>
      </c>
      <c r="ES6" s="17" t="str">
        <f t="shared" si="1"/>
        <v/>
      </c>
      <c r="ET6" s="17" t="str">
        <f t="shared" si="1"/>
        <v/>
      </c>
      <c r="EU6" s="17" t="str">
        <f t="shared" si="1"/>
        <v/>
      </c>
      <c r="EV6" s="17" t="str">
        <f t="shared" si="1"/>
        <v/>
      </c>
      <c r="EW6" s="17" t="str">
        <f t="shared" si="1"/>
        <v/>
      </c>
      <c r="EX6" s="17" t="str">
        <f t="shared" si="1"/>
        <v/>
      </c>
      <c r="EY6" s="17" t="str">
        <f t="shared" si="1"/>
        <v/>
      </c>
      <c r="EZ6" s="17" t="str">
        <f t="shared" si="1"/>
        <v/>
      </c>
      <c r="FA6" s="17" t="str">
        <f t="shared" ref="FA6:HL6" si="2">IFERROR(INDEX($C$13:$C$376,MATCH(SUM(FA$13:FA$376),FA$13:FA$376,0),1),"")</f>
        <v/>
      </c>
      <c r="FB6" s="17" t="str">
        <f t="shared" si="2"/>
        <v/>
      </c>
      <c r="FC6" s="17" t="str">
        <f t="shared" si="2"/>
        <v/>
      </c>
      <c r="FD6" s="17" t="str">
        <f t="shared" si="2"/>
        <v/>
      </c>
      <c r="FE6" s="17" t="str">
        <f t="shared" si="2"/>
        <v/>
      </c>
      <c r="FF6" s="17" t="str">
        <f t="shared" si="2"/>
        <v/>
      </c>
      <c r="FG6" s="17" t="str">
        <f t="shared" si="2"/>
        <v/>
      </c>
      <c r="FH6" s="17" t="str">
        <f t="shared" si="2"/>
        <v/>
      </c>
      <c r="FI6" s="17" t="str">
        <f t="shared" si="2"/>
        <v/>
      </c>
      <c r="FJ6" s="17" t="str">
        <f t="shared" si="2"/>
        <v/>
      </c>
      <c r="FK6" s="17" t="str">
        <f t="shared" si="2"/>
        <v/>
      </c>
      <c r="FL6" s="17" t="str">
        <f t="shared" si="2"/>
        <v/>
      </c>
      <c r="FM6" s="17" t="str">
        <f t="shared" si="2"/>
        <v/>
      </c>
      <c r="FN6" s="17" t="str">
        <f t="shared" si="2"/>
        <v/>
      </c>
      <c r="FO6" s="17" t="str">
        <f t="shared" si="2"/>
        <v/>
      </c>
      <c r="FP6" s="17" t="str">
        <f t="shared" si="2"/>
        <v/>
      </c>
      <c r="FQ6" s="17" t="str">
        <f t="shared" si="2"/>
        <v/>
      </c>
      <c r="FR6" s="17" t="str">
        <f t="shared" si="2"/>
        <v/>
      </c>
      <c r="FS6" s="17" t="str">
        <f t="shared" si="2"/>
        <v/>
      </c>
      <c r="FT6" s="17" t="str">
        <f t="shared" si="2"/>
        <v/>
      </c>
      <c r="FU6" s="17" t="str">
        <f t="shared" si="2"/>
        <v/>
      </c>
      <c r="FV6" s="17" t="str">
        <f t="shared" si="2"/>
        <v/>
      </c>
      <c r="FW6" s="17" t="str">
        <f t="shared" si="2"/>
        <v/>
      </c>
      <c r="FX6" s="17" t="str">
        <f t="shared" si="2"/>
        <v/>
      </c>
      <c r="FY6" s="17" t="str">
        <f t="shared" si="2"/>
        <v/>
      </c>
      <c r="FZ6" s="17" t="str">
        <f t="shared" si="2"/>
        <v/>
      </c>
      <c r="GA6" s="17" t="str">
        <f t="shared" si="2"/>
        <v/>
      </c>
      <c r="GB6" s="17" t="str">
        <f t="shared" si="2"/>
        <v/>
      </c>
      <c r="GC6" s="17" t="str">
        <f t="shared" si="2"/>
        <v/>
      </c>
      <c r="GD6" s="17" t="str">
        <f t="shared" si="2"/>
        <v/>
      </c>
      <c r="GE6" s="17" t="str">
        <f t="shared" si="2"/>
        <v/>
      </c>
      <c r="GF6" s="17" t="str">
        <f t="shared" si="2"/>
        <v/>
      </c>
      <c r="GG6" s="17" t="str">
        <f t="shared" si="2"/>
        <v/>
      </c>
      <c r="GH6" s="17" t="str">
        <f t="shared" si="2"/>
        <v/>
      </c>
      <c r="GI6" s="17" t="str">
        <f t="shared" si="2"/>
        <v/>
      </c>
      <c r="GJ6" s="17" t="str">
        <f t="shared" si="2"/>
        <v/>
      </c>
      <c r="GK6" s="17" t="str">
        <f t="shared" si="2"/>
        <v/>
      </c>
      <c r="GL6" s="17" t="str">
        <f t="shared" si="2"/>
        <v/>
      </c>
      <c r="GM6" s="17" t="str">
        <f t="shared" si="2"/>
        <v/>
      </c>
      <c r="GN6" s="17" t="str">
        <f t="shared" si="2"/>
        <v/>
      </c>
      <c r="GO6" s="17" t="str">
        <f t="shared" si="2"/>
        <v/>
      </c>
      <c r="GP6" s="17" t="str">
        <f t="shared" si="2"/>
        <v/>
      </c>
      <c r="GQ6" s="17" t="str">
        <f t="shared" si="2"/>
        <v/>
      </c>
      <c r="GR6" s="17" t="str">
        <f t="shared" si="2"/>
        <v/>
      </c>
      <c r="GS6" s="17" t="str">
        <f t="shared" si="2"/>
        <v/>
      </c>
      <c r="GT6" s="17" t="str">
        <f t="shared" si="2"/>
        <v/>
      </c>
      <c r="GU6" s="17" t="str">
        <f t="shared" si="2"/>
        <v/>
      </c>
      <c r="GV6" s="17" t="str">
        <f t="shared" si="2"/>
        <v/>
      </c>
      <c r="GW6" s="17" t="str">
        <f t="shared" si="2"/>
        <v/>
      </c>
      <c r="GX6" s="17" t="str">
        <f t="shared" si="2"/>
        <v/>
      </c>
      <c r="GY6" s="17" t="str">
        <f t="shared" si="2"/>
        <v/>
      </c>
      <c r="GZ6" s="17" t="str">
        <f t="shared" si="2"/>
        <v/>
      </c>
      <c r="HA6" s="17" t="str">
        <f t="shared" si="2"/>
        <v/>
      </c>
      <c r="HB6" s="17" t="str">
        <f t="shared" si="2"/>
        <v/>
      </c>
      <c r="HC6" s="17" t="str">
        <f t="shared" si="2"/>
        <v/>
      </c>
      <c r="HD6" s="17" t="str">
        <f t="shared" si="2"/>
        <v/>
      </c>
      <c r="HE6" s="17" t="str">
        <f t="shared" si="2"/>
        <v/>
      </c>
      <c r="HF6" s="17" t="str">
        <f t="shared" si="2"/>
        <v/>
      </c>
      <c r="HG6" s="17" t="str">
        <f t="shared" si="2"/>
        <v/>
      </c>
      <c r="HH6" s="17" t="str">
        <f t="shared" si="2"/>
        <v/>
      </c>
      <c r="HI6" s="17" t="str">
        <f t="shared" si="2"/>
        <v/>
      </c>
      <c r="HJ6" s="17" t="str">
        <f t="shared" si="2"/>
        <v/>
      </c>
      <c r="HK6" s="17" t="str">
        <f t="shared" si="2"/>
        <v/>
      </c>
      <c r="HL6" s="17" t="str">
        <f t="shared" si="2"/>
        <v/>
      </c>
      <c r="HM6" s="17" t="str">
        <f t="shared" ref="HM6:HO6" si="3">IFERROR(INDEX($C$13:$C$376,MATCH(SUM(HM$13:HM$376),HM$13:HM$376,0),1),"")</f>
        <v/>
      </c>
      <c r="HN6" s="17" t="str">
        <f t="shared" si="3"/>
        <v/>
      </c>
      <c r="HO6" s="17" t="str">
        <f t="shared" si="3"/>
        <v/>
      </c>
    </row>
    <row r="7" spans="2:223" ht="15" customHeight="1">
      <c r="B7" s="188"/>
      <c r="C7" s="174"/>
      <c r="D7" s="174"/>
      <c r="E7" s="174"/>
      <c r="F7" s="174"/>
      <c r="G7" s="174"/>
      <c r="H7" s="180"/>
      <c r="I7" s="183"/>
      <c r="J7" s="180"/>
      <c r="K7" s="180"/>
      <c r="L7" s="183"/>
      <c r="M7" s="180"/>
      <c r="N7" s="180"/>
      <c r="O7" s="183"/>
      <c r="P7" s="180"/>
      <c r="Q7" s="183"/>
      <c r="R7" s="180"/>
      <c r="S7" s="180"/>
      <c r="T7" s="180"/>
      <c r="U7" s="174"/>
      <c r="V7" s="180"/>
      <c r="W7" s="174"/>
      <c r="X7" s="174"/>
      <c r="Y7" s="174"/>
      <c r="Z7" s="174"/>
      <c r="AA7" s="174"/>
      <c r="AB7" s="177"/>
      <c r="AC7" s="58" t="s">
        <v>3</v>
      </c>
      <c r="AD7" s="101" t="str">
        <f t="shared" ref="AD7:CN7" si="4">IFERROR(INDEX($F$13:$F$376,MATCH(SUM(AD$13:AD$376),AD$13:AD$376,0),1),"")</f>
        <v>단무지(슬)</v>
      </c>
      <c r="AE7" s="101" t="str">
        <f t="shared" si="4"/>
        <v>단무지(알밥)</v>
      </c>
      <c r="AF7" s="101" t="str">
        <f t="shared" si="4"/>
        <v>샌기리(채)</v>
      </c>
      <c r="AG7" s="101" t="str">
        <f t="shared" si="4"/>
        <v>샌기리(알밥)</v>
      </c>
      <c r="AH7" s="101" t="str">
        <f t="shared" si="4"/>
        <v>쯔보즈케</v>
      </c>
      <c r="AI7" s="101" t="str">
        <f t="shared" si="4"/>
        <v>백단무지(슬)</v>
      </c>
      <c r="AJ7" s="101" t="str">
        <f t="shared" si="4"/>
        <v>매콤한단무지</v>
      </c>
      <c r="AK7" s="101" t="str">
        <f t="shared" si="4"/>
        <v>백초생강</v>
      </c>
      <c r="AL7" s="101" t="str">
        <f t="shared" si="4"/>
        <v>백초생강3KG*4EA</v>
      </c>
      <c r="AM7" s="101" t="str">
        <f t="shared" si="4"/>
        <v>적초생강</v>
      </c>
      <c r="AN7" s="101" t="str">
        <f t="shared" si="4"/>
        <v>백초생강(채)</v>
      </c>
      <c r="AO7" s="101" t="str">
        <f t="shared" si="4"/>
        <v>백초생강(채)5KG*2EA</v>
      </c>
      <c r="AP7" s="101" t="str">
        <f t="shared" si="4"/>
        <v>적초생강(채)</v>
      </c>
      <c r="AQ7" s="101" t="str">
        <f t="shared" si="4"/>
        <v>공박스</v>
      </c>
      <c r="AR7" s="101" t="str">
        <f t="shared" si="4"/>
        <v>안키모 200g</v>
      </c>
      <c r="AS7" s="101" t="str">
        <f t="shared" si="4"/>
        <v>안키모 250g</v>
      </c>
      <c r="AT7" s="101" t="str">
        <f t="shared" si="4"/>
        <v>양파</v>
      </c>
      <c r="AU7" s="101" t="str">
        <f t="shared" si="4"/>
        <v>단무지</v>
      </c>
      <c r="AV7" s="101" t="str">
        <f t="shared" si="4"/>
        <v>튀긴마늘슬라이스A</v>
      </c>
      <c r="AW7" s="101" t="str">
        <f t="shared" si="4"/>
        <v>튀긴마늘슬라이스B</v>
      </c>
      <c r="AX7" s="101" t="str">
        <f t="shared" si="4"/>
        <v>튀긴마늘슬라이스 150g</v>
      </c>
      <c r="AY7" s="101" t="str">
        <f t="shared" si="4"/>
        <v>튀긴마늘후레이크300g</v>
      </c>
      <c r="AZ7" s="101" t="str">
        <f t="shared" si="4"/>
        <v>안키모 200g</v>
      </c>
      <c r="BA7" s="101" t="str">
        <f t="shared" si="4"/>
        <v>백초생강</v>
      </c>
      <c r="BB7" s="101" t="str">
        <f t="shared" si="4"/>
        <v>백초생강</v>
      </c>
      <c r="BC7" s="101" t="str">
        <f t="shared" si="4"/>
        <v>백초생강3KG*4EA</v>
      </c>
      <c r="BD7" s="101" t="str">
        <f t="shared" si="4"/>
        <v>적초생강</v>
      </c>
      <c r="BE7" s="101" t="str">
        <f t="shared" si="4"/>
        <v>백초생강(채)</v>
      </c>
      <c r="BF7" s="101" t="str">
        <f t="shared" si="4"/>
        <v>적초생강(채)</v>
      </c>
      <c r="BG7" s="101" t="str">
        <f t="shared" si="4"/>
        <v>공박스</v>
      </c>
      <c r="BH7" s="101" t="str">
        <f t="shared" si="4"/>
        <v>후쿠진스케</v>
      </c>
      <c r="BI7" s="101" t="str">
        <f t="shared" si="4"/>
        <v>아오갓빠스케</v>
      </c>
      <c r="BJ7" s="101" t="str">
        <f t="shared" si="4"/>
        <v>시바스케</v>
      </c>
      <c r="BK7" s="101" t="str">
        <f t="shared" si="4"/>
        <v>타카나</v>
      </c>
      <c r="BL7" s="101" t="str">
        <f t="shared" si="4"/>
        <v>타카나(매운맛)</v>
      </c>
      <c r="BM7" s="101" t="str">
        <f t="shared" si="4"/>
        <v>튀긴마늘칩</v>
      </c>
      <c r="BN7" s="101" t="str">
        <f t="shared" si="4"/>
        <v>백초생강</v>
      </c>
      <c r="BO7" s="101" t="str">
        <f t="shared" si="4"/>
        <v>목이버섯A</v>
      </c>
      <c r="BP7" s="101" t="str">
        <f t="shared" si="4"/>
        <v>목이버섯B</v>
      </c>
      <c r="BQ7" s="101" t="str">
        <f t="shared" si="4"/>
        <v>유부롤튀김</v>
      </c>
      <c r="BR7" s="101" t="str">
        <f t="shared" si="4"/>
        <v>백초생강</v>
      </c>
      <c r="BS7" s="101" t="str">
        <f t="shared" si="4"/>
        <v>단무지(슬)</v>
      </c>
      <c r="BT7" s="101" t="str">
        <f t="shared" si="4"/>
        <v>단무지(알밥)</v>
      </c>
      <c r="BU7" s="101" t="str">
        <f t="shared" si="4"/>
        <v>샌기리(채)</v>
      </c>
      <c r="BV7" s="101" t="str">
        <f t="shared" si="4"/>
        <v>샌기리(알밥)</v>
      </c>
      <c r="BW7" s="101" t="str">
        <f t="shared" si="4"/>
        <v>쯔보즈케</v>
      </c>
      <c r="BX7" s="101" t="str">
        <f t="shared" si="4"/>
        <v>매콤한단무지</v>
      </c>
      <c r="BY7" s="101" t="str">
        <f t="shared" si="4"/>
        <v>단무지(슬)</v>
      </c>
      <c r="BZ7" s="101" t="str">
        <f t="shared" si="4"/>
        <v>단무지(알밥)</v>
      </c>
      <c r="CA7" s="101" t="str">
        <f t="shared" si="4"/>
        <v>샌기리(채)</v>
      </c>
      <c r="CB7" s="101" t="str">
        <f t="shared" si="4"/>
        <v>샌기리(알밥)</v>
      </c>
      <c r="CC7" s="101" t="str">
        <f t="shared" si="4"/>
        <v>백단무지(슬)</v>
      </c>
      <c r="CD7" s="101" t="str">
        <f t="shared" si="4"/>
        <v>매콤한단무지</v>
      </c>
      <c r="CE7" s="101" t="str">
        <f t="shared" si="4"/>
        <v/>
      </c>
      <c r="CF7" s="101" t="str">
        <f t="shared" si="4"/>
        <v/>
      </c>
      <c r="CG7" s="101" t="str">
        <f t="shared" si="4"/>
        <v/>
      </c>
      <c r="CH7" s="101" t="str">
        <f t="shared" si="4"/>
        <v/>
      </c>
      <c r="CI7" s="101" t="str">
        <f t="shared" si="4"/>
        <v/>
      </c>
      <c r="CJ7" s="101" t="str">
        <f t="shared" si="4"/>
        <v/>
      </c>
      <c r="CK7" s="101" t="str">
        <f t="shared" si="4"/>
        <v/>
      </c>
      <c r="CL7" s="101" t="str">
        <f t="shared" si="4"/>
        <v/>
      </c>
      <c r="CM7" s="101" t="str">
        <f t="shared" si="4"/>
        <v/>
      </c>
      <c r="CN7" s="101" t="str">
        <f t="shared" si="4"/>
        <v/>
      </c>
      <c r="CO7" s="101" t="str">
        <f t="shared" ref="CO7:EZ7" si="5">IFERROR(INDEX($F$13:$F$376,MATCH(SUM(CO$13:CO$376),CO$13:CO$376,0),1),"")</f>
        <v/>
      </c>
      <c r="CP7" s="101" t="str">
        <f t="shared" si="5"/>
        <v/>
      </c>
      <c r="CQ7" s="101" t="str">
        <f t="shared" si="5"/>
        <v/>
      </c>
      <c r="CR7" s="101" t="str">
        <f t="shared" si="5"/>
        <v/>
      </c>
      <c r="CS7" s="101" t="str">
        <f t="shared" si="5"/>
        <v/>
      </c>
      <c r="CT7" s="101" t="str">
        <f t="shared" si="5"/>
        <v/>
      </c>
      <c r="CU7" s="101" t="str">
        <f t="shared" si="5"/>
        <v/>
      </c>
      <c r="CV7" s="101" t="str">
        <f t="shared" si="5"/>
        <v/>
      </c>
      <c r="CW7" s="101" t="str">
        <f t="shared" si="5"/>
        <v/>
      </c>
      <c r="CX7" s="101" t="str">
        <f t="shared" si="5"/>
        <v/>
      </c>
      <c r="CY7" s="101" t="str">
        <f t="shared" si="5"/>
        <v/>
      </c>
      <c r="CZ7" s="101" t="str">
        <f t="shared" si="5"/>
        <v/>
      </c>
      <c r="DA7" s="101" t="str">
        <f t="shared" si="5"/>
        <v/>
      </c>
      <c r="DB7" s="101" t="str">
        <f t="shared" si="5"/>
        <v/>
      </c>
      <c r="DC7" s="101" t="str">
        <f t="shared" si="5"/>
        <v/>
      </c>
      <c r="DD7" s="101" t="str">
        <f t="shared" si="5"/>
        <v/>
      </c>
      <c r="DE7" s="101" t="str">
        <f t="shared" si="5"/>
        <v/>
      </c>
      <c r="DF7" s="101" t="str">
        <f t="shared" si="5"/>
        <v/>
      </c>
      <c r="DG7" s="101" t="str">
        <f t="shared" si="5"/>
        <v/>
      </c>
      <c r="DH7" s="101" t="str">
        <f t="shared" si="5"/>
        <v/>
      </c>
      <c r="DI7" s="101" t="str">
        <f t="shared" si="5"/>
        <v/>
      </c>
      <c r="DJ7" s="101" t="str">
        <f t="shared" si="5"/>
        <v/>
      </c>
      <c r="DK7" s="101" t="str">
        <f t="shared" si="5"/>
        <v/>
      </c>
      <c r="DL7" s="101" t="str">
        <f t="shared" si="5"/>
        <v/>
      </c>
      <c r="DM7" s="101" t="str">
        <f t="shared" si="5"/>
        <v/>
      </c>
      <c r="DN7" s="101" t="str">
        <f t="shared" si="5"/>
        <v/>
      </c>
      <c r="DO7" s="101" t="str">
        <f t="shared" si="5"/>
        <v/>
      </c>
      <c r="DP7" s="101" t="str">
        <f t="shared" si="5"/>
        <v/>
      </c>
      <c r="DQ7" s="101" t="str">
        <f t="shared" si="5"/>
        <v/>
      </c>
      <c r="DR7" s="101" t="str">
        <f t="shared" si="5"/>
        <v/>
      </c>
      <c r="DS7" s="101" t="str">
        <f t="shared" si="5"/>
        <v/>
      </c>
      <c r="DT7" s="101" t="str">
        <f t="shared" si="5"/>
        <v/>
      </c>
      <c r="DU7" s="101" t="str">
        <f t="shared" si="5"/>
        <v/>
      </c>
      <c r="DV7" s="101" t="str">
        <f t="shared" si="5"/>
        <v/>
      </c>
      <c r="DW7" s="101" t="str">
        <f t="shared" si="5"/>
        <v/>
      </c>
      <c r="DX7" s="101" t="str">
        <f t="shared" si="5"/>
        <v/>
      </c>
      <c r="DY7" s="101" t="str">
        <f t="shared" si="5"/>
        <v/>
      </c>
      <c r="DZ7" s="101" t="str">
        <f t="shared" si="5"/>
        <v/>
      </c>
      <c r="EA7" s="101" t="str">
        <f t="shared" si="5"/>
        <v/>
      </c>
      <c r="EB7" s="101" t="str">
        <f t="shared" si="5"/>
        <v/>
      </c>
      <c r="EC7" s="101" t="str">
        <f t="shared" si="5"/>
        <v/>
      </c>
      <c r="ED7" s="101" t="str">
        <f t="shared" si="5"/>
        <v/>
      </c>
      <c r="EE7" s="101" t="str">
        <f t="shared" si="5"/>
        <v/>
      </c>
      <c r="EF7" s="101" t="str">
        <f t="shared" si="5"/>
        <v/>
      </c>
      <c r="EG7" s="101" t="str">
        <f t="shared" si="5"/>
        <v/>
      </c>
      <c r="EH7" s="101" t="str">
        <f t="shared" si="5"/>
        <v/>
      </c>
      <c r="EI7" s="101" t="str">
        <f t="shared" si="5"/>
        <v/>
      </c>
      <c r="EJ7" s="101" t="str">
        <f t="shared" si="5"/>
        <v/>
      </c>
      <c r="EK7" s="101" t="str">
        <f t="shared" si="5"/>
        <v/>
      </c>
      <c r="EL7" s="101" t="str">
        <f t="shared" si="5"/>
        <v/>
      </c>
      <c r="EM7" s="101" t="str">
        <f t="shared" si="5"/>
        <v/>
      </c>
      <c r="EN7" s="101" t="str">
        <f t="shared" si="5"/>
        <v/>
      </c>
      <c r="EO7" s="101" t="str">
        <f t="shared" si="5"/>
        <v/>
      </c>
      <c r="EP7" s="101" t="str">
        <f t="shared" si="5"/>
        <v/>
      </c>
      <c r="EQ7" s="101" t="str">
        <f t="shared" si="5"/>
        <v/>
      </c>
      <c r="ER7" s="101" t="str">
        <f t="shared" si="5"/>
        <v/>
      </c>
      <c r="ES7" s="101" t="str">
        <f t="shared" si="5"/>
        <v/>
      </c>
      <c r="ET7" s="101" t="str">
        <f t="shared" si="5"/>
        <v/>
      </c>
      <c r="EU7" s="101" t="str">
        <f t="shared" si="5"/>
        <v/>
      </c>
      <c r="EV7" s="101" t="str">
        <f t="shared" si="5"/>
        <v/>
      </c>
      <c r="EW7" s="101" t="str">
        <f t="shared" si="5"/>
        <v/>
      </c>
      <c r="EX7" s="101" t="str">
        <f t="shared" si="5"/>
        <v/>
      </c>
      <c r="EY7" s="101" t="str">
        <f t="shared" si="5"/>
        <v/>
      </c>
      <c r="EZ7" s="101" t="str">
        <f t="shared" si="5"/>
        <v/>
      </c>
      <c r="FA7" s="101" t="str">
        <f t="shared" ref="FA7:HL7" si="6">IFERROR(INDEX($F$13:$F$376,MATCH(SUM(FA$13:FA$376),FA$13:FA$376,0),1),"")</f>
        <v/>
      </c>
      <c r="FB7" s="101" t="str">
        <f t="shared" si="6"/>
        <v/>
      </c>
      <c r="FC7" s="101" t="str">
        <f t="shared" si="6"/>
        <v/>
      </c>
      <c r="FD7" s="101" t="str">
        <f t="shared" si="6"/>
        <v/>
      </c>
      <c r="FE7" s="101" t="str">
        <f t="shared" si="6"/>
        <v/>
      </c>
      <c r="FF7" s="101" t="str">
        <f t="shared" si="6"/>
        <v/>
      </c>
      <c r="FG7" s="101" t="str">
        <f t="shared" si="6"/>
        <v/>
      </c>
      <c r="FH7" s="101" t="str">
        <f t="shared" si="6"/>
        <v/>
      </c>
      <c r="FI7" s="101" t="str">
        <f t="shared" si="6"/>
        <v/>
      </c>
      <c r="FJ7" s="101" t="str">
        <f t="shared" si="6"/>
        <v/>
      </c>
      <c r="FK7" s="101" t="str">
        <f t="shared" si="6"/>
        <v/>
      </c>
      <c r="FL7" s="101" t="str">
        <f t="shared" si="6"/>
        <v/>
      </c>
      <c r="FM7" s="101" t="str">
        <f t="shared" si="6"/>
        <v/>
      </c>
      <c r="FN7" s="101" t="str">
        <f t="shared" si="6"/>
        <v/>
      </c>
      <c r="FO7" s="101" t="str">
        <f t="shared" si="6"/>
        <v/>
      </c>
      <c r="FP7" s="101" t="str">
        <f t="shared" si="6"/>
        <v/>
      </c>
      <c r="FQ7" s="101" t="str">
        <f t="shared" si="6"/>
        <v/>
      </c>
      <c r="FR7" s="101" t="str">
        <f t="shared" si="6"/>
        <v/>
      </c>
      <c r="FS7" s="101" t="str">
        <f t="shared" si="6"/>
        <v/>
      </c>
      <c r="FT7" s="101" t="str">
        <f t="shared" si="6"/>
        <v/>
      </c>
      <c r="FU7" s="101" t="str">
        <f t="shared" si="6"/>
        <v/>
      </c>
      <c r="FV7" s="101" t="str">
        <f t="shared" si="6"/>
        <v/>
      </c>
      <c r="FW7" s="101" t="str">
        <f t="shared" si="6"/>
        <v/>
      </c>
      <c r="FX7" s="101" t="str">
        <f t="shared" si="6"/>
        <v/>
      </c>
      <c r="FY7" s="101" t="str">
        <f t="shared" si="6"/>
        <v/>
      </c>
      <c r="FZ7" s="101" t="str">
        <f t="shared" si="6"/>
        <v/>
      </c>
      <c r="GA7" s="101" t="str">
        <f t="shared" si="6"/>
        <v/>
      </c>
      <c r="GB7" s="101" t="str">
        <f t="shared" si="6"/>
        <v/>
      </c>
      <c r="GC7" s="101" t="str">
        <f t="shared" si="6"/>
        <v/>
      </c>
      <c r="GD7" s="101" t="str">
        <f t="shared" si="6"/>
        <v/>
      </c>
      <c r="GE7" s="101" t="str">
        <f t="shared" si="6"/>
        <v/>
      </c>
      <c r="GF7" s="101" t="str">
        <f t="shared" si="6"/>
        <v/>
      </c>
      <c r="GG7" s="101" t="str">
        <f t="shared" si="6"/>
        <v/>
      </c>
      <c r="GH7" s="101" t="str">
        <f t="shared" si="6"/>
        <v/>
      </c>
      <c r="GI7" s="101" t="str">
        <f t="shared" si="6"/>
        <v/>
      </c>
      <c r="GJ7" s="101" t="str">
        <f t="shared" si="6"/>
        <v/>
      </c>
      <c r="GK7" s="101" t="str">
        <f t="shared" si="6"/>
        <v/>
      </c>
      <c r="GL7" s="101" t="str">
        <f t="shared" si="6"/>
        <v/>
      </c>
      <c r="GM7" s="101" t="str">
        <f t="shared" si="6"/>
        <v/>
      </c>
      <c r="GN7" s="101" t="str">
        <f t="shared" si="6"/>
        <v/>
      </c>
      <c r="GO7" s="101" t="str">
        <f t="shared" si="6"/>
        <v/>
      </c>
      <c r="GP7" s="101" t="str">
        <f t="shared" si="6"/>
        <v/>
      </c>
      <c r="GQ7" s="101" t="str">
        <f t="shared" si="6"/>
        <v/>
      </c>
      <c r="GR7" s="101" t="str">
        <f t="shared" si="6"/>
        <v/>
      </c>
      <c r="GS7" s="101" t="str">
        <f t="shared" si="6"/>
        <v/>
      </c>
      <c r="GT7" s="101" t="str">
        <f t="shared" si="6"/>
        <v/>
      </c>
      <c r="GU7" s="101" t="str">
        <f t="shared" si="6"/>
        <v/>
      </c>
      <c r="GV7" s="101" t="str">
        <f t="shared" si="6"/>
        <v/>
      </c>
      <c r="GW7" s="101" t="str">
        <f t="shared" si="6"/>
        <v/>
      </c>
      <c r="GX7" s="101" t="str">
        <f t="shared" si="6"/>
        <v/>
      </c>
      <c r="GY7" s="101" t="str">
        <f t="shared" si="6"/>
        <v/>
      </c>
      <c r="GZ7" s="101" t="str">
        <f t="shared" si="6"/>
        <v/>
      </c>
      <c r="HA7" s="101" t="str">
        <f t="shared" si="6"/>
        <v/>
      </c>
      <c r="HB7" s="101" t="str">
        <f t="shared" si="6"/>
        <v/>
      </c>
      <c r="HC7" s="101" t="str">
        <f t="shared" si="6"/>
        <v/>
      </c>
      <c r="HD7" s="101" t="str">
        <f t="shared" si="6"/>
        <v/>
      </c>
      <c r="HE7" s="101" t="str">
        <f t="shared" si="6"/>
        <v/>
      </c>
      <c r="HF7" s="101" t="str">
        <f t="shared" si="6"/>
        <v/>
      </c>
      <c r="HG7" s="101" t="str">
        <f t="shared" si="6"/>
        <v/>
      </c>
      <c r="HH7" s="101" t="str">
        <f t="shared" si="6"/>
        <v/>
      </c>
      <c r="HI7" s="101" t="str">
        <f t="shared" si="6"/>
        <v/>
      </c>
      <c r="HJ7" s="101" t="str">
        <f t="shared" si="6"/>
        <v/>
      </c>
      <c r="HK7" s="101" t="str">
        <f t="shared" si="6"/>
        <v/>
      </c>
      <c r="HL7" s="101" t="str">
        <f t="shared" si="6"/>
        <v/>
      </c>
      <c r="HM7" s="101" t="str">
        <f t="shared" ref="HM7:HO7" si="7">IFERROR(INDEX($F$13:$F$376,MATCH(SUM(HM$13:HM$376),HM$13:HM$376,0),1),"")</f>
        <v/>
      </c>
      <c r="HN7" s="101" t="str">
        <f t="shared" si="7"/>
        <v/>
      </c>
      <c r="HO7" s="101" t="str">
        <f t="shared" si="7"/>
        <v/>
      </c>
    </row>
    <row r="8" spans="2:223" ht="15" customHeight="1">
      <c r="B8" s="188"/>
      <c r="C8" s="174"/>
      <c r="D8" s="174"/>
      <c r="E8" s="174"/>
      <c r="F8" s="174"/>
      <c r="G8" s="174"/>
      <c r="H8" s="180"/>
      <c r="I8" s="183"/>
      <c r="J8" s="180"/>
      <c r="K8" s="180"/>
      <c r="L8" s="183"/>
      <c r="M8" s="180"/>
      <c r="N8" s="180"/>
      <c r="O8" s="183"/>
      <c r="P8" s="180"/>
      <c r="Q8" s="183"/>
      <c r="R8" s="180"/>
      <c r="S8" s="180"/>
      <c r="T8" s="180"/>
      <c r="U8" s="174"/>
      <c r="V8" s="180"/>
      <c r="W8" s="174"/>
      <c r="X8" s="174"/>
      <c r="Y8" s="174"/>
      <c r="Z8" s="174"/>
      <c r="AA8" s="174"/>
      <c r="AB8" s="177"/>
      <c r="AC8" s="59" t="s">
        <v>4</v>
      </c>
      <c r="AD8" s="48">
        <f t="shared" ref="AD8:CN8" si="8">IFERROR(SUM(AD$13:AD$376),"")</f>
        <v>250</v>
      </c>
      <c r="AE8" s="48">
        <f t="shared" si="8"/>
        <v>350</v>
      </c>
      <c r="AF8" s="48">
        <f t="shared" si="8"/>
        <v>300</v>
      </c>
      <c r="AG8" s="48">
        <f t="shared" si="8"/>
        <v>400</v>
      </c>
      <c r="AH8" s="48">
        <f t="shared" si="8"/>
        <v>200</v>
      </c>
      <c r="AI8" s="48">
        <f t="shared" si="8"/>
        <v>50</v>
      </c>
      <c r="AJ8" s="48">
        <f t="shared" si="8"/>
        <v>200</v>
      </c>
      <c r="AK8" s="48">
        <f t="shared" si="8"/>
        <v>405</v>
      </c>
      <c r="AL8" s="48">
        <f t="shared" si="8"/>
        <v>130</v>
      </c>
      <c r="AM8" s="48">
        <f t="shared" si="8"/>
        <v>300</v>
      </c>
      <c r="AN8" s="48">
        <f t="shared" si="8"/>
        <v>270</v>
      </c>
      <c r="AO8" s="48">
        <f t="shared" si="8"/>
        <v>50</v>
      </c>
      <c r="AP8" s="48">
        <f t="shared" si="8"/>
        <v>200</v>
      </c>
      <c r="AQ8" s="48">
        <f t="shared" si="8"/>
        <v>60</v>
      </c>
      <c r="AR8" s="48">
        <f t="shared" si="8"/>
        <v>480</v>
      </c>
      <c r="AS8" s="48">
        <f t="shared" si="8"/>
        <v>800</v>
      </c>
      <c r="AT8" s="48">
        <f t="shared" si="8"/>
        <v>720</v>
      </c>
      <c r="AU8" s="48">
        <f t="shared" si="8"/>
        <v>200</v>
      </c>
      <c r="AV8" s="48">
        <f t="shared" si="8"/>
        <v>150</v>
      </c>
      <c r="AW8" s="48">
        <f t="shared" si="8"/>
        <v>700</v>
      </c>
      <c r="AX8" s="48">
        <f t="shared" si="8"/>
        <v>50</v>
      </c>
      <c r="AY8" s="48">
        <f t="shared" si="8"/>
        <v>150</v>
      </c>
      <c r="AZ8" s="48">
        <f t="shared" si="8"/>
        <v>70</v>
      </c>
      <c r="BA8" s="48">
        <f t="shared" si="8"/>
        <v>420</v>
      </c>
      <c r="BB8" s="48">
        <f t="shared" si="8"/>
        <v>78</v>
      </c>
      <c r="BC8" s="48">
        <f t="shared" si="8"/>
        <v>100</v>
      </c>
      <c r="BD8" s="48">
        <f t="shared" si="8"/>
        <v>400</v>
      </c>
      <c r="BE8" s="48">
        <f t="shared" si="8"/>
        <v>200</v>
      </c>
      <c r="BF8" s="48">
        <f t="shared" si="8"/>
        <v>250</v>
      </c>
      <c r="BG8" s="48">
        <f t="shared" si="8"/>
        <v>80</v>
      </c>
      <c r="BH8" s="48">
        <f t="shared" si="8"/>
        <v>300</v>
      </c>
      <c r="BI8" s="48">
        <f t="shared" si="8"/>
        <v>300</v>
      </c>
      <c r="BJ8" s="48">
        <f t="shared" si="8"/>
        <v>50</v>
      </c>
      <c r="BK8" s="48">
        <f t="shared" si="8"/>
        <v>1300</v>
      </c>
      <c r="BL8" s="48">
        <f t="shared" si="8"/>
        <v>100</v>
      </c>
      <c r="BM8" s="48">
        <f t="shared" si="8"/>
        <v>1050</v>
      </c>
      <c r="BN8" s="48">
        <f t="shared" si="8"/>
        <v>168</v>
      </c>
      <c r="BO8" s="48">
        <f t="shared" si="8"/>
        <v>360</v>
      </c>
      <c r="BP8" s="48">
        <f t="shared" si="8"/>
        <v>76</v>
      </c>
      <c r="BQ8" s="48">
        <f t="shared" si="8"/>
        <v>30</v>
      </c>
      <c r="BR8" s="48">
        <f t="shared" si="8"/>
        <v>84</v>
      </c>
      <c r="BS8" s="48">
        <f t="shared" si="8"/>
        <v>300</v>
      </c>
      <c r="BT8" s="48">
        <f t="shared" si="8"/>
        <v>350</v>
      </c>
      <c r="BU8" s="48">
        <f t="shared" si="8"/>
        <v>402</v>
      </c>
      <c r="BV8" s="48">
        <f t="shared" si="8"/>
        <v>350</v>
      </c>
      <c r="BW8" s="48">
        <f t="shared" si="8"/>
        <v>98</v>
      </c>
      <c r="BX8" s="48">
        <f t="shared" si="8"/>
        <v>250</v>
      </c>
      <c r="BY8" s="48">
        <f t="shared" si="8"/>
        <v>450</v>
      </c>
      <c r="BZ8" s="48">
        <f t="shared" si="8"/>
        <v>450</v>
      </c>
      <c r="CA8" s="48">
        <f t="shared" si="8"/>
        <v>350</v>
      </c>
      <c r="CB8" s="48">
        <f t="shared" si="8"/>
        <v>350</v>
      </c>
      <c r="CC8" s="48">
        <f t="shared" si="8"/>
        <v>50</v>
      </c>
      <c r="CD8" s="48">
        <f t="shared" si="8"/>
        <v>100</v>
      </c>
      <c r="CE8" s="48">
        <f t="shared" si="8"/>
        <v>0</v>
      </c>
      <c r="CF8" s="48">
        <f t="shared" si="8"/>
        <v>0</v>
      </c>
      <c r="CG8" s="48">
        <f t="shared" si="8"/>
        <v>0</v>
      </c>
      <c r="CH8" s="48">
        <f t="shared" si="8"/>
        <v>0</v>
      </c>
      <c r="CI8" s="48">
        <f t="shared" si="8"/>
        <v>0</v>
      </c>
      <c r="CJ8" s="48">
        <f t="shared" si="8"/>
        <v>0</v>
      </c>
      <c r="CK8" s="48">
        <f t="shared" si="8"/>
        <v>0</v>
      </c>
      <c r="CL8" s="48">
        <f t="shared" si="8"/>
        <v>0</v>
      </c>
      <c r="CM8" s="48">
        <f t="shared" si="8"/>
        <v>0</v>
      </c>
      <c r="CN8" s="48">
        <f t="shared" si="8"/>
        <v>0</v>
      </c>
      <c r="CO8" s="48">
        <f t="shared" ref="CO8:EZ8" si="9">IFERROR(SUM(CO$13:CO$376),"")</f>
        <v>0</v>
      </c>
      <c r="CP8" s="48">
        <f t="shared" si="9"/>
        <v>0</v>
      </c>
      <c r="CQ8" s="48">
        <f t="shared" si="9"/>
        <v>0</v>
      </c>
      <c r="CR8" s="48">
        <f t="shared" si="9"/>
        <v>0</v>
      </c>
      <c r="CS8" s="48">
        <f t="shared" si="9"/>
        <v>0</v>
      </c>
      <c r="CT8" s="48">
        <f t="shared" si="9"/>
        <v>0</v>
      </c>
      <c r="CU8" s="48">
        <f t="shared" si="9"/>
        <v>0</v>
      </c>
      <c r="CV8" s="48">
        <f t="shared" si="9"/>
        <v>0</v>
      </c>
      <c r="CW8" s="48">
        <f t="shared" si="9"/>
        <v>0</v>
      </c>
      <c r="CX8" s="48">
        <f t="shared" si="9"/>
        <v>0</v>
      </c>
      <c r="CY8" s="48">
        <f t="shared" si="9"/>
        <v>0</v>
      </c>
      <c r="CZ8" s="48">
        <f t="shared" si="9"/>
        <v>0</v>
      </c>
      <c r="DA8" s="48">
        <f t="shared" si="9"/>
        <v>0</v>
      </c>
      <c r="DB8" s="48">
        <f t="shared" si="9"/>
        <v>0</v>
      </c>
      <c r="DC8" s="48">
        <f t="shared" si="9"/>
        <v>0</v>
      </c>
      <c r="DD8" s="48">
        <f t="shared" si="9"/>
        <v>0</v>
      </c>
      <c r="DE8" s="48">
        <f t="shared" si="9"/>
        <v>0</v>
      </c>
      <c r="DF8" s="48">
        <f t="shared" si="9"/>
        <v>0</v>
      </c>
      <c r="DG8" s="48">
        <f t="shared" si="9"/>
        <v>0</v>
      </c>
      <c r="DH8" s="48">
        <f t="shared" si="9"/>
        <v>0</v>
      </c>
      <c r="DI8" s="48">
        <f t="shared" si="9"/>
        <v>0</v>
      </c>
      <c r="DJ8" s="48">
        <f t="shared" si="9"/>
        <v>0</v>
      </c>
      <c r="DK8" s="48">
        <f t="shared" si="9"/>
        <v>0</v>
      </c>
      <c r="DL8" s="48">
        <f t="shared" si="9"/>
        <v>0</v>
      </c>
      <c r="DM8" s="48">
        <f t="shared" si="9"/>
        <v>0</v>
      </c>
      <c r="DN8" s="48">
        <f t="shared" si="9"/>
        <v>0</v>
      </c>
      <c r="DO8" s="48">
        <f t="shared" si="9"/>
        <v>0</v>
      </c>
      <c r="DP8" s="48">
        <f t="shared" si="9"/>
        <v>0</v>
      </c>
      <c r="DQ8" s="48">
        <f t="shared" si="9"/>
        <v>0</v>
      </c>
      <c r="DR8" s="48">
        <f t="shared" si="9"/>
        <v>0</v>
      </c>
      <c r="DS8" s="48">
        <f t="shared" si="9"/>
        <v>0</v>
      </c>
      <c r="DT8" s="48">
        <f t="shared" si="9"/>
        <v>0</v>
      </c>
      <c r="DU8" s="48">
        <f t="shared" si="9"/>
        <v>0</v>
      </c>
      <c r="DV8" s="48">
        <f t="shared" si="9"/>
        <v>0</v>
      </c>
      <c r="DW8" s="48">
        <f t="shared" si="9"/>
        <v>0</v>
      </c>
      <c r="DX8" s="48">
        <f t="shared" si="9"/>
        <v>0</v>
      </c>
      <c r="DY8" s="48">
        <f t="shared" si="9"/>
        <v>0</v>
      </c>
      <c r="DZ8" s="48">
        <f t="shared" si="9"/>
        <v>0</v>
      </c>
      <c r="EA8" s="48">
        <f t="shared" si="9"/>
        <v>0</v>
      </c>
      <c r="EB8" s="48">
        <f t="shared" si="9"/>
        <v>0</v>
      </c>
      <c r="EC8" s="48">
        <f t="shared" si="9"/>
        <v>0</v>
      </c>
      <c r="ED8" s="48">
        <f t="shared" si="9"/>
        <v>0</v>
      </c>
      <c r="EE8" s="48">
        <f t="shared" si="9"/>
        <v>0</v>
      </c>
      <c r="EF8" s="48">
        <f t="shared" si="9"/>
        <v>0</v>
      </c>
      <c r="EG8" s="48">
        <f t="shared" si="9"/>
        <v>0</v>
      </c>
      <c r="EH8" s="48">
        <f t="shared" si="9"/>
        <v>0</v>
      </c>
      <c r="EI8" s="48">
        <f t="shared" si="9"/>
        <v>0</v>
      </c>
      <c r="EJ8" s="48">
        <f t="shared" si="9"/>
        <v>0</v>
      </c>
      <c r="EK8" s="48">
        <f t="shared" si="9"/>
        <v>0</v>
      </c>
      <c r="EL8" s="48">
        <f t="shared" si="9"/>
        <v>0</v>
      </c>
      <c r="EM8" s="48">
        <f t="shared" si="9"/>
        <v>0</v>
      </c>
      <c r="EN8" s="48">
        <f t="shared" si="9"/>
        <v>0</v>
      </c>
      <c r="EO8" s="48">
        <f t="shared" si="9"/>
        <v>0</v>
      </c>
      <c r="EP8" s="48">
        <f t="shared" si="9"/>
        <v>0</v>
      </c>
      <c r="EQ8" s="48">
        <f t="shared" si="9"/>
        <v>0</v>
      </c>
      <c r="ER8" s="48">
        <f t="shared" si="9"/>
        <v>0</v>
      </c>
      <c r="ES8" s="48">
        <f t="shared" si="9"/>
        <v>0</v>
      </c>
      <c r="ET8" s="48">
        <f t="shared" si="9"/>
        <v>0</v>
      </c>
      <c r="EU8" s="48">
        <f t="shared" si="9"/>
        <v>0</v>
      </c>
      <c r="EV8" s="48">
        <f t="shared" si="9"/>
        <v>0</v>
      </c>
      <c r="EW8" s="48">
        <f t="shared" si="9"/>
        <v>0</v>
      </c>
      <c r="EX8" s="48">
        <f t="shared" si="9"/>
        <v>0</v>
      </c>
      <c r="EY8" s="48">
        <f t="shared" si="9"/>
        <v>0</v>
      </c>
      <c r="EZ8" s="48">
        <f t="shared" si="9"/>
        <v>0</v>
      </c>
      <c r="FA8" s="48">
        <f t="shared" ref="FA8:HL8" si="10">IFERROR(SUM(FA$13:FA$376),"")</f>
        <v>0</v>
      </c>
      <c r="FB8" s="48">
        <f t="shared" si="10"/>
        <v>0</v>
      </c>
      <c r="FC8" s="48">
        <f t="shared" si="10"/>
        <v>0</v>
      </c>
      <c r="FD8" s="48">
        <f t="shared" si="10"/>
        <v>0</v>
      </c>
      <c r="FE8" s="48">
        <f t="shared" si="10"/>
        <v>0</v>
      </c>
      <c r="FF8" s="48">
        <f t="shared" si="10"/>
        <v>0</v>
      </c>
      <c r="FG8" s="48">
        <f t="shared" si="10"/>
        <v>0</v>
      </c>
      <c r="FH8" s="48">
        <f t="shared" si="10"/>
        <v>0</v>
      </c>
      <c r="FI8" s="48">
        <f t="shared" si="10"/>
        <v>0</v>
      </c>
      <c r="FJ8" s="48">
        <f t="shared" si="10"/>
        <v>0</v>
      </c>
      <c r="FK8" s="48">
        <f t="shared" si="10"/>
        <v>0</v>
      </c>
      <c r="FL8" s="48">
        <f t="shared" si="10"/>
        <v>0</v>
      </c>
      <c r="FM8" s="48">
        <f t="shared" si="10"/>
        <v>0</v>
      </c>
      <c r="FN8" s="48">
        <f t="shared" si="10"/>
        <v>0</v>
      </c>
      <c r="FO8" s="48">
        <f t="shared" si="10"/>
        <v>0</v>
      </c>
      <c r="FP8" s="48">
        <f t="shared" si="10"/>
        <v>0</v>
      </c>
      <c r="FQ8" s="48">
        <f t="shared" si="10"/>
        <v>0</v>
      </c>
      <c r="FR8" s="48">
        <f t="shared" si="10"/>
        <v>0</v>
      </c>
      <c r="FS8" s="48">
        <f t="shared" si="10"/>
        <v>0</v>
      </c>
      <c r="FT8" s="48">
        <f t="shared" si="10"/>
        <v>0</v>
      </c>
      <c r="FU8" s="48">
        <f t="shared" si="10"/>
        <v>0</v>
      </c>
      <c r="FV8" s="48">
        <f t="shared" si="10"/>
        <v>0</v>
      </c>
      <c r="FW8" s="48">
        <f t="shared" si="10"/>
        <v>0</v>
      </c>
      <c r="FX8" s="48">
        <f t="shared" si="10"/>
        <v>0</v>
      </c>
      <c r="FY8" s="48">
        <f t="shared" si="10"/>
        <v>0</v>
      </c>
      <c r="FZ8" s="48">
        <f t="shared" si="10"/>
        <v>0</v>
      </c>
      <c r="GA8" s="48">
        <f t="shared" si="10"/>
        <v>0</v>
      </c>
      <c r="GB8" s="48">
        <f t="shared" si="10"/>
        <v>0</v>
      </c>
      <c r="GC8" s="48">
        <f t="shared" si="10"/>
        <v>0</v>
      </c>
      <c r="GD8" s="48">
        <f t="shared" si="10"/>
        <v>0</v>
      </c>
      <c r="GE8" s="48">
        <f t="shared" si="10"/>
        <v>0</v>
      </c>
      <c r="GF8" s="48">
        <f t="shared" si="10"/>
        <v>0</v>
      </c>
      <c r="GG8" s="48">
        <f t="shared" si="10"/>
        <v>0</v>
      </c>
      <c r="GH8" s="48">
        <f t="shared" si="10"/>
        <v>0</v>
      </c>
      <c r="GI8" s="48">
        <f t="shared" si="10"/>
        <v>0</v>
      </c>
      <c r="GJ8" s="48">
        <f t="shared" si="10"/>
        <v>0</v>
      </c>
      <c r="GK8" s="48">
        <f t="shared" si="10"/>
        <v>0</v>
      </c>
      <c r="GL8" s="48">
        <f t="shared" si="10"/>
        <v>0</v>
      </c>
      <c r="GM8" s="48">
        <f t="shared" si="10"/>
        <v>0</v>
      </c>
      <c r="GN8" s="48">
        <f t="shared" si="10"/>
        <v>0</v>
      </c>
      <c r="GO8" s="48">
        <f t="shared" si="10"/>
        <v>0</v>
      </c>
      <c r="GP8" s="48">
        <f t="shared" si="10"/>
        <v>0</v>
      </c>
      <c r="GQ8" s="48">
        <f t="shared" si="10"/>
        <v>0</v>
      </c>
      <c r="GR8" s="48">
        <f t="shared" si="10"/>
        <v>0</v>
      </c>
      <c r="GS8" s="48">
        <f t="shared" si="10"/>
        <v>0</v>
      </c>
      <c r="GT8" s="48">
        <f t="shared" si="10"/>
        <v>0</v>
      </c>
      <c r="GU8" s="48">
        <f t="shared" si="10"/>
        <v>0</v>
      </c>
      <c r="GV8" s="48">
        <f t="shared" si="10"/>
        <v>0</v>
      </c>
      <c r="GW8" s="48">
        <f t="shared" si="10"/>
        <v>0</v>
      </c>
      <c r="GX8" s="48">
        <f t="shared" si="10"/>
        <v>0</v>
      </c>
      <c r="GY8" s="48">
        <f t="shared" si="10"/>
        <v>0</v>
      </c>
      <c r="GZ8" s="48">
        <f t="shared" si="10"/>
        <v>0</v>
      </c>
      <c r="HA8" s="48">
        <f t="shared" si="10"/>
        <v>0</v>
      </c>
      <c r="HB8" s="48">
        <f t="shared" si="10"/>
        <v>0</v>
      </c>
      <c r="HC8" s="48">
        <f t="shared" si="10"/>
        <v>0</v>
      </c>
      <c r="HD8" s="48">
        <f t="shared" si="10"/>
        <v>0</v>
      </c>
      <c r="HE8" s="48">
        <f t="shared" si="10"/>
        <v>0</v>
      </c>
      <c r="HF8" s="48">
        <f t="shared" si="10"/>
        <v>0</v>
      </c>
      <c r="HG8" s="48">
        <f t="shared" si="10"/>
        <v>0</v>
      </c>
      <c r="HH8" s="48">
        <f t="shared" si="10"/>
        <v>0</v>
      </c>
      <c r="HI8" s="48">
        <f t="shared" si="10"/>
        <v>0</v>
      </c>
      <c r="HJ8" s="48">
        <f t="shared" si="10"/>
        <v>0</v>
      </c>
      <c r="HK8" s="48">
        <f t="shared" si="10"/>
        <v>0</v>
      </c>
      <c r="HL8" s="48">
        <f t="shared" si="10"/>
        <v>0</v>
      </c>
      <c r="HM8" s="48">
        <f t="shared" ref="HM8:HO8" si="11">IFERROR(SUM(HM$13:HM$376),"")</f>
        <v>0</v>
      </c>
      <c r="HN8" s="48">
        <f t="shared" si="11"/>
        <v>0</v>
      </c>
      <c r="HO8" s="48">
        <f t="shared" si="11"/>
        <v>0</v>
      </c>
    </row>
    <row r="9" spans="2:223" ht="15" customHeight="1">
      <c r="B9" s="188"/>
      <c r="C9" s="174"/>
      <c r="D9" s="174"/>
      <c r="E9" s="174"/>
      <c r="F9" s="174"/>
      <c r="G9" s="174"/>
      <c r="H9" s="180"/>
      <c r="I9" s="183"/>
      <c r="J9" s="180"/>
      <c r="K9" s="180"/>
      <c r="L9" s="183"/>
      <c r="M9" s="180"/>
      <c r="N9" s="180"/>
      <c r="O9" s="183"/>
      <c r="P9" s="180"/>
      <c r="Q9" s="183"/>
      <c r="R9" s="180"/>
      <c r="S9" s="180"/>
      <c r="T9" s="180"/>
      <c r="U9" s="174"/>
      <c r="V9" s="180"/>
      <c r="W9" s="174"/>
      <c r="X9" s="174"/>
      <c r="Y9" s="174"/>
      <c r="Z9" s="174"/>
      <c r="AA9" s="174"/>
      <c r="AB9" s="177"/>
      <c r="AC9" s="58" t="s">
        <v>5</v>
      </c>
      <c r="AD9" s="20">
        <f t="shared" ref="AD9:AP9" si="12">IFERROR(ROUNDUP((SUM(AD13:AD376)/IFERROR(INDEX($V$13:$V$376,MATCH(SUM(AD$13:AD$376),AD$13:AD$376,0),1),"")),0),"")</f>
        <v>3</v>
      </c>
      <c r="AE9" s="20">
        <f t="shared" si="12"/>
        <v>3</v>
      </c>
      <c r="AF9" s="20">
        <f t="shared" si="12"/>
        <v>3</v>
      </c>
      <c r="AG9" s="20">
        <f t="shared" si="12"/>
        <v>4</v>
      </c>
      <c r="AH9" s="20">
        <f t="shared" si="12"/>
        <v>2</v>
      </c>
      <c r="AI9" s="20">
        <f t="shared" si="12"/>
        <v>1</v>
      </c>
      <c r="AJ9" s="20">
        <f t="shared" si="12"/>
        <v>2</v>
      </c>
      <c r="AK9" s="20">
        <f t="shared" si="12"/>
        <v>5</v>
      </c>
      <c r="AL9" s="20">
        <f t="shared" si="12"/>
        <v>2</v>
      </c>
      <c r="AM9" s="20">
        <f t="shared" si="12"/>
        <v>4</v>
      </c>
      <c r="AN9" s="20">
        <f t="shared" si="12"/>
        <v>4</v>
      </c>
      <c r="AO9" s="20">
        <f t="shared" si="12"/>
        <v>1</v>
      </c>
      <c r="AP9" s="20">
        <f t="shared" si="12"/>
        <v>3</v>
      </c>
      <c r="AQ9" s="20">
        <v>0</v>
      </c>
      <c r="AR9" s="20">
        <f t="shared" ref="AR9:BQ9" si="13">IFERROR(ROUNDUP((SUM(AR13:AR376)/IFERROR(INDEX($V$13:$V$376,MATCH(SUM(AR$13:AR$376),AR$13:AR$376,0),1),"")),0),"")</f>
        <v>10</v>
      </c>
      <c r="AS9" s="20">
        <f t="shared" si="13"/>
        <v>8</v>
      </c>
      <c r="AT9" s="20">
        <f t="shared" si="13"/>
        <v>15</v>
      </c>
      <c r="AU9" s="20">
        <f t="shared" si="13"/>
        <v>3</v>
      </c>
      <c r="AV9" s="20">
        <f t="shared" si="13"/>
        <v>3</v>
      </c>
      <c r="AW9" s="20">
        <f t="shared" si="13"/>
        <v>11</v>
      </c>
      <c r="AX9" s="20">
        <f t="shared" si="13"/>
        <v>1</v>
      </c>
      <c r="AY9" s="20">
        <f t="shared" si="13"/>
        <v>3</v>
      </c>
      <c r="AZ9" s="20">
        <f t="shared" si="13"/>
        <v>2</v>
      </c>
      <c r="BA9" s="20">
        <f t="shared" si="13"/>
        <v>5</v>
      </c>
      <c r="BB9" s="20">
        <f t="shared" si="13"/>
        <v>1</v>
      </c>
      <c r="BC9" s="20">
        <f t="shared" si="13"/>
        <v>2</v>
      </c>
      <c r="BD9" s="20">
        <f t="shared" si="13"/>
        <v>5</v>
      </c>
      <c r="BE9" s="20">
        <f t="shared" si="13"/>
        <v>3</v>
      </c>
      <c r="BF9" s="20">
        <f t="shared" si="13"/>
        <v>3</v>
      </c>
      <c r="BG9" s="20">
        <f t="shared" si="13"/>
        <v>1</v>
      </c>
      <c r="BH9" s="20">
        <f t="shared" si="13"/>
        <v>3</v>
      </c>
      <c r="BI9" s="20">
        <f t="shared" si="13"/>
        <v>3</v>
      </c>
      <c r="BJ9" s="20">
        <f t="shared" si="13"/>
        <v>1</v>
      </c>
      <c r="BK9" s="20">
        <f t="shared" si="13"/>
        <v>11</v>
      </c>
      <c r="BL9" s="20">
        <f t="shared" si="13"/>
        <v>1</v>
      </c>
      <c r="BM9" s="20">
        <f t="shared" si="13"/>
        <v>18</v>
      </c>
      <c r="BN9" s="20">
        <f t="shared" si="13"/>
        <v>2</v>
      </c>
      <c r="BO9" s="20">
        <f t="shared" si="13"/>
        <v>12</v>
      </c>
      <c r="BP9" s="20">
        <f t="shared" si="13"/>
        <v>3</v>
      </c>
      <c r="BQ9" s="20">
        <f t="shared" si="13"/>
        <v>2</v>
      </c>
      <c r="BR9" s="20">
        <f t="shared" ref="BR9:EC9" si="14">IFERROR(ROUNDUP((SUM(BR13:BR376)/IFERROR(INDEX($V$13:$V$376,MATCH(SUM(BR$13:BR$376),BR$13:BR$376,0),1),"")),0),"")</f>
        <v>1</v>
      </c>
      <c r="BS9" s="20">
        <f t="shared" si="14"/>
        <v>3</v>
      </c>
      <c r="BT9" s="20">
        <f t="shared" si="14"/>
        <v>3</v>
      </c>
      <c r="BU9" s="20">
        <f t="shared" si="14"/>
        <v>4</v>
      </c>
      <c r="BV9" s="20">
        <f t="shared" si="14"/>
        <v>3</v>
      </c>
      <c r="BW9" s="20">
        <f t="shared" si="14"/>
        <v>1</v>
      </c>
      <c r="BX9" s="20">
        <f t="shared" si="14"/>
        <v>3</v>
      </c>
      <c r="BY9" s="20">
        <f t="shared" si="14"/>
        <v>4</v>
      </c>
      <c r="BZ9" s="20">
        <f t="shared" si="14"/>
        <v>4</v>
      </c>
      <c r="CA9" s="20">
        <f t="shared" si="14"/>
        <v>3</v>
      </c>
      <c r="CB9" s="20">
        <f t="shared" si="14"/>
        <v>3</v>
      </c>
      <c r="CC9" s="20">
        <f t="shared" si="14"/>
        <v>1</v>
      </c>
      <c r="CD9" s="20">
        <f t="shared" si="14"/>
        <v>1</v>
      </c>
      <c r="CE9" s="20" t="str">
        <f t="shared" si="14"/>
        <v/>
      </c>
      <c r="CF9" s="20" t="str">
        <f t="shared" si="14"/>
        <v/>
      </c>
      <c r="CG9" s="20" t="str">
        <f t="shared" si="14"/>
        <v/>
      </c>
      <c r="CH9" s="20" t="str">
        <f t="shared" si="14"/>
        <v/>
      </c>
      <c r="CI9" s="20" t="str">
        <f t="shared" si="14"/>
        <v/>
      </c>
      <c r="CJ9" s="20" t="str">
        <f t="shared" si="14"/>
        <v/>
      </c>
      <c r="CK9" s="20" t="str">
        <f t="shared" si="14"/>
        <v/>
      </c>
      <c r="CL9" s="20" t="str">
        <f t="shared" si="14"/>
        <v/>
      </c>
      <c r="CM9" s="20" t="str">
        <f t="shared" si="14"/>
        <v/>
      </c>
      <c r="CN9" s="20" t="str">
        <f t="shared" si="14"/>
        <v/>
      </c>
      <c r="CO9" s="20" t="str">
        <f t="shared" si="14"/>
        <v/>
      </c>
      <c r="CP9" s="20" t="str">
        <f t="shared" si="14"/>
        <v/>
      </c>
      <c r="CQ9" s="20" t="str">
        <f t="shared" si="14"/>
        <v/>
      </c>
      <c r="CR9" s="20" t="str">
        <f t="shared" si="14"/>
        <v/>
      </c>
      <c r="CS9" s="20" t="str">
        <f t="shared" si="14"/>
        <v/>
      </c>
      <c r="CT9" s="20" t="str">
        <f t="shared" si="14"/>
        <v/>
      </c>
      <c r="CU9" s="20" t="str">
        <f t="shared" si="14"/>
        <v/>
      </c>
      <c r="CV9" s="20" t="str">
        <f t="shared" si="14"/>
        <v/>
      </c>
      <c r="CW9" s="20" t="str">
        <f t="shared" si="14"/>
        <v/>
      </c>
      <c r="CX9" s="20" t="str">
        <f t="shared" si="14"/>
        <v/>
      </c>
      <c r="CY9" s="20" t="str">
        <f t="shared" si="14"/>
        <v/>
      </c>
      <c r="CZ9" s="20" t="str">
        <f t="shared" si="14"/>
        <v/>
      </c>
      <c r="DA9" s="20" t="str">
        <f t="shared" si="14"/>
        <v/>
      </c>
      <c r="DB9" s="20" t="str">
        <f t="shared" si="14"/>
        <v/>
      </c>
      <c r="DC9" s="20" t="str">
        <f t="shared" si="14"/>
        <v/>
      </c>
      <c r="DD9" s="20" t="str">
        <f t="shared" si="14"/>
        <v/>
      </c>
      <c r="DE9" s="20" t="str">
        <f t="shared" si="14"/>
        <v/>
      </c>
      <c r="DF9" s="20" t="str">
        <f t="shared" si="14"/>
        <v/>
      </c>
      <c r="DG9" s="20" t="str">
        <f t="shared" si="14"/>
        <v/>
      </c>
      <c r="DH9" s="20" t="str">
        <f t="shared" si="14"/>
        <v/>
      </c>
      <c r="DI9" s="20" t="str">
        <f t="shared" si="14"/>
        <v/>
      </c>
      <c r="DJ9" s="20" t="str">
        <f t="shared" si="14"/>
        <v/>
      </c>
      <c r="DK9" s="20" t="str">
        <f t="shared" si="14"/>
        <v/>
      </c>
      <c r="DL9" s="20" t="str">
        <f t="shared" si="14"/>
        <v/>
      </c>
      <c r="DM9" s="20" t="str">
        <f t="shared" si="14"/>
        <v/>
      </c>
      <c r="DN9" s="20" t="str">
        <f t="shared" si="14"/>
        <v/>
      </c>
      <c r="DO9" s="20" t="str">
        <f t="shared" si="14"/>
        <v/>
      </c>
      <c r="DP9" s="20" t="str">
        <f t="shared" si="14"/>
        <v/>
      </c>
      <c r="DQ9" s="20" t="str">
        <f t="shared" si="14"/>
        <v/>
      </c>
      <c r="DR9" s="20" t="str">
        <f t="shared" si="14"/>
        <v/>
      </c>
      <c r="DS9" s="20" t="str">
        <f t="shared" si="14"/>
        <v/>
      </c>
      <c r="DT9" s="20" t="str">
        <f t="shared" si="14"/>
        <v/>
      </c>
      <c r="DU9" s="20" t="str">
        <f t="shared" si="14"/>
        <v/>
      </c>
      <c r="DV9" s="20" t="str">
        <f t="shared" si="14"/>
        <v/>
      </c>
      <c r="DW9" s="20" t="str">
        <f t="shared" si="14"/>
        <v/>
      </c>
      <c r="DX9" s="20" t="str">
        <f t="shared" si="14"/>
        <v/>
      </c>
      <c r="DY9" s="20" t="str">
        <f t="shared" si="14"/>
        <v/>
      </c>
      <c r="DZ9" s="20" t="str">
        <f t="shared" si="14"/>
        <v/>
      </c>
      <c r="EA9" s="20" t="str">
        <f t="shared" si="14"/>
        <v/>
      </c>
      <c r="EB9" s="20" t="str">
        <f t="shared" si="14"/>
        <v/>
      </c>
      <c r="EC9" s="20" t="str">
        <f t="shared" si="14"/>
        <v/>
      </c>
      <c r="ED9" s="20" t="str">
        <f t="shared" ref="ED9:GO9" si="15">IFERROR(ROUNDUP((SUM(ED13:ED376)/IFERROR(INDEX($V$13:$V$376,MATCH(SUM(ED$13:ED$376),ED$13:ED$376,0),1),"")),0),"")</f>
        <v/>
      </c>
      <c r="EE9" s="20" t="str">
        <f t="shared" si="15"/>
        <v/>
      </c>
      <c r="EF9" s="20" t="str">
        <f t="shared" si="15"/>
        <v/>
      </c>
      <c r="EG9" s="20" t="str">
        <f t="shared" si="15"/>
        <v/>
      </c>
      <c r="EH9" s="20" t="str">
        <f t="shared" si="15"/>
        <v/>
      </c>
      <c r="EI9" s="20" t="str">
        <f t="shared" si="15"/>
        <v/>
      </c>
      <c r="EJ9" s="20" t="str">
        <f t="shared" si="15"/>
        <v/>
      </c>
      <c r="EK9" s="20" t="str">
        <f t="shared" si="15"/>
        <v/>
      </c>
      <c r="EL9" s="20" t="str">
        <f t="shared" si="15"/>
        <v/>
      </c>
      <c r="EM9" s="20" t="str">
        <f t="shared" si="15"/>
        <v/>
      </c>
      <c r="EN9" s="20" t="str">
        <f t="shared" si="15"/>
        <v/>
      </c>
      <c r="EO9" s="20" t="str">
        <f t="shared" si="15"/>
        <v/>
      </c>
      <c r="EP9" s="20" t="str">
        <f t="shared" si="15"/>
        <v/>
      </c>
      <c r="EQ9" s="20" t="str">
        <f t="shared" si="15"/>
        <v/>
      </c>
      <c r="ER9" s="20" t="str">
        <f t="shared" si="15"/>
        <v/>
      </c>
      <c r="ES9" s="20" t="str">
        <f t="shared" si="15"/>
        <v/>
      </c>
      <c r="ET9" s="20" t="str">
        <f t="shared" si="15"/>
        <v/>
      </c>
      <c r="EU9" s="20" t="str">
        <f t="shared" si="15"/>
        <v/>
      </c>
      <c r="EV9" s="20" t="str">
        <f t="shared" si="15"/>
        <v/>
      </c>
      <c r="EW9" s="20" t="str">
        <f t="shared" si="15"/>
        <v/>
      </c>
      <c r="EX9" s="20" t="str">
        <f t="shared" si="15"/>
        <v/>
      </c>
      <c r="EY9" s="20" t="str">
        <f t="shared" si="15"/>
        <v/>
      </c>
      <c r="EZ9" s="20" t="str">
        <f t="shared" si="15"/>
        <v/>
      </c>
      <c r="FA9" s="20" t="str">
        <f t="shared" si="15"/>
        <v/>
      </c>
      <c r="FB9" s="20" t="str">
        <f t="shared" si="15"/>
        <v/>
      </c>
      <c r="FC9" s="20" t="str">
        <f t="shared" si="15"/>
        <v/>
      </c>
      <c r="FD9" s="20" t="str">
        <f t="shared" si="15"/>
        <v/>
      </c>
      <c r="FE9" s="20" t="str">
        <f t="shared" si="15"/>
        <v/>
      </c>
      <c r="FF9" s="20" t="str">
        <f t="shared" si="15"/>
        <v/>
      </c>
      <c r="FG9" s="20" t="str">
        <f t="shared" si="15"/>
        <v/>
      </c>
      <c r="FH9" s="20" t="str">
        <f t="shared" si="15"/>
        <v/>
      </c>
      <c r="FI9" s="20" t="str">
        <f t="shared" si="15"/>
        <v/>
      </c>
      <c r="FJ9" s="20" t="str">
        <f t="shared" si="15"/>
        <v/>
      </c>
      <c r="FK9" s="20" t="str">
        <f t="shared" si="15"/>
        <v/>
      </c>
      <c r="FL9" s="20" t="str">
        <f t="shared" si="15"/>
        <v/>
      </c>
      <c r="FM9" s="20" t="str">
        <f t="shared" si="15"/>
        <v/>
      </c>
      <c r="FN9" s="20" t="str">
        <f t="shared" si="15"/>
        <v/>
      </c>
      <c r="FO9" s="20" t="str">
        <f t="shared" si="15"/>
        <v/>
      </c>
      <c r="FP9" s="20" t="str">
        <f t="shared" si="15"/>
        <v/>
      </c>
      <c r="FQ9" s="20" t="str">
        <f t="shared" si="15"/>
        <v/>
      </c>
      <c r="FR9" s="20" t="str">
        <f t="shared" si="15"/>
        <v/>
      </c>
      <c r="FS9" s="20" t="str">
        <f t="shared" si="15"/>
        <v/>
      </c>
      <c r="FT9" s="20" t="str">
        <f t="shared" si="15"/>
        <v/>
      </c>
      <c r="FU9" s="20" t="str">
        <f t="shared" si="15"/>
        <v/>
      </c>
      <c r="FV9" s="20" t="str">
        <f t="shared" si="15"/>
        <v/>
      </c>
      <c r="FW9" s="20" t="str">
        <f t="shared" si="15"/>
        <v/>
      </c>
      <c r="FX9" s="20" t="str">
        <f t="shared" si="15"/>
        <v/>
      </c>
      <c r="FY9" s="20" t="str">
        <f t="shared" si="15"/>
        <v/>
      </c>
      <c r="FZ9" s="20" t="str">
        <f t="shared" si="15"/>
        <v/>
      </c>
      <c r="GA9" s="20" t="str">
        <f t="shared" si="15"/>
        <v/>
      </c>
      <c r="GB9" s="20" t="str">
        <f t="shared" si="15"/>
        <v/>
      </c>
      <c r="GC9" s="20" t="str">
        <f t="shared" si="15"/>
        <v/>
      </c>
      <c r="GD9" s="20" t="str">
        <f t="shared" si="15"/>
        <v/>
      </c>
      <c r="GE9" s="20" t="str">
        <f t="shared" si="15"/>
        <v/>
      </c>
      <c r="GF9" s="20" t="str">
        <f t="shared" si="15"/>
        <v/>
      </c>
      <c r="GG9" s="20" t="str">
        <f t="shared" si="15"/>
        <v/>
      </c>
      <c r="GH9" s="20" t="str">
        <f t="shared" si="15"/>
        <v/>
      </c>
      <c r="GI9" s="20" t="str">
        <f t="shared" si="15"/>
        <v/>
      </c>
      <c r="GJ9" s="20" t="str">
        <f t="shared" si="15"/>
        <v/>
      </c>
      <c r="GK9" s="20" t="str">
        <f t="shared" si="15"/>
        <v/>
      </c>
      <c r="GL9" s="20" t="str">
        <f t="shared" si="15"/>
        <v/>
      </c>
      <c r="GM9" s="20" t="str">
        <f t="shared" si="15"/>
        <v/>
      </c>
      <c r="GN9" s="20" t="str">
        <f t="shared" si="15"/>
        <v/>
      </c>
      <c r="GO9" s="20" t="str">
        <f t="shared" si="15"/>
        <v/>
      </c>
      <c r="GP9" s="20" t="str">
        <f t="shared" ref="GP9:HO9" si="16">IFERROR(ROUNDUP((SUM(GP13:GP376)/IFERROR(INDEX($V$13:$V$376,MATCH(SUM(GP$13:GP$376),GP$13:GP$376,0),1),"")),0),"")</f>
        <v/>
      </c>
      <c r="GQ9" s="20" t="str">
        <f t="shared" si="16"/>
        <v/>
      </c>
      <c r="GR9" s="20" t="str">
        <f t="shared" si="16"/>
        <v/>
      </c>
      <c r="GS9" s="20" t="str">
        <f t="shared" si="16"/>
        <v/>
      </c>
      <c r="GT9" s="20" t="str">
        <f t="shared" si="16"/>
        <v/>
      </c>
      <c r="GU9" s="20" t="str">
        <f t="shared" si="16"/>
        <v/>
      </c>
      <c r="GV9" s="20" t="str">
        <f t="shared" si="16"/>
        <v/>
      </c>
      <c r="GW9" s="20" t="str">
        <f t="shared" si="16"/>
        <v/>
      </c>
      <c r="GX9" s="20" t="str">
        <f t="shared" si="16"/>
        <v/>
      </c>
      <c r="GY9" s="20" t="str">
        <f t="shared" si="16"/>
        <v/>
      </c>
      <c r="GZ9" s="20" t="str">
        <f t="shared" si="16"/>
        <v/>
      </c>
      <c r="HA9" s="20" t="str">
        <f t="shared" si="16"/>
        <v/>
      </c>
      <c r="HB9" s="20" t="str">
        <f t="shared" si="16"/>
        <v/>
      </c>
      <c r="HC9" s="20" t="str">
        <f t="shared" si="16"/>
        <v/>
      </c>
      <c r="HD9" s="20" t="str">
        <f t="shared" si="16"/>
        <v/>
      </c>
      <c r="HE9" s="20" t="str">
        <f t="shared" si="16"/>
        <v/>
      </c>
      <c r="HF9" s="20" t="str">
        <f t="shared" si="16"/>
        <v/>
      </c>
      <c r="HG9" s="20" t="str">
        <f t="shared" si="16"/>
        <v/>
      </c>
      <c r="HH9" s="20" t="str">
        <f t="shared" si="16"/>
        <v/>
      </c>
      <c r="HI9" s="20" t="str">
        <f t="shared" si="16"/>
        <v/>
      </c>
      <c r="HJ9" s="20" t="str">
        <f t="shared" si="16"/>
        <v/>
      </c>
      <c r="HK9" s="20" t="str">
        <f t="shared" si="16"/>
        <v/>
      </c>
      <c r="HL9" s="20" t="str">
        <f t="shared" si="16"/>
        <v/>
      </c>
      <c r="HM9" s="20" t="str">
        <f t="shared" si="16"/>
        <v/>
      </c>
      <c r="HN9" s="20" t="str">
        <f t="shared" si="16"/>
        <v/>
      </c>
      <c r="HO9" s="20" t="str">
        <f t="shared" si="16"/>
        <v/>
      </c>
    </row>
    <row r="10" spans="2:223" ht="15" customHeight="1">
      <c r="B10" s="188"/>
      <c r="C10" s="174"/>
      <c r="D10" s="174"/>
      <c r="E10" s="174"/>
      <c r="F10" s="174"/>
      <c r="G10" s="174"/>
      <c r="H10" s="180"/>
      <c r="I10" s="183"/>
      <c r="J10" s="180"/>
      <c r="K10" s="180"/>
      <c r="L10" s="183"/>
      <c r="M10" s="180"/>
      <c r="N10" s="180"/>
      <c r="O10" s="183"/>
      <c r="P10" s="180"/>
      <c r="Q10" s="183"/>
      <c r="R10" s="180"/>
      <c r="S10" s="180"/>
      <c r="T10" s="180"/>
      <c r="U10" s="174"/>
      <c r="V10" s="180"/>
      <c r="W10" s="174"/>
      <c r="X10" s="174"/>
      <c r="Y10" s="174"/>
      <c r="Z10" s="174"/>
      <c r="AA10" s="174"/>
      <c r="AB10" s="177"/>
      <c r="AC10" s="58" t="s">
        <v>6</v>
      </c>
      <c r="AD10" s="17">
        <f t="shared" ref="AD10:CN10" si="17">IFERROR(INDEX($W$13:$W$376,MATCH(SUM(AD$13:AD$376),AD$13:AD$376,0),1),"")</f>
        <v>46213</v>
      </c>
      <c r="AE10" s="17">
        <f t="shared" si="17"/>
        <v>46213</v>
      </c>
      <c r="AF10" s="17">
        <f t="shared" si="17"/>
        <v>46213</v>
      </c>
      <c r="AG10" s="17">
        <f t="shared" si="17"/>
        <v>46213</v>
      </c>
      <c r="AH10" s="17">
        <f t="shared" si="17"/>
        <v>46213</v>
      </c>
      <c r="AI10" s="17">
        <f t="shared" si="17"/>
        <v>46213</v>
      </c>
      <c r="AJ10" s="17">
        <f t="shared" si="17"/>
        <v>46213</v>
      </c>
      <c r="AK10" s="17">
        <f t="shared" si="17"/>
        <v>46214</v>
      </c>
      <c r="AL10" s="17">
        <f t="shared" si="17"/>
        <v>46214</v>
      </c>
      <c r="AM10" s="17">
        <f t="shared" si="17"/>
        <v>46214</v>
      </c>
      <c r="AN10" s="17">
        <f t="shared" si="17"/>
        <v>46214</v>
      </c>
      <c r="AO10" s="17">
        <f t="shared" si="17"/>
        <v>46214</v>
      </c>
      <c r="AP10" s="17">
        <f t="shared" si="17"/>
        <v>46214</v>
      </c>
      <c r="AQ10" s="17">
        <f t="shared" si="17"/>
        <v>46214</v>
      </c>
      <c r="AR10" s="17">
        <f t="shared" si="17"/>
        <v>46219</v>
      </c>
      <c r="AS10" s="17">
        <f t="shared" si="17"/>
        <v>46219</v>
      </c>
      <c r="AT10" s="17">
        <f t="shared" si="17"/>
        <v>46215</v>
      </c>
      <c r="AU10" s="17">
        <f t="shared" si="17"/>
        <v>46214</v>
      </c>
      <c r="AV10" s="17">
        <f t="shared" si="17"/>
        <v>46220</v>
      </c>
      <c r="AW10" s="17">
        <f t="shared" si="17"/>
        <v>46220</v>
      </c>
      <c r="AX10" s="17">
        <f t="shared" si="17"/>
        <v>46220</v>
      </c>
      <c r="AY10" s="17">
        <f t="shared" si="17"/>
        <v>46220</v>
      </c>
      <c r="AZ10" s="17">
        <f t="shared" si="17"/>
        <v>46219</v>
      </c>
      <c r="BA10" s="17">
        <f t="shared" si="17"/>
        <v>46223</v>
      </c>
      <c r="BB10" s="17">
        <f t="shared" si="17"/>
        <v>46223</v>
      </c>
      <c r="BC10" s="17">
        <f t="shared" si="17"/>
        <v>46223</v>
      </c>
      <c r="BD10" s="17">
        <f t="shared" si="17"/>
        <v>46223</v>
      </c>
      <c r="BE10" s="17">
        <f t="shared" si="17"/>
        <v>46223</v>
      </c>
      <c r="BF10" s="17">
        <f t="shared" si="17"/>
        <v>46223</v>
      </c>
      <c r="BG10" s="17">
        <f t="shared" si="17"/>
        <v>46223</v>
      </c>
      <c r="BH10" s="17">
        <f t="shared" si="17"/>
        <v>46222</v>
      </c>
      <c r="BI10" s="17">
        <f t="shared" si="17"/>
        <v>46222</v>
      </c>
      <c r="BJ10" s="17">
        <f t="shared" si="17"/>
        <v>46222</v>
      </c>
      <c r="BK10" s="17">
        <f t="shared" si="17"/>
        <v>46222</v>
      </c>
      <c r="BL10" s="17">
        <f t="shared" si="17"/>
        <v>46222</v>
      </c>
      <c r="BM10" s="17">
        <f t="shared" si="17"/>
        <v>46226</v>
      </c>
      <c r="BN10" s="17">
        <f t="shared" si="17"/>
        <v>46223</v>
      </c>
      <c r="BO10" s="17">
        <f t="shared" si="17"/>
        <v>46222</v>
      </c>
      <c r="BP10" s="17">
        <f t="shared" si="17"/>
        <v>46222</v>
      </c>
      <c r="BQ10" s="17">
        <f t="shared" si="17"/>
        <v>46222</v>
      </c>
      <c r="BR10" s="17">
        <f t="shared" si="17"/>
        <v>46223</v>
      </c>
      <c r="BS10" s="17">
        <f t="shared" si="17"/>
        <v>46229</v>
      </c>
      <c r="BT10" s="17">
        <f t="shared" si="17"/>
        <v>46229</v>
      </c>
      <c r="BU10" s="17">
        <f t="shared" si="17"/>
        <v>46229</v>
      </c>
      <c r="BV10" s="17">
        <f t="shared" si="17"/>
        <v>46229</v>
      </c>
      <c r="BW10" s="17">
        <f t="shared" si="17"/>
        <v>46229</v>
      </c>
      <c r="BX10" s="17">
        <f t="shared" si="17"/>
        <v>46229</v>
      </c>
      <c r="BY10" s="17">
        <f t="shared" si="17"/>
        <v>46240</v>
      </c>
      <c r="BZ10" s="17">
        <f t="shared" si="17"/>
        <v>46240</v>
      </c>
      <c r="CA10" s="17">
        <f t="shared" si="17"/>
        <v>46240</v>
      </c>
      <c r="CB10" s="17">
        <f t="shared" si="17"/>
        <v>46240</v>
      </c>
      <c r="CC10" s="17">
        <f t="shared" si="17"/>
        <v>46240</v>
      </c>
      <c r="CD10" s="17">
        <f t="shared" si="17"/>
        <v>46240</v>
      </c>
      <c r="CE10" s="17" t="str">
        <f t="shared" si="17"/>
        <v/>
      </c>
      <c r="CF10" s="17" t="str">
        <f t="shared" si="17"/>
        <v/>
      </c>
      <c r="CG10" s="17" t="str">
        <f t="shared" si="17"/>
        <v/>
      </c>
      <c r="CH10" s="17" t="str">
        <f t="shared" si="17"/>
        <v/>
      </c>
      <c r="CI10" s="17" t="str">
        <f t="shared" si="17"/>
        <v/>
      </c>
      <c r="CJ10" s="17" t="str">
        <f t="shared" si="17"/>
        <v/>
      </c>
      <c r="CK10" s="17" t="str">
        <f t="shared" si="17"/>
        <v/>
      </c>
      <c r="CL10" s="17" t="str">
        <f t="shared" si="17"/>
        <v/>
      </c>
      <c r="CM10" s="17" t="str">
        <f t="shared" si="17"/>
        <v/>
      </c>
      <c r="CN10" s="17" t="str">
        <f t="shared" si="17"/>
        <v/>
      </c>
      <c r="CO10" s="17" t="str">
        <f t="shared" ref="CO10:EZ10" si="18">IFERROR(INDEX($W$13:$W$376,MATCH(SUM(CO$13:CO$376),CO$13:CO$376,0),1),"")</f>
        <v/>
      </c>
      <c r="CP10" s="17" t="str">
        <f t="shared" si="18"/>
        <v/>
      </c>
      <c r="CQ10" s="17" t="str">
        <f t="shared" si="18"/>
        <v/>
      </c>
      <c r="CR10" s="17" t="str">
        <f t="shared" si="18"/>
        <v/>
      </c>
      <c r="CS10" s="17" t="str">
        <f t="shared" si="18"/>
        <v/>
      </c>
      <c r="CT10" s="17" t="str">
        <f t="shared" si="18"/>
        <v/>
      </c>
      <c r="CU10" s="17" t="str">
        <f t="shared" si="18"/>
        <v/>
      </c>
      <c r="CV10" s="17" t="str">
        <f t="shared" si="18"/>
        <v/>
      </c>
      <c r="CW10" s="17" t="str">
        <f t="shared" si="18"/>
        <v/>
      </c>
      <c r="CX10" s="17" t="str">
        <f t="shared" si="18"/>
        <v/>
      </c>
      <c r="CY10" s="17" t="str">
        <f t="shared" si="18"/>
        <v/>
      </c>
      <c r="CZ10" s="17" t="str">
        <f t="shared" si="18"/>
        <v/>
      </c>
      <c r="DA10" s="17" t="str">
        <f t="shared" si="18"/>
        <v/>
      </c>
      <c r="DB10" s="17" t="str">
        <f t="shared" si="18"/>
        <v/>
      </c>
      <c r="DC10" s="17" t="str">
        <f t="shared" si="18"/>
        <v/>
      </c>
      <c r="DD10" s="17" t="str">
        <f t="shared" si="18"/>
        <v/>
      </c>
      <c r="DE10" s="17" t="str">
        <f t="shared" si="18"/>
        <v/>
      </c>
      <c r="DF10" s="17" t="str">
        <f t="shared" si="18"/>
        <v/>
      </c>
      <c r="DG10" s="17" t="str">
        <f t="shared" si="18"/>
        <v/>
      </c>
      <c r="DH10" s="17" t="str">
        <f t="shared" si="18"/>
        <v/>
      </c>
      <c r="DI10" s="17" t="str">
        <f t="shared" si="18"/>
        <v/>
      </c>
      <c r="DJ10" s="17" t="str">
        <f t="shared" si="18"/>
        <v/>
      </c>
      <c r="DK10" s="17" t="str">
        <f t="shared" si="18"/>
        <v/>
      </c>
      <c r="DL10" s="17" t="str">
        <f t="shared" si="18"/>
        <v/>
      </c>
      <c r="DM10" s="17" t="str">
        <f t="shared" si="18"/>
        <v/>
      </c>
      <c r="DN10" s="17" t="str">
        <f t="shared" si="18"/>
        <v/>
      </c>
      <c r="DO10" s="17" t="str">
        <f t="shared" si="18"/>
        <v/>
      </c>
      <c r="DP10" s="17" t="str">
        <f t="shared" si="18"/>
        <v/>
      </c>
      <c r="DQ10" s="17" t="str">
        <f t="shared" si="18"/>
        <v/>
      </c>
      <c r="DR10" s="17" t="str">
        <f t="shared" si="18"/>
        <v/>
      </c>
      <c r="DS10" s="17" t="str">
        <f t="shared" si="18"/>
        <v/>
      </c>
      <c r="DT10" s="17" t="str">
        <f t="shared" si="18"/>
        <v/>
      </c>
      <c r="DU10" s="17" t="str">
        <f t="shared" si="18"/>
        <v/>
      </c>
      <c r="DV10" s="17" t="str">
        <f t="shared" si="18"/>
        <v/>
      </c>
      <c r="DW10" s="17" t="str">
        <f t="shared" si="18"/>
        <v/>
      </c>
      <c r="DX10" s="17" t="str">
        <f t="shared" si="18"/>
        <v/>
      </c>
      <c r="DY10" s="17" t="str">
        <f t="shared" si="18"/>
        <v/>
      </c>
      <c r="DZ10" s="17" t="str">
        <f t="shared" si="18"/>
        <v/>
      </c>
      <c r="EA10" s="17" t="str">
        <f t="shared" si="18"/>
        <v/>
      </c>
      <c r="EB10" s="17" t="str">
        <f t="shared" si="18"/>
        <v/>
      </c>
      <c r="EC10" s="17" t="str">
        <f t="shared" si="18"/>
        <v/>
      </c>
      <c r="ED10" s="17" t="str">
        <f t="shared" si="18"/>
        <v/>
      </c>
      <c r="EE10" s="17" t="str">
        <f t="shared" si="18"/>
        <v/>
      </c>
      <c r="EF10" s="17" t="str">
        <f t="shared" si="18"/>
        <v/>
      </c>
      <c r="EG10" s="17" t="str">
        <f t="shared" si="18"/>
        <v/>
      </c>
      <c r="EH10" s="17" t="str">
        <f t="shared" si="18"/>
        <v/>
      </c>
      <c r="EI10" s="17" t="str">
        <f t="shared" si="18"/>
        <v/>
      </c>
      <c r="EJ10" s="17" t="str">
        <f t="shared" si="18"/>
        <v/>
      </c>
      <c r="EK10" s="17" t="str">
        <f t="shared" si="18"/>
        <v/>
      </c>
      <c r="EL10" s="17" t="str">
        <f t="shared" si="18"/>
        <v/>
      </c>
      <c r="EM10" s="17" t="str">
        <f t="shared" si="18"/>
        <v/>
      </c>
      <c r="EN10" s="17" t="str">
        <f t="shared" si="18"/>
        <v/>
      </c>
      <c r="EO10" s="17" t="str">
        <f t="shared" si="18"/>
        <v/>
      </c>
      <c r="EP10" s="17" t="str">
        <f t="shared" si="18"/>
        <v/>
      </c>
      <c r="EQ10" s="17" t="str">
        <f t="shared" si="18"/>
        <v/>
      </c>
      <c r="ER10" s="17" t="str">
        <f t="shared" si="18"/>
        <v/>
      </c>
      <c r="ES10" s="17" t="str">
        <f t="shared" si="18"/>
        <v/>
      </c>
      <c r="ET10" s="17" t="str">
        <f t="shared" si="18"/>
        <v/>
      </c>
      <c r="EU10" s="17" t="str">
        <f t="shared" si="18"/>
        <v/>
      </c>
      <c r="EV10" s="17" t="str">
        <f t="shared" si="18"/>
        <v/>
      </c>
      <c r="EW10" s="17" t="str">
        <f t="shared" si="18"/>
        <v/>
      </c>
      <c r="EX10" s="17" t="str">
        <f t="shared" si="18"/>
        <v/>
      </c>
      <c r="EY10" s="17" t="str">
        <f t="shared" si="18"/>
        <v/>
      </c>
      <c r="EZ10" s="17" t="str">
        <f t="shared" si="18"/>
        <v/>
      </c>
      <c r="FA10" s="17" t="str">
        <f t="shared" ref="FA10:HL10" si="19">IFERROR(INDEX($W$13:$W$376,MATCH(SUM(FA$13:FA$376),FA$13:FA$376,0),1),"")</f>
        <v/>
      </c>
      <c r="FB10" s="17" t="str">
        <f t="shared" si="19"/>
        <v/>
      </c>
      <c r="FC10" s="17" t="str">
        <f t="shared" si="19"/>
        <v/>
      </c>
      <c r="FD10" s="17" t="str">
        <f t="shared" si="19"/>
        <v/>
      </c>
      <c r="FE10" s="17" t="str">
        <f t="shared" si="19"/>
        <v/>
      </c>
      <c r="FF10" s="17" t="str">
        <f t="shared" si="19"/>
        <v/>
      </c>
      <c r="FG10" s="17" t="str">
        <f t="shared" si="19"/>
        <v/>
      </c>
      <c r="FH10" s="17" t="str">
        <f t="shared" si="19"/>
        <v/>
      </c>
      <c r="FI10" s="17" t="str">
        <f t="shared" si="19"/>
        <v/>
      </c>
      <c r="FJ10" s="17" t="str">
        <f t="shared" si="19"/>
        <v/>
      </c>
      <c r="FK10" s="17" t="str">
        <f t="shared" si="19"/>
        <v/>
      </c>
      <c r="FL10" s="17" t="str">
        <f t="shared" si="19"/>
        <v/>
      </c>
      <c r="FM10" s="17" t="str">
        <f t="shared" si="19"/>
        <v/>
      </c>
      <c r="FN10" s="17" t="str">
        <f t="shared" si="19"/>
        <v/>
      </c>
      <c r="FO10" s="17" t="str">
        <f t="shared" si="19"/>
        <v/>
      </c>
      <c r="FP10" s="17" t="str">
        <f t="shared" si="19"/>
        <v/>
      </c>
      <c r="FQ10" s="17" t="str">
        <f t="shared" si="19"/>
        <v/>
      </c>
      <c r="FR10" s="17" t="str">
        <f t="shared" si="19"/>
        <v/>
      </c>
      <c r="FS10" s="17" t="str">
        <f t="shared" si="19"/>
        <v/>
      </c>
      <c r="FT10" s="17" t="str">
        <f t="shared" si="19"/>
        <v/>
      </c>
      <c r="FU10" s="17" t="str">
        <f t="shared" si="19"/>
        <v/>
      </c>
      <c r="FV10" s="17" t="str">
        <f t="shared" si="19"/>
        <v/>
      </c>
      <c r="FW10" s="17" t="str">
        <f t="shared" si="19"/>
        <v/>
      </c>
      <c r="FX10" s="17" t="str">
        <f t="shared" si="19"/>
        <v/>
      </c>
      <c r="FY10" s="17" t="str">
        <f t="shared" si="19"/>
        <v/>
      </c>
      <c r="FZ10" s="17" t="str">
        <f t="shared" si="19"/>
        <v/>
      </c>
      <c r="GA10" s="17" t="str">
        <f t="shared" si="19"/>
        <v/>
      </c>
      <c r="GB10" s="17" t="str">
        <f t="shared" si="19"/>
        <v/>
      </c>
      <c r="GC10" s="17" t="str">
        <f t="shared" si="19"/>
        <v/>
      </c>
      <c r="GD10" s="17" t="str">
        <f t="shared" si="19"/>
        <v/>
      </c>
      <c r="GE10" s="17" t="str">
        <f t="shared" si="19"/>
        <v/>
      </c>
      <c r="GF10" s="17" t="str">
        <f t="shared" si="19"/>
        <v/>
      </c>
      <c r="GG10" s="17" t="str">
        <f t="shared" si="19"/>
        <v/>
      </c>
      <c r="GH10" s="17" t="str">
        <f t="shared" si="19"/>
        <v/>
      </c>
      <c r="GI10" s="17" t="str">
        <f t="shared" si="19"/>
        <v/>
      </c>
      <c r="GJ10" s="17" t="str">
        <f t="shared" si="19"/>
        <v/>
      </c>
      <c r="GK10" s="17" t="str">
        <f t="shared" si="19"/>
        <v/>
      </c>
      <c r="GL10" s="17" t="str">
        <f t="shared" si="19"/>
        <v/>
      </c>
      <c r="GM10" s="17" t="str">
        <f t="shared" si="19"/>
        <v/>
      </c>
      <c r="GN10" s="17" t="str">
        <f t="shared" si="19"/>
        <v/>
      </c>
      <c r="GO10" s="17" t="str">
        <f t="shared" si="19"/>
        <v/>
      </c>
      <c r="GP10" s="17" t="str">
        <f t="shared" si="19"/>
        <v/>
      </c>
      <c r="GQ10" s="17" t="str">
        <f t="shared" si="19"/>
        <v/>
      </c>
      <c r="GR10" s="17" t="str">
        <f t="shared" si="19"/>
        <v/>
      </c>
      <c r="GS10" s="17" t="str">
        <f t="shared" si="19"/>
        <v/>
      </c>
      <c r="GT10" s="17" t="str">
        <f t="shared" si="19"/>
        <v/>
      </c>
      <c r="GU10" s="17" t="str">
        <f t="shared" si="19"/>
        <v/>
      </c>
      <c r="GV10" s="17" t="str">
        <f t="shared" si="19"/>
        <v/>
      </c>
      <c r="GW10" s="17" t="str">
        <f t="shared" si="19"/>
        <v/>
      </c>
      <c r="GX10" s="17" t="str">
        <f t="shared" si="19"/>
        <v/>
      </c>
      <c r="GY10" s="17" t="str">
        <f t="shared" si="19"/>
        <v/>
      </c>
      <c r="GZ10" s="17" t="str">
        <f t="shared" si="19"/>
        <v/>
      </c>
      <c r="HA10" s="17" t="str">
        <f t="shared" si="19"/>
        <v/>
      </c>
      <c r="HB10" s="17" t="str">
        <f t="shared" si="19"/>
        <v/>
      </c>
      <c r="HC10" s="17" t="str">
        <f t="shared" si="19"/>
        <v/>
      </c>
      <c r="HD10" s="17" t="str">
        <f t="shared" si="19"/>
        <v/>
      </c>
      <c r="HE10" s="17" t="str">
        <f t="shared" si="19"/>
        <v/>
      </c>
      <c r="HF10" s="17" t="str">
        <f t="shared" si="19"/>
        <v/>
      </c>
      <c r="HG10" s="17" t="str">
        <f t="shared" si="19"/>
        <v/>
      </c>
      <c r="HH10" s="17" t="str">
        <f t="shared" si="19"/>
        <v/>
      </c>
      <c r="HI10" s="17" t="str">
        <f t="shared" si="19"/>
        <v/>
      </c>
      <c r="HJ10" s="17" t="str">
        <f t="shared" si="19"/>
        <v/>
      </c>
      <c r="HK10" s="17" t="str">
        <f t="shared" si="19"/>
        <v/>
      </c>
      <c r="HL10" s="17" t="str">
        <f t="shared" si="19"/>
        <v/>
      </c>
      <c r="HM10" s="17" t="str">
        <f t="shared" ref="HM10:HO10" si="20">IFERROR(INDEX($W$13:$W$376,MATCH(SUM(HM$13:HM$376),HM$13:HM$376,0),1),"")</f>
        <v/>
      </c>
      <c r="HN10" s="17" t="str">
        <f t="shared" si="20"/>
        <v/>
      </c>
      <c r="HO10" s="17" t="str">
        <f t="shared" si="20"/>
        <v/>
      </c>
    </row>
    <row r="11" spans="2:223" ht="15" customHeight="1">
      <c r="B11" s="188"/>
      <c r="C11" s="174"/>
      <c r="D11" s="174"/>
      <c r="E11" s="174"/>
      <c r="F11" s="174"/>
      <c r="G11" s="174"/>
      <c r="H11" s="180"/>
      <c r="I11" s="183"/>
      <c r="J11" s="180"/>
      <c r="K11" s="180"/>
      <c r="L11" s="183"/>
      <c r="M11" s="180"/>
      <c r="N11" s="180"/>
      <c r="O11" s="183"/>
      <c r="P11" s="180"/>
      <c r="Q11" s="183"/>
      <c r="R11" s="180"/>
      <c r="S11" s="180"/>
      <c r="T11" s="180"/>
      <c r="U11" s="174"/>
      <c r="V11" s="180"/>
      <c r="W11" s="174"/>
      <c r="X11" s="174"/>
      <c r="Y11" s="174"/>
      <c r="Z11" s="174"/>
      <c r="AA11" s="174"/>
      <c r="AB11" s="177"/>
      <c r="AC11" s="58" t="s">
        <v>7</v>
      </c>
      <c r="AD11" s="20" t="str">
        <f t="shared" ref="AD11:BE11" ca="1" si="21">IF(AD5="","",IF(AD10&gt;AD4,"프리타임 기간내 출고",IF(DATE(YEAR(AD4),MONTH(AD4),1)&gt;DATE(YEAR(AD10),MONTH(AD10),1),DATEDIF(DATE(YEAR(NOW()),MONTH(NOW()),1),(AD4)+1,"D"),DATEDIF(AD10,AD4+1,"D"))))</f>
        <v>프리타임 기간내 출고</v>
      </c>
      <c r="AE11" s="20" t="str">
        <f t="shared" ca="1" si="21"/>
        <v>프리타임 기간내 출고</v>
      </c>
      <c r="AF11" s="20" t="str">
        <f t="shared" ca="1" si="21"/>
        <v>프리타임 기간내 출고</v>
      </c>
      <c r="AG11" s="20" t="str">
        <f t="shared" ca="1" si="21"/>
        <v>프리타임 기간내 출고</v>
      </c>
      <c r="AH11" s="20" t="str">
        <f t="shared" ca="1" si="21"/>
        <v>프리타임 기간내 출고</v>
      </c>
      <c r="AI11" s="20" t="str">
        <f t="shared" ca="1" si="21"/>
        <v>프리타임 기간내 출고</v>
      </c>
      <c r="AJ11" s="20" t="str">
        <f t="shared" ca="1" si="21"/>
        <v>프리타임 기간내 출고</v>
      </c>
      <c r="AK11" s="20" t="str">
        <f t="shared" ca="1" si="21"/>
        <v>프리타임 기간내 출고</v>
      </c>
      <c r="AL11" s="20" t="str">
        <f t="shared" ca="1" si="21"/>
        <v>프리타임 기간내 출고</v>
      </c>
      <c r="AM11" s="20" t="str">
        <f t="shared" ca="1" si="21"/>
        <v>프리타임 기간내 출고</v>
      </c>
      <c r="AN11" s="20" t="str">
        <f t="shared" ca="1" si="21"/>
        <v>프리타임 기간내 출고</v>
      </c>
      <c r="AO11" s="20" t="str">
        <f t="shared" ca="1" si="21"/>
        <v>프리타임 기간내 출고</v>
      </c>
      <c r="AP11" s="20" t="str">
        <f t="shared" ca="1" si="21"/>
        <v>프리타임 기간내 출고</v>
      </c>
      <c r="AQ11" s="20" t="str">
        <f t="shared" ca="1" si="21"/>
        <v>프리타임 기간내 출고</v>
      </c>
      <c r="AR11" s="20" t="str">
        <f t="shared" ca="1" si="21"/>
        <v>프리타임 기간내 출고</v>
      </c>
      <c r="AS11" s="20" t="str">
        <f t="shared" ca="1" si="21"/>
        <v>프리타임 기간내 출고</v>
      </c>
      <c r="AT11" s="20" t="str">
        <f t="shared" ca="1" si="21"/>
        <v>프리타임 기간내 출고</v>
      </c>
      <c r="AU11" s="20" t="str">
        <f t="shared" ca="1" si="21"/>
        <v>프리타임 기간내 출고</v>
      </c>
      <c r="AV11" s="20" t="str">
        <f t="shared" ca="1" si="21"/>
        <v>프리타임 기간내 출고</v>
      </c>
      <c r="AW11" s="20" t="str">
        <f t="shared" ca="1" si="21"/>
        <v>프리타임 기간내 출고</v>
      </c>
      <c r="AX11" s="20" t="str">
        <f t="shared" ca="1" si="21"/>
        <v>프리타임 기간내 출고</v>
      </c>
      <c r="AY11" s="20" t="str">
        <f t="shared" ca="1" si="21"/>
        <v>프리타임 기간내 출고</v>
      </c>
      <c r="AZ11" s="20" t="str">
        <f t="shared" ca="1" si="21"/>
        <v>프리타임 기간내 출고</v>
      </c>
      <c r="BA11" s="20" t="str">
        <f t="shared" ca="1" si="21"/>
        <v>프리타임 기간내 출고</v>
      </c>
      <c r="BB11" s="20" t="str">
        <f t="shared" ca="1" si="21"/>
        <v>프리타임 기간내 출고</v>
      </c>
      <c r="BC11" s="20" t="str">
        <f t="shared" ca="1" si="21"/>
        <v>프리타임 기간내 출고</v>
      </c>
      <c r="BD11" s="20" t="str">
        <f t="shared" ca="1" si="21"/>
        <v>프리타임 기간내 출고</v>
      </c>
      <c r="BE11" s="20" t="str">
        <f t="shared" ca="1" si="21"/>
        <v>프리타임 기간내 출고</v>
      </c>
      <c r="BF11" s="20" t="str">
        <f t="shared" ref="BF11:BQ11" ca="1" si="22">IF(BF5="","",IF(BF10&gt;BF4,"프리타임 기간내 출고",IF(DATE(YEAR(BF4),MONTH(BF4),1)&gt;DATE(YEAR(BF10),MONTH(BF10),1),DATEDIF(DATE(YEAR(NOW()),MONTH(NOW()),1),(BF4)+1,"D"),DATEDIF(BF10,BF4+1,"D"))))</f>
        <v>프리타임 기간내 출고</v>
      </c>
      <c r="BG11" s="20" t="str">
        <f t="shared" ca="1" si="22"/>
        <v>프리타임 기간내 출고</v>
      </c>
      <c r="BH11" s="20" t="str">
        <f t="shared" ca="1" si="22"/>
        <v>프리타임 기간내 출고</v>
      </c>
      <c r="BI11" s="20" t="str">
        <f t="shared" ca="1" si="22"/>
        <v>프리타임 기간내 출고</v>
      </c>
      <c r="BJ11" s="20" t="str">
        <f t="shared" ca="1" si="22"/>
        <v>프리타임 기간내 출고</v>
      </c>
      <c r="BK11" s="20" t="str">
        <f t="shared" ca="1" si="22"/>
        <v>프리타임 기간내 출고</v>
      </c>
      <c r="BL11" s="20" t="str">
        <f t="shared" ca="1" si="22"/>
        <v>프리타임 기간내 출고</v>
      </c>
      <c r="BM11" s="20" t="str">
        <f t="shared" ca="1" si="22"/>
        <v>프리타임 기간내 출고</v>
      </c>
      <c r="BN11" s="20" t="str">
        <f t="shared" ca="1" si="22"/>
        <v>프리타임 기간내 출고</v>
      </c>
      <c r="BO11" s="20" t="str">
        <f t="shared" ca="1" si="22"/>
        <v>프리타임 기간내 출고</v>
      </c>
      <c r="BP11" s="20" t="str">
        <f t="shared" ca="1" si="22"/>
        <v>프리타임 기간내 출고</v>
      </c>
      <c r="BQ11" s="20" t="str">
        <f t="shared" ca="1" si="22"/>
        <v>프리타임 기간내 출고</v>
      </c>
      <c r="BR11" s="20">
        <f t="shared" ref="BR11:EC11" ca="1" si="23">IF(BR5="","",IF(BR10&gt;BR4,"프리타임 기간내 출고",IF(DATE(YEAR(BR4),MONTH(BR4),1)&gt;DATE(YEAR(BR10),MONTH(BR10),1),DATEDIF(DATE(YEAR(NOW()),MONTH(NOW()),1),(BR4)+1,"D"),DATEDIF(BR10,BR4+1,"D"))))</f>
        <v>2</v>
      </c>
      <c r="BS11" s="20" t="str">
        <f t="shared" ca="1" si="23"/>
        <v>프리타임 기간내 출고</v>
      </c>
      <c r="BT11" s="20" t="str">
        <f t="shared" ca="1" si="23"/>
        <v>프리타임 기간내 출고</v>
      </c>
      <c r="BU11" s="20" t="str">
        <f t="shared" ca="1" si="23"/>
        <v>프리타임 기간내 출고</v>
      </c>
      <c r="BV11" s="20" t="str">
        <f t="shared" ca="1" si="23"/>
        <v>프리타임 기간내 출고</v>
      </c>
      <c r="BW11" s="20" t="str">
        <f t="shared" ca="1" si="23"/>
        <v>프리타임 기간내 출고</v>
      </c>
      <c r="BX11" s="20" t="str">
        <f t="shared" ca="1" si="23"/>
        <v>프리타임 기간내 출고</v>
      </c>
      <c r="BY11" s="20" t="str">
        <f t="shared" ca="1" si="23"/>
        <v>프리타임 기간내 출고</v>
      </c>
      <c r="BZ11" s="20" t="str">
        <f t="shared" ca="1" si="23"/>
        <v>프리타임 기간내 출고</v>
      </c>
      <c r="CA11" s="20" t="str">
        <f t="shared" ca="1" si="23"/>
        <v>프리타임 기간내 출고</v>
      </c>
      <c r="CB11" s="20" t="str">
        <f t="shared" ca="1" si="23"/>
        <v>프리타임 기간내 출고</v>
      </c>
      <c r="CC11" s="20" t="str">
        <f t="shared" ca="1" si="23"/>
        <v>프리타임 기간내 출고</v>
      </c>
      <c r="CD11" s="20" t="str">
        <f t="shared" ca="1" si="23"/>
        <v>프리타임 기간내 출고</v>
      </c>
      <c r="CE11" s="20" t="str">
        <f t="shared" ca="1" si="23"/>
        <v/>
      </c>
      <c r="CF11" s="20" t="str">
        <f t="shared" ca="1" si="23"/>
        <v/>
      </c>
      <c r="CG11" s="20" t="str">
        <f t="shared" ca="1" si="23"/>
        <v/>
      </c>
      <c r="CH11" s="20" t="str">
        <f t="shared" ca="1" si="23"/>
        <v/>
      </c>
      <c r="CI11" s="20" t="str">
        <f t="shared" ca="1" si="23"/>
        <v/>
      </c>
      <c r="CJ11" s="20" t="str">
        <f t="shared" ca="1" si="23"/>
        <v/>
      </c>
      <c r="CK11" s="20" t="str">
        <f t="shared" ca="1" si="23"/>
        <v/>
      </c>
      <c r="CL11" s="20" t="str">
        <f t="shared" ca="1" si="23"/>
        <v/>
      </c>
      <c r="CM11" s="20" t="str">
        <f t="shared" ca="1" si="23"/>
        <v/>
      </c>
      <c r="CN11" s="20" t="str">
        <f t="shared" ca="1" si="23"/>
        <v/>
      </c>
      <c r="CO11" s="20" t="str">
        <f t="shared" ca="1" si="23"/>
        <v/>
      </c>
      <c r="CP11" s="20" t="str">
        <f t="shared" ca="1" si="23"/>
        <v/>
      </c>
      <c r="CQ11" s="20" t="str">
        <f t="shared" ca="1" si="23"/>
        <v/>
      </c>
      <c r="CR11" s="20" t="str">
        <f t="shared" ca="1" si="23"/>
        <v/>
      </c>
      <c r="CS11" s="20" t="str">
        <f t="shared" ca="1" si="23"/>
        <v/>
      </c>
      <c r="CT11" s="20" t="str">
        <f t="shared" ca="1" si="23"/>
        <v/>
      </c>
      <c r="CU11" s="20" t="str">
        <f t="shared" ca="1" si="23"/>
        <v/>
      </c>
      <c r="CV11" s="20" t="str">
        <f t="shared" ca="1" si="23"/>
        <v/>
      </c>
      <c r="CW11" s="20" t="str">
        <f t="shared" ca="1" si="23"/>
        <v/>
      </c>
      <c r="CX11" s="20" t="str">
        <f t="shared" ca="1" si="23"/>
        <v/>
      </c>
      <c r="CY11" s="20" t="str">
        <f t="shared" ca="1" si="23"/>
        <v/>
      </c>
      <c r="CZ11" s="20" t="str">
        <f t="shared" ca="1" si="23"/>
        <v/>
      </c>
      <c r="DA11" s="20" t="str">
        <f t="shared" ca="1" si="23"/>
        <v/>
      </c>
      <c r="DB11" s="20" t="str">
        <f t="shared" ca="1" si="23"/>
        <v/>
      </c>
      <c r="DC11" s="20" t="str">
        <f t="shared" ca="1" si="23"/>
        <v/>
      </c>
      <c r="DD11" s="20" t="str">
        <f t="shared" ca="1" si="23"/>
        <v/>
      </c>
      <c r="DE11" s="20" t="str">
        <f t="shared" ca="1" si="23"/>
        <v/>
      </c>
      <c r="DF11" s="20" t="str">
        <f t="shared" ca="1" si="23"/>
        <v/>
      </c>
      <c r="DG11" s="20" t="str">
        <f t="shared" ca="1" si="23"/>
        <v/>
      </c>
      <c r="DH11" s="20" t="str">
        <f t="shared" ca="1" si="23"/>
        <v/>
      </c>
      <c r="DI11" s="20" t="str">
        <f t="shared" ca="1" si="23"/>
        <v/>
      </c>
      <c r="DJ11" s="20" t="str">
        <f t="shared" ca="1" si="23"/>
        <v/>
      </c>
      <c r="DK11" s="20" t="str">
        <f t="shared" ca="1" si="23"/>
        <v/>
      </c>
      <c r="DL11" s="20" t="str">
        <f t="shared" ca="1" si="23"/>
        <v/>
      </c>
      <c r="DM11" s="20" t="str">
        <f t="shared" ca="1" si="23"/>
        <v/>
      </c>
      <c r="DN11" s="20" t="str">
        <f t="shared" ca="1" si="23"/>
        <v/>
      </c>
      <c r="DO11" s="20" t="str">
        <f t="shared" ca="1" si="23"/>
        <v/>
      </c>
      <c r="DP11" s="20" t="str">
        <f t="shared" ca="1" si="23"/>
        <v/>
      </c>
      <c r="DQ11" s="20" t="str">
        <f t="shared" ca="1" si="23"/>
        <v/>
      </c>
      <c r="DR11" s="20" t="str">
        <f t="shared" ca="1" si="23"/>
        <v/>
      </c>
      <c r="DS11" s="20" t="str">
        <f t="shared" ca="1" si="23"/>
        <v/>
      </c>
      <c r="DT11" s="20" t="str">
        <f t="shared" ca="1" si="23"/>
        <v/>
      </c>
      <c r="DU11" s="20" t="str">
        <f t="shared" ca="1" si="23"/>
        <v/>
      </c>
      <c r="DV11" s="20" t="str">
        <f t="shared" ca="1" si="23"/>
        <v/>
      </c>
      <c r="DW11" s="20" t="str">
        <f t="shared" ca="1" si="23"/>
        <v/>
      </c>
      <c r="DX11" s="20" t="str">
        <f t="shared" ca="1" si="23"/>
        <v/>
      </c>
      <c r="DY11" s="20" t="str">
        <f t="shared" ca="1" si="23"/>
        <v/>
      </c>
      <c r="DZ11" s="20" t="str">
        <f t="shared" ca="1" si="23"/>
        <v/>
      </c>
      <c r="EA11" s="20" t="str">
        <f t="shared" ca="1" si="23"/>
        <v/>
      </c>
      <c r="EB11" s="20" t="str">
        <f t="shared" ca="1" si="23"/>
        <v/>
      </c>
      <c r="EC11" s="20" t="str">
        <f t="shared" ca="1" si="23"/>
        <v/>
      </c>
      <c r="ED11" s="20" t="str">
        <f t="shared" ref="ED11:GO11" ca="1" si="24">IF(ED5="","",IF(ED10&gt;ED4,"프리타임 기간내 출고",IF(DATE(YEAR(ED4),MONTH(ED4),1)&gt;DATE(YEAR(ED10),MONTH(ED10),1),DATEDIF(DATE(YEAR(NOW()),MONTH(NOW()),1),(ED4)+1,"D"),DATEDIF(ED10,ED4+1,"D"))))</f>
        <v/>
      </c>
      <c r="EE11" s="20" t="str">
        <f t="shared" ca="1" si="24"/>
        <v/>
      </c>
      <c r="EF11" s="20" t="str">
        <f t="shared" ca="1" si="24"/>
        <v/>
      </c>
      <c r="EG11" s="20" t="str">
        <f t="shared" ca="1" si="24"/>
        <v/>
      </c>
      <c r="EH11" s="20" t="str">
        <f t="shared" ca="1" si="24"/>
        <v/>
      </c>
      <c r="EI11" s="20" t="str">
        <f t="shared" ca="1" si="24"/>
        <v/>
      </c>
      <c r="EJ11" s="20" t="str">
        <f t="shared" ca="1" si="24"/>
        <v/>
      </c>
      <c r="EK11" s="20" t="str">
        <f t="shared" ca="1" si="24"/>
        <v/>
      </c>
      <c r="EL11" s="20" t="str">
        <f t="shared" ca="1" si="24"/>
        <v/>
      </c>
      <c r="EM11" s="20" t="str">
        <f t="shared" ca="1" si="24"/>
        <v/>
      </c>
      <c r="EN11" s="20" t="str">
        <f t="shared" ca="1" si="24"/>
        <v/>
      </c>
      <c r="EO11" s="20" t="str">
        <f t="shared" ca="1" si="24"/>
        <v/>
      </c>
      <c r="EP11" s="20" t="str">
        <f t="shared" ca="1" si="24"/>
        <v/>
      </c>
      <c r="EQ11" s="20" t="str">
        <f t="shared" ca="1" si="24"/>
        <v/>
      </c>
      <c r="ER11" s="20" t="str">
        <f t="shared" ca="1" si="24"/>
        <v/>
      </c>
      <c r="ES11" s="20" t="str">
        <f t="shared" ca="1" si="24"/>
        <v/>
      </c>
      <c r="ET11" s="20" t="str">
        <f t="shared" ca="1" si="24"/>
        <v/>
      </c>
      <c r="EU11" s="20" t="str">
        <f t="shared" ca="1" si="24"/>
        <v/>
      </c>
      <c r="EV11" s="20" t="str">
        <f t="shared" ca="1" si="24"/>
        <v/>
      </c>
      <c r="EW11" s="20" t="str">
        <f t="shared" ca="1" si="24"/>
        <v/>
      </c>
      <c r="EX11" s="20" t="str">
        <f t="shared" ca="1" si="24"/>
        <v/>
      </c>
      <c r="EY11" s="20" t="str">
        <f t="shared" ca="1" si="24"/>
        <v/>
      </c>
      <c r="EZ11" s="20" t="str">
        <f t="shared" ca="1" si="24"/>
        <v/>
      </c>
      <c r="FA11" s="20" t="str">
        <f t="shared" ca="1" si="24"/>
        <v/>
      </c>
      <c r="FB11" s="20" t="str">
        <f t="shared" ca="1" si="24"/>
        <v/>
      </c>
      <c r="FC11" s="20" t="str">
        <f t="shared" ca="1" si="24"/>
        <v/>
      </c>
      <c r="FD11" s="20" t="str">
        <f t="shared" ca="1" si="24"/>
        <v/>
      </c>
      <c r="FE11" s="20" t="str">
        <f t="shared" ca="1" si="24"/>
        <v/>
      </c>
      <c r="FF11" s="20" t="str">
        <f t="shared" ca="1" si="24"/>
        <v/>
      </c>
      <c r="FG11" s="20" t="str">
        <f t="shared" ca="1" si="24"/>
        <v/>
      </c>
      <c r="FH11" s="20" t="str">
        <f t="shared" ca="1" si="24"/>
        <v/>
      </c>
      <c r="FI11" s="20" t="str">
        <f t="shared" ca="1" si="24"/>
        <v/>
      </c>
      <c r="FJ11" s="20" t="str">
        <f t="shared" ca="1" si="24"/>
        <v/>
      </c>
      <c r="FK11" s="20" t="str">
        <f t="shared" ca="1" si="24"/>
        <v/>
      </c>
      <c r="FL11" s="20" t="str">
        <f t="shared" ca="1" si="24"/>
        <v/>
      </c>
      <c r="FM11" s="20" t="str">
        <f t="shared" ca="1" si="24"/>
        <v/>
      </c>
      <c r="FN11" s="20" t="str">
        <f t="shared" ca="1" si="24"/>
        <v/>
      </c>
      <c r="FO11" s="20" t="str">
        <f t="shared" ca="1" si="24"/>
        <v/>
      </c>
      <c r="FP11" s="20" t="str">
        <f t="shared" ca="1" si="24"/>
        <v/>
      </c>
      <c r="FQ11" s="20" t="str">
        <f t="shared" ca="1" si="24"/>
        <v/>
      </c>
      <c r="FR11" s="20" t="str">
        <f t="shared" ca="1" si="24"/>
        <v/>
      </c>
      <c r="FS11" s="20" t="str">
        <f t="shared" ca="1" si="24"/>
        <v/>
      </c>
      <c r="FT11" s="20" t="str">
        <f t="shared" ca="1" si="24"/>
        <v/>
      </c>
      <c r="FU11" s="20" t="str">
        <f t="shared" ca="1" si="24"/>
        <v/>
      </c>
      <c r="FV11" s="20" t="str">
        <f t="shared" ca="1" si="24"/>
        <v/>
      </c>
      <c r="FW11" s="20" t="str">
        <f t="shared" ca="1" si="24"/>
        <v/>
      </c>
      <c r="FX11" s="20" t="str">
        <f t="shared" ca="1" si="24"/>
        <v/>
      </c>
      <c r="FY11" s="20" t="str">
        <f t="shared" ca="1" si="24"/>
        <v/>
      </c>
      <c r="FZ11" s="20" t="str">
        <f t="shared" ca="1" si="24"/>
        <v/>
      </c>
      <c r="GA11" s="20" t="str">
        <f t="shared" ca="1" si="24"/>
        <v/>
      </c>
      <c r="GB11" s="20" t="str">
        <f t="shared" ca="1" si="24"/>
        <v/>
      </c>
      <c r="GC11" s="20" t="str">
        <f t="shared" ca="1" si="24"/>
        <v/>
      </c>
      <c r="GD11" s="20" t="str">
        <f t="shared" ca="1" si="24"/>
        <v/>
      </c>
      <c r="GE11" s="20" t="str">
        <f t="shared" ca="1" si="24"/>
        <v/>
      </c>
      <c r="GF11" s="20" t="str">
        <f t="shared" ca="1" si="24"/>
        <v/>
      </c>
      <c r="GG11" s="20" t="str">
        <f t="shared" ca="1" si="24"/>
        <v/>
      </c>
      <c r="GH11" s="20" t="str">
        <f t="shared" ca="1" si="24"/>
        <v/>
      </c>
      <c r="GI11" s="20" t="str">
        <f t="shared" ca="1" si="24"/>
        <v/>
      </c>
      <c r="GJ11" s="20" t="str">
        <f t="shared" ca="1" si="24"/>
        <v/>
      </c>
      <c r="GK11" s="20" t="str">
        <f t="shared" ca="1" si="24"/>
        <v/>
      </c>
      <c r="GL11" s="20" t="str">
        <f t="shared" ca="1" si="24"/>
        <v/>
      </c>
      <c r="GM11" s="20" t="str">
        <f t="shared" ca="1" si="24"/>
        <v/>
      </c>
      <c r="GN11" s="20" t="str">
        <f t="shared" ca="1" si="24"/>
        <v/>
      </c>
      <c r="GO11" s="20" t="str">
        <f t="shared" ca="1" si="24"/>
        <v/>
      </c>
      <c r="GP11" s="20" t="str">
        <f t="shared" ref="GP11:HO11" ca="1" si="25">IF(GP5="","",IF(GP10&gt;GP4,"프리타임 기간내 출고",IF(DATE(YEAR(GP4),MONTH(GP4),1)&gt;DATE(YEAR(GP10),MONTH(GP10),1),DATEDIF(DATE(YEAR(NOW()),MONTH(NOW()),1),(GP4)+1,"D"),DATEDIF(GP10,GP4+1,"D"))))</f>
        <v/>
      </c>
      <c r="GQ11" s="20" t="str">
        <f t="shared" ca="1" si="25"/>
        <v/>
      </c>
      <c r="GR11" s="20" t="str">
        <f t="shared" ca="1" si="25"/>
        <v/>
      </c>
      <c r="GS11" s="20" t="str">
        <f t="shared" ca="1" si="25"/>
        <v/>
      </c>
      <c r="GT11" s="20" t="str">
        <f t="shared" ca="1" si="25"/>
        <v/>
      </c>
      <c r="GU11" s="20" t="str">
        <f t="shared" ca="1" si="25"/>
        <v/>
      </c>
      <c r="GV11" s="20" t="str">
        <f t="shared" ca="1" si="25"/>
        <v/>
      </c>
      <c r="GW11" s="20" t="str">
        <f t="shared" ca="1" si="25"/>
        <v/>
      </c>
      <c r="GX11" s="20" t="str">
        <f t="shared" ca="1" si="25"/>
        <v/>
      </c>
      <c r="GY11" s="20" t="str">
        <f t="shared" ca="1" si="25"/>
        <v/>
      </c>
      <c r="GZ11" s="20" t="str">
        <f t="shared" ca="1" si="25"/>
        <v/>
      </c>
      <c r="HA11" s="20" t="str">
        <f t="shared" ca="1" si="25"/>
        <v/>
      </c>
      <c r="HB11" s="20" t="str">
        <f t="shared" ca="1" si="25"/>
        <v/>
      </c>
      <c r="HC11" s="20" t="str">
        <f t="shared" ca="1" si="25"/>
        <v/>
      </c>
      <c r="HD11" s="20" t="str">
        <f t="shared" ca="1" si="25"/>
        <v/>
      </c>
      <c r="HE11" s="20" t="str">
        <f t="shared" ca="1" si="25"/>
        <v/>
      </c>
      <c r="HF11" s="20" t="str">
        <f t="shared" ca="1" si="25"/>
        <v/>
      </c>
      <c r="HG11" s="20" t="str">
        <f t="shared" ca="1" si="25"/>
        <v/>
      </c>
      <c r="HH11" s="20" t="str">
        <f t="shared" ca="1" si="25"/>
        <v/>
      </c>
      <c r="HI11" s="20" t="str">
        <f t="shared" ca="1" si="25"/>
        <v/>
      </c>
      <c r="HJ11" s="20" t="str">
        <f t="shared" ca="1" si="25"/>
        <v/>
      </c>
      <c r="HK11" s="20" t="str">
        <f t="shared" ca="1" si="25"/>
        <v/>
      </c>
      <c r="HL11" s="20" t="str">
        <f t="shared" ca="1" si="25"/>
        <v/>
      </c>
      <c r="HM11" s="20" t="str">
        <f t="shared" ca="1" si="25"/>
        <v/>
      </c>
      <c r="HN11" s="20" t="str">
        <f t="shared" ca="1" si="25"/>
        <v/>
      </c>
      <c r="HO11" s="20" t="str">
        <f t="shared" ca="1" si="25"/>
        <v/>
      </c>
    </row>
    <row r="12" spans="2:223" ht="15" customHeight="1" thickBot="1">
      <c r="B12" s="189"/>
      <c r="C12" s="175"/>
      <c r="D12" s="175"/>
      <c r="E12" s="175"/>
      <c r="F12" s="175"/>
      <c r="G12" s="175"/>
      <c r="H12" s="181"/>
      <c r="I12" s="184"/>
      <c r="J12" s="181"/>
      <c r="K12" s="181"/>
      <c r="L12" s="184"/>
      <c r="M12" s="181"/>
      <c r="N12" s="181"/>
      <c r="O12" s="184"/>
      <c r="P12" s="181"/>
      <c r="Q12" s="184"/>
      <c r="R12" s="181"/>
      <c r="S12" s="181"/>
      <c r="T12" s="181"/>
      <c r="U12" s="175"/>
      <c r="V12" s="181"/>
      <c r="W12" s="175"/>
      <c r="X12" s="175"/>
      <c r="Y12" s="175"/>
      <c r="Z12" s="175"/>
      <c r="AA12" s="175"/>
      <c r="AB12" s="178"/>
      <c r="AC12" s="100" t="s">
        <v>8</v>
      </c>
      <c r="AD12" s="19" t="str">
        <f t="shared" ref="AD12:BQ12" ca="1" si="26">IFERROR(AD11*AD9*(INDEX($Y$13:$Y$376,MATCH(SUM(AD$13:AD$376),AD$13:AD$376,0),1)),"")</f>
        <v/>
      </c>
      <c r="AE12" s="19" t="str">
        <f t="shared" ca="1" si="26"/>
        <v/>
      </c>
      <c r="AF12" s="19" t="str">
        <f t="shared" ca="1" si="26"/>
        <v/>
      </c>
      <c r="AG12" s="19" t="str">
        <f t="shared" ca="1" si="26"/>
        <v/>
      </c>
      <c r="AH12" s="19" t="str">
        <f t="shared" ca="1" si="26"/>
        <v/>
      </c>
      <c r="AI12" s="19" t="str">
        <f t="shared" ca="1" si="26"/>
        <v/>
      </c>
      <c r="AJ12" s="19" t="str">
        <f t="shared" ca="1" si="26"/>
        <v/>
      </c>
      <c r="AK12" s="19" t="str">
        <f t="shared" ca="1" si="26"/>
        <v/>
      </c>
      <c r="AL12" s="19" t="str">
        <f t="shared" ca="1" si="26"/>
        <v/>
      </c>
      <c r="AM12" s="19" t="str">
        <f t="shared" ca="1" si="26"/>
        <v/>
      </c>
      <c r="AN12" s="19" t="str">
        <f t="shared" ca="1" si="26"/>
        <v/>
      </c>
      <c r="AO12" s="19" t="str">
        <f t="shared" ca="1" si="26"/>
        <v/>
      </c>
      <c r="AP12" s="19" t="str">
        <f t="shared" ca="1" si="26"/>
        <v/>
      </c>
      <c r="AQ12" s="19" t="str">
        <f t="shared" ca="1" si="26"/>
        <v/>
      </c>
      <c r="AR12" s="19" t="str">
        <f t="shared" ca="1" si="26"/>
        <v/>
      </c>
      <c r="AS12" s="19" t="str">
        <f t="shared" ca="1" si="26"/>
        <v/>
      </c>
      <c r="AT12" s="19" t="str">
        <f t="shared" ca="1" si="26"/>
        <v/>
      </c>
      <c r="AU12" s="19" t="str">
        <f t="shared" ca="1" si="26"/>
        <v/>
      </c>
      <c r="AV12" s="19" t="str">
        <f t="shared" ca="1" si="26"/>
        <v/>
      </c>
      <c r="AW12" s="19" t="str">
        <f t="shared" ca="1" si="26"/>
        <v/>
      </c>
      <c r="AX12" s="19" t="str">
        <f t="shared" ca="1" si="26"/>
        <v/>
      </c>
      <c r="AY12" s="19" t="str">
        <f t="shared" ca="1" si="26"/>
        <v/>
      </c>
      <c r="AZ12" s="19" t="str">
        <f t="shared" ca="1" si="26"/>
        <v/>
      </c>
      <c r="BA12" s="19" t="str">
        <f t="shared" ca="1" si="26"/>
        <v/>
      </c>
      <c r="BB12" s="19" t="str">
        <f t="shared" ca="1" si="26"/>
        <v/>
      </c>
      <c r="BC12" s="19" t="str">
        <f t="shared" ca="1" si="26"/>
        <v/>
      </c>
      <c r="BD12" s="19" t="str">
        <f t="shared" ca="1" si="26"/>
        <v/>
      </c>
      <c r="BE12" s="19" t="str">
        <f t="shared" ca="1" si="26"/>
        <v/>
      </c>
      <c r="BF12" s="19" t="str">
        <f t="shared" ca="1" si="26"/>
        <v/>
      </c>
      <c r="BG12" s="19" t="str">
        <f t="shared" ca="1" si="26"/>
        <v/>
      </c>
      <c r="BH12" s="19" t="str">
        <f t="shared" ca="1" si="26"/>
        <v/>
      </c>
      <c r="BI12" s="19" t="str">
        <f t="shared" ca="1" si="26"/>
        <v/>
      </c>
      <c r="BJ12" s="19" t="str">
        <f t="shared" ca="1" si="26"/>
        <v/>
      </c>
      <c r="BK12" s="19" t="str">
        <f t="shared" ca="1" si="26"/>
        <v/>
      </c>
      <c r="BL12" s="19" t="str">
        <f t="shared" ca="1" si="26"/>
        <v/>
      </c>
      <c r="BM12" s="19" t="str">
        <f t="shared" ca="1" si="26"/>
        <v/>
      </c>
      <c r="BN12" s="19" t="str">
        <f t="shared" ca="1" si="26"/>
        <v/>
      </c>
      <c r="BO12" s="19" t="str">
        <f t="shared" ca="1" si="26"/>
        <v/>
      </c>
      <c r="BP12" s="19" t="str">
        <f t="shared" ca="1" si="26"/>
        <v/>
      </c>
      <c r="BQ12" s="19" t="str">
        <f t="shared" ca="1" si="26"/>
        <v/>
      </c>
      <c r="BR12" s="19">
        <f t="shared" ref="BR12" ca="1" si="27">IFERROR(BR11*BR9*(INDEX($Y$13:$Y$376,MATCH(SUM(BR$13:BR$376),BR$13:BR$376,0),1)),"")</f>
        <v>1200</v>
      </c>
      <c r="BS12" s="19" t="str">
        <f t="shared" ref="BS12" ca="1" si="28">IFERROR(BS11*BS9*(INDEX($Y$13:$Y$376,MATCH(SUM(BS$13:BS$376),BS$13:BS$376,0),1)),"")</f>
        <v/>
      </c>
      <c r="BT12" s="19" t="str">
        <f t="shared" ref="BT12" ca="1" si="29">IFERROR(BT11*BT9*(INDEX($Y$13:$Y$376,MATCH(SUM(BT$13:BT$376),BT$13:BT$376,0),1)),"")</f>
        <v/>
      </c>
      <c r="BU12" s="19" t="str">
        <f t="shared" ref="BU12" ca="1" si="30">IFERROR(BU11*BU9*(INDEX($Y$13:$Y$376,MATCH(SUM(BU$13:BU$376),BU$13:BU$376,0),1)),"")</f>
        <v/>
      </c>
      <c r="BV12" s="19" t="str">
        <f t="shared" ref="BV12" ca="1" si="31">IFERROR(BV11*BV9*(INDEX($Y$13:$Y$376,MATCH(SUM(BV$13:BV$376),BV$13:BV$376,0),1)),"")</f>
        <v/>
      </c>
      <c r="BW12" s="19" t="str">
        <f t="shared" ref="BW12" ca="1" si="32">IFERROR(BW11*BW9*(INDEX($Y$13:$Y$376,MATCH(SUM(BW$13:BW$376),BW$13:BW$376,0),1)),"")</f>
        <v/>
      </c>
      <c r="BX12" s="19" t="str">
        <f t="shared" ref="BX12" ca="1" si="33">IFERROR(BX11*BX9*(INDEX($Y$13:$Y$376,MATCH(SUM(BX$13:BX$376),BX$13:BX$376,0),1)),"")</f>
        <v/>
      </c>
      <c r="BY12" s="19" t="str">
        <f t="shared" ref="BY12" ca="1" si="34">IFERROR(BY11*BY9*(INDEX($Y$13:$Y$376,MATCH(SUM(BY$13:BY$376),BY$13:BY$376,0),1)),"")</f>
        <v/>
      </c>
      <c r="BZ12" s="19" t="str">
        <f t="shared" ref="BZ12" ca="1" si="35">IFERROR(BZ11*BZ9*(INDEX($Y$13:$Y$376,MATCH(SUM(BZ$13:BZ$376),BZ$13:BZ$376,0),1)),"")</f>
        <v/>
      </c>
      <c r="CA12" s="19" t="str">
        <f t="shared" ref="CA12" ca="1" si="36">IFERROR(CA11*CA9*(INDEX($Y$13:$Y$376,MATCH(SUM(CA$13:CA$376),CA$13:CA$376,0),1)),"")</f>
        <v/>
      </c>
      <c r="CB12" s="19" t="str">
        <f t="shared" ref="CB12" ca="1" si="37">IFERROR(CB11*CB9*(INDEX($Y$13:$Y$376,MATCH(SUM(CB$13:CB$376),CB$13:CB$376,0),1)),"")</f>
        <v/>
      </c>
      <c r="CC12" s="19" t="str">
        <f t="shared" ref="CC12" ca="1" si="38">IFERROR(CC11*CC9*(INDEX($Y$13:$Y$376,MATCH(SUM(CC$13:CC$376),CC$13:CC$376,0),1)),"")</f>
        <v/>
      </c>
      <c r="CD12" s="19" t="str">
        <f t="shared" ref="CD12" ca="1" si="39">IFERROR(CD11*CD9*(INDEX($Y$13:$Y$376,MATCH(SUM(CD$13:CD$376),CD$13:CD$376,0),1)),"")</f>
        <v/>
      </c>
      <c r="CE12" s="19" t="str">
        <f t="shared" ref="CE12" ca="1" si="40">IFERROR(CE11*CE9*(INDEX($Y$13:$Y$376,MATCH(SUM(CE$13:CE$376),CE$13:CE$376,0),1)),"")</f>
        <v/>
      </c>
      <c r="CF12" s="19" t="str">
        <f t="shared" ref="CF12" ca="1" si="41">IFERROR(CF11*CF9*(INDEX($Y$13:$Y$376,MATCH(SUM(CF$13:CF$376),CF$13:CF$376,0),1)),"")</f>
        <v/>
      </c>
      <c r="CG12" s="19" t="str">
        <f t="shared" ref="CG12" ca="1" si="42">IFERROR(CG11*CG9*(INDEX($Y$13:$Y$376,MATCH(SUM(CG$13:CG$376),CG$13:CG$376,0),1)),"")</f>
        <v/>
      </c>
      <c r="CH12" s="19" t="str">
        <f t="shared" ref="CH12" ca="1" si="43">IFERROR(CH11*CH9*(INDEX($Y$13:$Y$376,MATCH(SUM(CH$13:CH$376),CH$13:CH$376,0),1)),"")</f>
        <v/>
      </c>
      <c r="CI12" s="19" t="str">
        <f t="shared" ref="CI12" ca="1" si="44">IFERROR(CI11*CI9*(INDEX($Y$13:$Y$376,MATCH(SUM(CI$13:CI$376),CI$13:CI$376,0),1)),"")</f>
        <v/>
      </c>
      <c r="CJ12" s="19" t="str">
        <f t="shared" ref="CJ12" ca="1" si="45">IFERROR(CJ11*CJ9*(INDEX($Y$13:$Y$376,MATCH(SUM(CJ$13:CJ$376),CJ$13:CJ$376,0),1)),"")</f>
        <v/>
      </c>
      <c r="CK12" s="19" t="str">
        <f t="shared" ref="CK12" ca="1" si="46">IFERROR(CK11*CK9*(INDEX($Y$13:$Y$376,MATCH(SUM(CK$13:CK$376),CK$13:CK$376,0),1)),"")</f>
        <v/>
      </c>
      <c r="CL12" s="19" t="str">
        <f t="shared" ref="CL12" ca="1" si="47">IFERROR(CL11*CL9*(INDEX($Y$13:$Y$376,MATCH(SUM(CL$13:CL$376),CL$13:CL$376,0),1)),"")</f>
        <v/>
      </c>
      <c r="CM12" s="19" t="str">
        <f t="shared" ref="CM12" ca="1" si="48">IFERROR(CM11*CM9*(INDEX($Y$13:$Y$376,MATCH(SUM(CM$13:CM$376),CM$13:CM$376,0),1)),"")</f>
        <v/>
      </c>
      <c r="CN12" s="19" t="str">
        <f t="shared" ref="CN12" ca="1" si="49">IFERROR(CN11*CN9*(INDEX($Y$13:$Y$376,MATCH(SUM(CN$13:CN$376),CN$13:CN$376,0),1)),"")</f>
        <v/>
      </c>
      <c r="CO12" s="19" t="str">
        <f t="shared" ref="CO12" ca="1" si="50">IFERROR(CO11*CO9*(INDEX($Y$13:$Y$376,MATCH(SUM(CO$13:CO$376),CO$13:CO$376,0),1)),"")</f>
        <v/>
      </c>
      <c r="CP12" s="19" t="str">
        <f t="shared" ref="CP12" ca="1" si="51">IFERROR(CP11*CP9*(INDEX($Y$13:$Y$376,MATCH(SUM(CP$13:CP$376),CP$13:CP$376,0),1)),"")</f>
        <v/>
      </c>
      <c r="CQ12" s="19" t="str">
        <f t="shared" ref="CQ12" ca="1" si="52">IFERROR(CQ11*CQ9*(INDEX($Y$13:$Y$376,MATCH(SUM(CQ$13:CQ$376),CQ$13:CQ$376,0),1)),"")</f>
        <v/>
      </c>
      <c r="CR12" s="19" t="str">
        <f t="shared" ref="CR12" ca="1" si="53">IFERROR(CR11*CR9*(INDEX($Y$13:$Y$376,MATCH(SUM(CR$13:CR$376),CR$13:CR$376,0),1)),"")</f>
        <v/>
      </c>
      <c r="CS12" s="19" t="str">
        <f t="shared" ref="CS12" ca="1" si="54">IFERROR(CS11*CS9*(INDEX($Y$13:$Y$376,MATCH(SUM(CS$13:CS$376),CS$13:CS$376,0),1)),"")</f>
        <v/>
      </c>
      <c r="CT12" s="19" t="str">
        <f t="shared" ref="CT12" ca="1" si="55">IFERROR(CT11*CT9*(INDEX($Y$13:$Y$376,MATCH(SUM(CT$13:CT$376),CT$13:CT$376,0),1)),"")</f>
        <v/>
      </c>
      <c r="CU12" s="19" t="str">
        <f t="shared" ref="CU12" ca="1" si="56">IFERROR(CU11*CU9*(INDEX($Y$13:$Y$376,MATCH(SUM(CU$13:CU$376),CU$13:CU$376,0),1)),"")</f>
        <v/>
      </c>
      <c r="CV12" s="19" t="str">
        <f t="shared" ref="CV12" ca="1" si="57">IFERROR(CV11*CV9*(INDEX($Y$13:$Y$376,MATCH(SUM(CV$13:CV$376),CV$13:CV$376,0),1)),"")</f>
        <v/>
      </c>
      <c r="CW12" s="19" t="str">
        <f t="shared" ref="CW12" ca="1" si="58">IFERROR(CW11*CW9*(INDEX($Y$13:$Y$376,MATCH(SUM(CW$13:CW$376),CW$13:CW$376,0),1)),"")</f>
        <v/>
      </c>
      <c r="CX12" s="19" t="str">
        <f t="shared" ref="CX12" ca="1" si="59">IFERROR(CX11*CX9*(INDEX($Y$13:$Y$376,MATCH(SUM(CX$13:CX$376),CX$13:CX$376,0),1)),"")</f>
        <v/>
      </c>
      <c r="CY12" s="19" t="str">
        <f t="shared" ref="CY12" ca="1" si="60">IFERROR(CY11*CY9*(INDEX($Y$13:$Y$376,MATCH(SUM(CY$13:CY$376),CY$13:CY$376,0),1)),"")</f>
        <v/>
      </c>
      <c r="CZ12" s="19" t="str">
        <f t="shared" ref="CZ12" ca="1" si="61">IFERROR(CZ11*CZ9*(INDEX($Y$13:$Y$376,MATCH(SUM(CZ$13:CZ$376),CZ$13:CZ$376,0),1)),"")</f>
        <v/>
      </c>
      <c r="DA12" s="19" t="str">
        <f t="shared" ref="DA12" ca="1" si="62">IFERROR(DA11*DA9*(INDEX($Y$13:$Y$376,MATCH(SUM(DA$13:DA$376),DA$13:DA$376,0),1)),"")</f>
        <v/>
      </c>
      <c r="DB12" s="19" t="str">
        <f t="shared" ref="DB12" ca="1" si="63">IFERROR(DB11*DB9*(INDEX($Y$13:$Y$376,MATCH(SUM(DB$13:DB$376),DB$13:DB$376,0),1)),"")</f>
        <v/>
      </c>
      <c r="DC12" s="19" t="str">
        <f t="shared" ref="DC12" ca="1" si="64">IFERROR(DC11*DC9*(INDEX($Y$13:$Y$376,MATCH(SUM(DC$13:DC$376),DC$13:DC$376,0),1)),"")</f>
        <v/>
      </c>
      <c r="DD12" s="19" t="str">
        <f t="shared" ref="DD12" ca="1" si="65">IFERROR(DD11*DD9*(INDEX($Y$13:$Y$376,MATCH(SUM(DD$13:DD$376),DD$13:DD$376,0),1)),"")</f>
        <v/>
      </c>
      <c r="DE12" s="19" t="str">
        <f t="shared" ref="DE12" ca="1" si="66">IFERROR(DE11*DE9*(INDEX($Y$13:$Y$376,MATCH(SUM(DE$13:DE$376),DE$13:DE$376,0),1)),"")</f>
        <v/>
      </c>
      <c r="DF12" s="19" t="str">
        <f t="shared" ref="DF12" ca="1" si="67">IFERROR(DF11*DF9*(INDEX($Y$13:$Y$376,MATCH(SUM(DF$13:DF$376),DF$13:DF$376,0),1)),"")</f>
        <v/>
      </c>
      <c r="DG12" s="19" t="str">
        <f t="shared" ref="DG12" ca="1" si="68">IFERROR(DG11*DG9*(INDEX($Y$13:$Y$376,MATCH(SUM(DG$13:DG$376),DG$13:DG$376,0),1)),"")</f>
        <v/>
      </c>
      <c r="DH12" s="19" t="str">
        <f t="shared" ref="DH12" ca="1" si="69">IFERROR(DH11*DH9*(INDEX($Y$13:$Y$376,MATCH(SUM(DH$13:DH$376),DH$13:DH$376,0),1)),"")</f>
        <v/>
      </c>
      <c r="DI12" s="19" t="str">
        <f t="shared" ref="DI12" ca="1" si="70">IFERROR(DI11*DI9*(INDEX($Y$13:$Y$376,MATCH(SUM(DI$13:DI$376),DI$13:DI$376,0),1)),"")</f>
        <v/>
      </c>
      <c r="DJ12" s="19" t="str">
        <f t="shared" ref="DJ12" ca="1" si="71">IFERROR(DJ11*DJ9*(INDEX($Y$13:$Y$376,MATCH(SUM(DJ$13:DJ$376),DJ$13:DJ$376,0),1)),"")</f>
        <v/>
      </c>
      <c r="DK12" s="19" t="str">
        <f t="shared" ref="DK12" ca="1" si="72">IFERROR(DK11*DK9*(INDEX($Y$13:$Y$376,MATCH(SUM(DK$13:DK$376),DK$13:DK$376,0),1)),"")</f>
        <v/>
      </c>
      <c r="DL12" s="19" t="str">
        <f t="shared" ref="DL12" ca="1" si="73">IFERROR(DL11*DL9*(INDEX($Y$13:$Y$376,MATCH(SUM(DL$13:DL$376),DL$13:DL$376,0),1)),"")</f>
        <v/>
      </c>
      <c r="DM12" s="19" t="str">
        <f t="shared" ref="DM12" ca="1" si="74">IFERROR(DM11*DM9*(INDEX($Y$13:$Y$376,MATCH(SUM(DM$13:DM$376),DM$13:DM$376,0),1)),"")</f>
        <v/>
      </c>
      <c r="DN12" s="19" t="str">
        <f t="shared" ref="DN12" ca="1" si="75">IFERROR(DN11*DN9*(INDEX($Y$13:$Y$376,MATCH(SUM(DN$13:DN$376),DN$13:DN$376,0),1)),"")</f>
        <v/>
      </c>
      <c r="DO12" s="19" t="str">
        <f t="shared" ref="DO12" ca="1" si="76">IFERROR(DO11*DO9*(INDEX($Y$13:$Y$376,MATCH(SUM(DO$13:DO$376),DO$13:DO$376,0),1)),"")</f>
        <v/>
      </c>
      <c r="DP12" s="19" t="str">
        <f t="shared" ref="DP12" ca="1" si="77">IFERROR(DP11*DP9*(INDEX($Y$13:$Y$376,MATCH(SUM(DP$13:DP$376),DP$13:DP$376,0),1)),"")</f>
        <v/>
      </c>
      <c r="DQ12" s="19" t="str">
        <f t="shared" ref="DQ12" ca="1" si="78">IFERROR(DQ11*DQ9*(INDEX($Y$13:$Y$376,MATCH(SUM(DQ$13:DQ$376),DQ$13:DQ$376,0),1)),"")</f>
        <v/>
      </c>
      <c r="DR12" s="19" t="str">
        <f t="shared" ref="DR12" ca="1" si="79">IFERROR(DR11*DR9*(INDEX($Y$13:$Y$376,MATCH(SUM(DR$13:DR$376),DR$13:DR$376,0),1)),"")</f>
        <v/>
      </c>
      <c r="DS12" s="19" t="str">
        <f t="shared" ref="DS12" ca="1" si="80">IFERROR(DS11*DS9*(INDEX($Y$13:$Y$376,MATCH(SUM(DS$13:DS$376),DS$13:DS$376,0),1)),"")</f>
        <v/>
      </c>
      <c r="DT12" s="19" t="str">
        <f t="shared" ref="DT12" ca="1" si="81">IFERROR(DT11*DT9*(INDEX($Y$13:$Y$376,MATCH(SUM(DT$13:DT$376),DT$13:DT$376,0),1)),"")</f>
        <v/>
      </c>
      <c r="DU12" s="19" t="str">
        <f t="shared" ref="DU12" ca="1" si="82">IFERROR(DU11*DU9*(INDEX($Y$13:$Y$376,MATCH(SUM(DU$13:DU$376),DU$13:DU$376,0),1)),"")</f>
        <v/>
      </c>
      <c r="DV12" s="19" t="str">
        <f t="shared" ref="DV12" ca="1" si="83">IFERROR(DV11*DV9*(INDEX($Y$13:$Y$376,MATCH(SUM(DV$13:DV$376),DV$13:DV$376,0),1)),"")</f>
        <v/>
      </c>
      <c r="DW12" s="19" t="str">
        <f t="shared" ref="DW12" ca="1" si="84">IFERROR(DW11*DW9*(INDEX($Y$13:$Y$376,MATCH(SUM(DW$13:DW$376),DW$13:DW$376,0),1)),"")</f>
        <v/>
      </c>
      <c r="DX12" s="19" t="str">
        <f t="shared" ref="DX12" ca="1" si="85">IFERROR(DX11*DX9*(INDEX($Y$13:$Y$376,MATCH(SUM(DX$13:DX$376),DX$13:DX$376,0),1)),"")</f>
        <v/>
      </c>
      <c r="DY12" s="19" t="str">
        <f t="shared" ref="DY12" ca="1" si="86">IFERROR(DY11*DY9*(INDEX($Y$13:$Y$376,MATCH(SUM(DY$13:DY$376),DY$13:DY$376,0),1)),"")</f>
        <v/>
      </c>
      <c r="DZ12" s="19" t="str">
        <f t="shared" ref="DZ12" ca="1" si="87">IFERROR(DZ11*DZ9*(INDEX($Y$13:$Y$376,MATCH(SUM(DZ$13:DZ$376),DZ$13:DZ$376,0),1)),"")</f>
        <v/>
      </c>
      <c r="EA12" s="19" t="str">
        <f t="shared" ref="EA12" ca="1" si="88">IFERROR(EA11*EA9*(INDEX($Y$13:$Y$376,MATCH(SUM(EA$13:EA$376),EA$13:EA$376,0),1)),"")</f>
        <v/>
      </c>
      <c r="EB12" s="19" t="str">
        <f t="shared" ref="EB12" ca="1" si="89">IFERROR(EB11*EB9*(INDEX($Y$13:$Y$376,MATCH(SUM(EB$13:EB$376),EB$13:EB$376,0),1)),"")</f>
        <v/>
      </c>
      <c r="EC12" s="19" t="str">
        <f t="shared" ref="EC12" ca="1" si="90">IFERROR(EC11*EC9*(INDEX($Y$13:$Y$376,MATCH(SUM(EC$13:EC$376),EC$13:EC$376,0),1)),"")</f>
        <v/>
      </c>
      <c r="ED12" s="19" t="str">
        <f t="shared" ref="ED12" ca="1" si="91">IFERROR(ED11*ED9*(INDEX($Y$13:$Y$376,MATCH(SUM(ED$13:ED$376),ED$13:ED$376,0),1)),"")</f>
        <v/>
      </c>
      <c r="EE12" s="19" t="str">
        <f t="shared" ref="EE12" ca="1" si="92">IFERROR(EE11*EE9*(INDEX($Y$13:$Y$376,MATCH(SUM(EE$13:EE$376),EE$13:EE$376,0),1)),"")</f>
        <v/>
      </c>
      <c r="EF12" s="19" t="str">
        <f t="shared" ref="EF12" ca="1" si="93">IFERROR(EF11*EF9*(INDEX($Y$13:$Y$376,MATCH(SUM(EF$13:EF$376),EF$13:EF$376,0),1)),"")</f>
        <v/>
      </c>
      <c r="EG12" s="19" t="str">
        <f t="shared" ref="EG12" ca="1" si="94">IFERROR(EG11*EG9*(INDEX($Y$13:$Y$376,MATCH(SUM(EG$13:EG$376),EG$13:EG$376,0),1)),"")</f>
        <v/>
      </c>
      <c r="EH12" s="19" t="str">
        <f t="shared" ref="EH12" ca="1" si="95">IFERROR(EH11*EH9*(INDEX($Y$13:$Y$376,MATCH(SUM(EH$13:EH$376),EH$13:EH$376,0),1)),"")</f>
        <v/>
      </c>
      <c r="EI12" s="19" t="str">
        <f t="shared" ref="EI12" ca="1" si="96">IFERROR(EI11*EI9*(INDEX($Y$13:$Y$376,MATCH(SUM(EI$13:EI$376),EI$13:EI$376,0),1)),"")</f>
        <v/>
      </c>
      <c r="EJ12" s="19" t="str">
        <f t="shared" ref="EJ12" ca="1" si="97">IFERROR(EJ11*EJ9*(INDEX($Y$13:$Y$376,MATCH(SUM(EJ$13:EJ$376),EJ$13:EJ$376,0),1)),"")</f>
        <v/>
      </c>
      <c r="EK12" s="19" t="str">
        <f t="shared" ref="EK12" ca="1" si="98">IFERROR(EK11*EK9*(INDEX($Y$13:$Y$376,MATCH(SUM(EK$13:EK$376),EK$13:EK$376,0),1)),"")</f>
        <v/>
      </c>
      <c r="EL12" s="19" t="str">
        <f t="shared" ref="EL12" ca="1" si="99">IFERROR(EL11*EL9*(INDEX($Y$13:$Y$376,MATCH(SUM(EL$13:EL$376),EL$13:EL$376,0),1)),"")</f>
        <v/>
      </c>
      <c r="EM12" s="19" t="str">
        <f t="shared" ref="EM12" ca="1" si="100">IFERROR(EM11*EM9*(INDEX($Y$13:$Y$376,MATCH(SUM(EM$13:EM$376),EM$13:EM$376,0),1)),"")</f>
        <v/>
      </c>
      <c r="EN12" s="19" t="str">
        <f t="shared" ref="EN12" ca="1" si="101">IFERROR(EN11*EN9*(INDEX($Y$13:$Y$376,MATCH(SUM(EN$13:EN$376),EN$13:EN$376,0),1)),"")</f>
        <v/>
      </c>
      <c r="EO12" s="19" t="str">
        <f t="shared" ref="EO12" ca="1" si="102">IFERROR(EO11*EO9*(INDEX($Y$13:$Y$376,MATCH(SUM(EO$13:EO$376),EO$13:EO$376,0),1)),"")</f>
        <v/>
      </c>
      <c r="EP12" s="19" t="str">
        <f t="shared" ref="EP12" ca="1" si="103">IFERROR(EP11*EP9*(INDEX($Y$13:$Y$376,MATCH(SUM(EP$13:EP$376),EP$13:EP$376,0),1)),"")</f>
        <v/>
      </c>
      <c r="EQ12" s="19" t="str">
        <f t="shared" ref="EQ12" ca="1" si="104">IFERROR(EQ11*EQ9*(INDEX($Y$13:$Y$376,MATCH(SUM(EQ$13:EQ$376),EQ$13:EQ$376,0),1)),"")</f>
        <v/>
      </c>
      <c r="ER12" s="19" t="str">
        <f t="shared" ref="ER12" ca="1" si="105">IFERROR(ER11*ER9*(INDEX($Y$13:$Y$376,MATCH(SUM(ER$13:ER$376),ER$13:ER$376,0),1)),"")</f>
        <v/>
      </c>
      <c r="ES12" s="19" t="str">
        <f t="shared" ref="ES12" ca="1" si="106">IFERROR(ES11*ES9*(INDEX($Y$13:$Y$376,MATCH(SUM(ES$13:ES$376),ES$13:ES$376,0),1)),"")</f>
        <v/>
      </c>
      <c r="ET12" s="19" t="str">
        <f t="shared" ref="ET12" ca="1" si="107">IFERROR(ET11*ET9*(INDEX($Y$13:$Y$376,MATCH(SUM(ET$13:ET$376),ET$13:ET$376,0),1)),"")</f>
        <v/>
      </c>
      <c r="EU12" s="19" t="str">
        <f t="shared" ref="EU12" ca="1" si="108">IFERROR(EU11*EU9*(INDEX($Y$13:$Y$376,MATCH(SUM(EU$13:EU$376),EU$13:EU$376,0),1)),"")</f>
        <v/>
      </c>
      <c r="EV12" s="19" t="str">
        <f t="shared" ref="EV12" ca="1" si="109">IFERROR(EV11*EV9*(INDEX($Y$13:$Y$376,MATCH(SUM(EV$13:EV$376),EV$13:EV$376,0),1)),"")</f>
        <v/>
      </c>
      <c r="EW12" s="19" t="str">
        <f t="shared" ref="EW12" ca="1" si="110">IFERROR(EW11*EW9*(INDEX($Y$13:$Y$376,MATCH(SUM(EW$13:EW$376),EW$13:EW$376,0),1)),"")</f>
        <v/>
      </c>
      <c r="EX12" s="19" t="str">
        <f t="shared" ref="EX12" ca="1" si="111">IFERROR(EX11*EX9*(INDEX($Y$13:$Y$376,MATCH(SUM(EX$13:EX$376),EX$13:EX$376,0),1)),"")</f>
        <v/>
      </c>
      <c r="EY12" s="19" t="str">
        <f t="shared" ref="EY12" ca="1" si="112">IFERROR(EY11*EY9*(INDEX($Y$13:$Y$376,MATCH(SUM(EY$13:EY$376),EY$13:EY$376,0),1)),"")</f>
        <v/>
      </c>
      <c r="EZ12" s="19" t="str">
        <f t="shared" ref="EZ12" ca="1" si="113">IFERROR(EZ11*EZ9*(INDEX($Y$13:$Y$376,MATCH(SUM(EZ$13:EZ$376),EZ$13:EZ$376,0),1)),"")</f>
        <v/>
      </c>
      <c r="FA12" s="19" t="str">
        <f t="shared" ref="FA12" ca="1" si="114">IFERROR(FA11*FA9*(INDEX($Y$13:$Y$376,MATCH(SUM(FA$13:FA$376),FA$13:FA$376,0),1)),"")</f>
        <v/>
      </c>
      <c r="FB12" s="19" t="str">
        <f t="shared" ref="FB12" ca="1" si="115">IFERROR(FB11*FB9*(INDEX($Y$13:$Y$376,MATCH(SUM(FB$13:FB$376),FB$13:FB$376,0),1)),"")</f>
        <v/>
      </c>
      <c r="FC12" s="19" t="str">
        <f t="shared" ref="FC12" ca="1" si="116">IFERROR(FC11*FC9*(INDEX($Y$13:$Y$376,MATCH(SUM(FC$13:FC$376),FC$13:FC$376,0),1)),"")</f>
        <v/>
      </c>
      <c r="FD12" s="19" t="str">
        <f t="shared" ref="FD12" ca="1" si="117">IFERROR(FD11*FD9*(INDEX($Y$13:$Y$376,MATCH(SUM(FD$13:FD$376),FD$13:FD$376,0),1)),"")</f>
        <v/>
      </c>
      <c r="FE12" s="19" t="str">
        <f t="shared" ref="FE12" ca="1" si="118">IFERROR(FE11*FE9*(INDEX($Y$13:$Y$376,MATCH(SUM(FE$13:FE$376),FE$13:FE$376,0),1)),"")</f>
        <v/>
      </c>
      <c r="FF12" s="19" t="str">
        <f t="shared" ref="FF12" ca="1" si="119">IFERROR(FF11*FF9*(INDEX($Y$13:$Y$376,MATCH(SUM(FF$13:FF$376),FF$13:FF$376,0),1)),"")</f>
        <v/>
      </c>
      <c r="FG12" s="19" t="str">
        <f t="shared" ref="FG12" ca="1" si="120">IFERROR(FG11*FG9*(INDEX($Y$13:$Y$376,MATCH(SUM(FG$13:FG$376),FG$13:FG$376,0),1)),"")</f>
        <v/>
      </c>
      <c r="FH12" s="19" t="str">
        <f t="shared" ref="FH12" ca="1" si="121">IFERROR(FH11*FH9*(INDEX($Y$13:$Y$376,MATCH(SUM(FH$13:FH$376),FH$13:FH$376,0),1)),"")</f>
        <v/>
      </c>
      <c r="FI12" s="19" t="str">
        <f t="shared" ref="FI12" ca="1" si="122">IFERROR(FI11*FI9*(INDEX($Y$13:$Y$376,MATCH(SUM(FI$13:FI$376),FI$13:FI$376,0),1)),"")</f>
        <v/>
      </c>
      <c r="FJ12" s="19" t="str">
        <f t="shared" ref="FJ12" ca="1" si="123">IFERROR(FJ11*FJ9*(INDEX($Y$13:$Y$376,MATCH(SUM(FJ$13:FJ$376),FJ$13:FJ$376,0),1)),"")</f>
        <v/>
      </c>
      <c r="FK12" s="19" t="str">
        <f t="shared" ref="FK12" ca="1" si="124">IFERROR(FK11*FK9*(INDEX($Y$13:$Y$376,MATCH(SUM(FK$13:FK$376),FK$13:FK$376,0),1)),"")</f>
        <v/>
      </c>
      <c r="FL12" s="19" t="str">
        <f t="shared" ref="FL12" ca="1" si="125">IFERROR(FL11*FL9*(INDEX($Y$13:$Y$376,MATCH(SUM(FL$13:FL$376),FL$13:FL$376,0),1)),"")</f>
        <v/>
      </c>
      <c r="FM12" s="19" t="str">
        <f t="shared" ref="FM12" ca="1" si="126">IFERROR(FM11*FM9*(INDEX($Y$13:$Y$376,MATCH(SUM(FM$13:FM$376),FM$13:FM$376,0),1)),"")</f>
        <v/>
      </c>
      <c r="FN12" s="19" t="str">
        <f t="shared" ref="FN12" ca="1" si="127">IFERROR(FN11*FN9*(INDEX($Y$13:$Y$376,MATCH(SUM(FN$13:FN$376),FN$13:FN$376,0),1)),"")</f>
        <v/>
      </c>
      <c r="FO12" s="19" t="str">
        <f t="shared" ref="FO12" ca="1" si="128">IFERROR(FO11*FO9*(INDEX($Y$13:$Y$376,MATCH(SUM(FO$13:FO$376),FO$13:FO$376,0),1)),"")</f>
        <v/>
      </c>
      <c r="FP12" s="19" t="str">
        <f t="shared" ref="FP12" ca="1" si="129">IFERROR(FP11*FP9*(INDEX($Y$13:$Y$376,MATCH(SUM(FP$13:FP$376),FP$13:FP$376,0),1)),"")</f>
        <v/>
      </c>
      <c r="FQ12" s="19" t="str">
        <f t="shared" ref="FQ12" ca="1" si="130">IFERROR(FQ11*FQ9*(INDEX($Y$13:$Y$376,MATCH(SUM(FQ$13:FQ$376),FQ$13:FQ$376,0),1)),"")</f>
        <v/>
      </c>
      <c r="FR12" s="19" t="str">
        <f t="shared" ref="FR12" ca="1" si="131">IFERROR(FR11*FR9*(INDEX($Y$13:$Y$376,MATCH(SUM(FR$13:FR$376),FR$13:FR$376,0),1)),"")</f>
        <v/>
      </c>
      <c r="FS12" s="19" t="str">
        <f t="shared" ref="FS12" ca="1" si="132">IFERROR(FS11*FS9*(INDEX($Y$13:$Y$376,MATCH(SUM(FS$13:FS$376),FS$13:FS$376,0),1)),"")</f>
        <v/>
      </c>
      <c r="FT12" s="19" t="str">
        <f t="shared" ref="FT12" ca="1" si="133">IFERROR(FT11*FT9*(INDEX($Y$13:$Y$376,MATCH(SUM(FT$13:FT$376),FT$13:FT$376,0),1)),"")</f>
        <v/>
      </c>
      <c r="FU12" s="19" t="str">
        <f t="shared" ref="FU12" ca="1" si="134">IFERROR(FU11*FU9*(INDEX($Y$13:$Y$376,MATCH(SUM(FU$13:FU$376),FU$13:FU$376,0),1)),"")</f>
        <v/>
      </c>
      <c r="FV12" s="19" t="str">
        <f t="shared" ref="FV12" ca="1" si="135">IFERROR(FV11*FV9*(INDEX($Y$13:$Y$376,MATCH(SUM(FV$13:FV$376),FV$13:FV$376,0),1)),"")</f>
        <v/>
      </c>
      <c r="FW12" s="19" t="str">
        <f t="shared" ref="FW12" ca="1" si="136">IFERROR(FW11*FW9*(INDEX($Y$13:$Y$376,MATCH(SUM(FW$13:FW$376),FW$13:FW$376,0),1)),"")</f>
        <v/>
      </c>
      <c r="FX12" s="19" t="str">
        <f t="shared" ref="FX12" ca="1" si="137">IFERROR(FX11*FX9*(INDEX($Y$13:$Y$376,MATCH(SUM(FX$13:FX$376),FX$13:FX$376,0),1)),"")</f>
        <v/>
      </c>
      <c r="FY12" s="19" t="str">
        <f t="shared" ref="FY12" ca="1" si="138">IFERROR(FY11*FY9*(INDEX($Y$13:$Y$376,MATCH(SUM(FY$13:FY$376),FY$13:FY$376,0),1)),"")</f>
        <v/>
      </c>
      <c r="FZ12" s="19" t="str">
        <f t="shared" ref="FZ12" ca="1" si="139">IFERROR(FZ11*FZ9*(INDEX($Y$13:$Y$376,MATCH(SUM(FZ$13:FZ$376),FZ$13:FZ$376,0),1)),"")</f>
        <v/>
      </c>
      <c r="GA12" s="19" t="str">
        <f t="shared" ref="GA12" ca="1" si="140">IFERROR(GA11*GA9*(INDEX($Y$13:$Y$376,MATCH(SUM(GA$13:GA$376),GA$13:GA$376,0),1)),"")</f>
        <v/>
      </c>
      <c r="GB12" s="19" t="str">
        <f t="shared" ref="GB12" ca="1" si="141">IFERROR(GB11*GB9*(INDEX($Y$13:$Y$376,MATCH(SUM(GB$13:GB$376),GB$13:GB$376,0),1)),"")</f>
        <v/>
      </c>
      <c r="GC12" s="19" t="str">
        <f t="shared" ref="GC12" ca="1" si="142">IFERROR(GC11*GC9*(INDEX($Y$13:$Y$376,MATCH(SUM(GC$13:GC$376),GC$13:GC$376,0),1)),"")</f>
        <v/>
      </c>
      <c r="GD12" s="19" t="str">
        <f t="shared" ref="GD12" ca="1" si="143">IFERROR(GD11*GD9*(INDEX($Y$13:$Y$376,MATCH(SUM(GD$13:GD$376),GD$13:GD$376,0),1)),"")</f>
        <v/>
      </c>
      <c r="GE12" s="19" t="str">
        <f t="shared" ref="GE12" ca="1" si="144">IFERROR(GE11*GE9*(INDEX($Y$13:$Y$376,MATCH(SUM(GE$13:GE$376),GE$13:GE$376,0),1)),"")</f>
        <v/>
      </c>
      <c r="GF12" s="19" t="str">
        <f t="shared" ref="GF12" ca="1" si="145">IFERROR(GF11*GF9*(INDEX($Y$13:$Y$376,MATCH(SUM(GF$13:GF$376),GF$13:GF$376,0),1)),"")</f>
        <v/>
      </c>
      <c r="GG12" s="19" t="str">
        <f t="shared" ref="GG12" ca="1" si="146">IFERROR(GG11*GG9*(INDEX($Y$13:$Y$376,MATCH(SUM(GG$13:GG$376),GG$13:GG$376,0),1)),"")</f>
        <v/>
      </c>
      <c r="GH12" s="19" t="str">
        <f t="shared" ref="GH12" ca="1" si="147">IFERROR(GH11*GH9*(INDEX($Y$13:$Y$376,MATCH(SUM(GH$13:GH$376),GH$13:GH$376,0),1)),"")</f>
        <v/>
      </c>
      <c r="GI12" s="19" t="str">
        <f t="shared" ref="GI12" ca="1" si="148">IFERROR(GI11*GI9*(INDEX($Y$13:$Y$376,MATCH(SUM(GI$13:GI$376),GI$13:GI$376,0),1)),"")</f>
        <v/>
      </c>
      <c r="GJ12" s="19" t="str">
        <f t="shared" ref="GJ12" ca="1" si="149">IFERROR(GJ11*GJ9*(INDEX($Y$13:$Y$376,MATCH(SUM(GJ$13:GJ$376),GJ$13:GJ$376,0),1)),"")</f>
        <v/>
      </c>
      <c r="GK12" s="19" t="str">
        <f t="shared" ref="GK12" ca="1" si="150">IFERROR(GK11*GK9*(INDEX($Y$13:$Y$376,MATCH(SUM(GK$13:GK$376),GK$13:GK$376,0),1)),"")</f>
        <v/>
      </c>
      <c r="GL12" s="19" t="str">
        <f t="shared" ref="GL12" ca="1" si="151">IFERROR(GL11*GL9*(INDEX($Y$13:$Y$376,MATCH(SUM(GL$13:GL$376),GL$13:GL$376,0),1)),"")</f>
        <v/>
      </c>
      <c r="GM12" s="19" t="str">
        <f t="shared" ref="GM12" ca="1" si="152">IFERROR(GM11*GM9*(INDEX($Y$13:$Y$376,MATCH(SUM(GM$13:GM$376),GM$13:GM$376,0),1)),"")</f>
        <v/>
      </c>
      <c r="GN12" s="19" t="str">
        <f t="shared" ref="GN12" ca="1" si="153">IFERROR(GN11*GN9*(INDEX($Y$13:$Y$376,MATCH(SUM(GN$13:GN$376),GN$13:GN$376,0),1)),"")</f>
        <v/>
      </c>
      <c r="GO12" s="19" t="str">
        <f t="shared" ref="GO12" ca="1" si="154">IFERROR(GO11*GO9*(INDEX($Y$13:$Y$376,MATCH(SUM(GO$13:GO$376),GO$13:GO$376,0),1)),"")</f>
        <v/>
      </c>
      <c r="GP12" s="19" t="str">
        <f t="shared" ref="GP12" ca="1" si="155">IFERROR(GP11*GP9*(INDEX($Y$13:$Y$376,MATCH(SUM(GP$13:GP$376),GP$13:GP$376,0),1)),"")</f>
        <v/>
      </c>
      <c r="GQ12" s="19" t="str">
        <f t="shared" ref="GQ12" ca="1" si="156">IFERROR(GQ11*GQ9*(INDEX($Y$13:$Y$376,MATCH(SUM(GQ$13:GQ$376),GQ$13:GQ$376,0),1)),"")</f>
        <v/>
      </c>
      <c r="GR12" s="19" t="str">
        <f t="shared" ref="GR12" ca="1" si="157">IFERROR(GR11*GR9*(INDEX($Y$13:$Y$376,MATCH(SUM(GR$13:GR$376),GR$13:GR$376,0),1)),"")</f>
        <v/>
      </c>
      <c r="GS12" s="19" t="str">
        <f t="shared" ref="GS12" ca="1" si="158">IFERROR(GS11*GS9*(INDEX($Y$13:$Y$376,MATCH(SUM(GS$13:GS$376),GS$13:GS$376,0),1)),"")</f>
        <v/>
      </c>
      <c r="GT12" s="19" t="str">
        <f t="shared" ref="GT12" ca="1" si="159">IFERROR(GT11*GT9*(INDEX($Y$13:$Y$376,MATCH(SUM(GT$13:GT$376),GT$13:GT$376,0),1)),"")</f>
        <v/>
      </c>
      <c r="GU12" s="19" t="str">
        <f t="shared" ref="GU12" ca="1" si="160">IFERROR(GU11*GU9*(INDEX($Y$13:$Y$376,MATCH(SUM(GU$13:GU$376),GU$13:GU$376,0),1)),"")</f>
        <v/>
      </c>
      <c r="GV12" s="19" t="str">
        <f t="shared" ref="GV12" ca="1" si="161">IFERROR(GV11*GV9*(INDEX($Y$13:$Y$376,MATCH(SUM(GV$13:GV$376),GV$13:GV$376,0),1)),"")</f>
        <v/>
      </c>
      <c r="GW12" s="19" t="str">
        <f t="shared" ref="GW12" ca="1" si="162">IFERROR(GW11*GW9*(INDEX($Y$13:$Y$376,MATCH(SUM(GW$13:GW$376),GW$13:GW$376,0),1)),"")</f>
        <v/>
      </c>
      <c r="GX12" s="19" t="str">
        <f t="shared" ref="GX12" ca="1" si="163">IFERROR(GX11*GX9*(INDEX($Y$13:$Y$376,MATCH(SUM(GX$13:GX$376),GX$13:GX$376,0),1)),"")</f>
        <v/>
      </c>
      <c r="GY12" s="19" t="str">
        <f t="shared" ref="GY12" ca="1" si="164">IFERROR(GY11*GY9*(INDEX($Y$13:$Y$376,MATCH(SUM(GY$13:GY$376),GY$13:GY$376,0),1)),"")</f>
        <v/>
      </c>
      <c r="GZ12" s="19" t="str">
        <f t="shared" ref="GZ12" ca="1" si="165">IFERROR(GZ11*GZ9*(INDEX($Y$13:$Y$376,MATCH(SUM(GZ$13:GZ$376),GZ$13:GZ$376,0),1)),"")</f>
        <v/>
      </c>
      <c r="HA12" s="19" t="str">
        <f t="shared" ref="HA12" ca="1" si="166">IFERROR(HA11*HA9*(INDEX($Y$13:$Y$376,MATCH(SUM(HA$13:HA$376),HA$13:HA$376,0),1)),"")</f>
        <v/>
      </c>
      <c r="HB12" s="19" t="str">
        <f t="shared" ref="HB12" ca="1" si="167">IFERROR(HB11*HB9*(INDEX($Y$13:$Y$376,MATCH(SUM(HB$13:HB$376),HB$13:HB$376,0),1)),"")</f>
        <v/>
      </c>
      <c r="HC12" s="19" t="str">
        <f t="shared" ref="HC12" ca="1" si="168">IFERROR(HC11*HC9*(INDEX($Y$13:$Y$376,MATCH(SUM(HC$13:HC$376),HC$13:HC$376,0),1)),"")</f>
        <v/>
      </c>
      <c r="HD12" s="19" t="str">
        <f t="shared" ref="HD12" ca="1" si="169">IFERROR(HD11*HD9*(INDEX($Y$13:$Y$376,MATCH(SUM(HD$13:HD$376),HD$13:HD$376,0),1)),"")</f>
        <v/>
      </c>
      <c r="HE12" s="19" t="str">
        <f t="shared" ref="HE12" ca="1" si="170">IFERROR(HE11*HE9*(INDEX($Y$13:$Y$376,MATCH(SUM(HE$13:HE$376),HE$13:HE$376,0),1)),"")</f>
        <v/>
      </c>
      <c r="HF12" s="19" t="str">
        <f t="shared" ref="HF12" ca="1" si="171">IFERROR(HF11*HF9*(INDEX($Y$13:$Y$376,MATCH(SUM(HF$13:HF$376),HF$13:HF$376,0),1)),"")</f>
        <v/>
      </c>
      <c r="HG12" s="19" t="str">
        <f t="shared" ref="HG12" ca="1" si="172">IFERROR(HG11*HG9*(INDEX($Y$13:$Y$376,MATCH(SUM(HG$13:HG$376),HG$13:HG$376,0),1)),"")</f>
        <v/>
      </c>
      <c r="HH12" s="19" t="str">
        <f t="shared" ref="HH12" ca="1" si="173">IFERROR(HH11*HH9*(INDEX($Y$13:$Y$376,MATCH(SUM(HH$13:HH$376),HH$13:HH$376,0),1)),"")</f>
        <v/>
      </c>
      <c r="HI12" s="19" t="str">
        <f t="shared" ref="HI12" ca="1" si="174">IFERROR(HI11*HI9*(INDEX($Y$13:$Y$376,MATCH(SUM(HI$13:HI$376),HI$13:HI$376,0),1)),"")</f>
        <v/>
      </c>
      <c r="HJ12" s="19" t="str">
        <f t="shared" ref="HJ12" ca="1" si="175">IFERROR(HJ11*HJ9*(INDEX($Y$13:$Y$376,MATCH(SUM(HJ$13:HJ$376),HJ$13:HJ$376,0),1)),"")</f>
        <v/>
      </c>
      <c r="HK12" s="19" t="str">
        <f t="shared" ref="HK12" ca="1" si="176">IFERROR(HK11*HK9*(INDEX($Y$13:$Y$376,MATCH(SUM(HK$13:HK$376),HK$13:HK$376,0),1)),"")</f>
        <v/>
      </c>
      <c r="HL12" s="19" t="str">
        <f t="shared" ref="HL12" ca="1" si="177">IFERROR(HL11*HL9*(INDEX($Y$13:$Y$376,MATCH(SUM(HL$13:HL$376),HL$13:HL$376,0),1)),"")</f>
        <v/>
      </c>
      <c r="HM12" s="19" t="str">
        <f t="shared" ref="HM12" ca="1" si="178">IFERROR(HM11*HM9*(INDEX($Y$13:$Y$376,MATCH(SUM(HM$13:HM$376),HM$13:HM$376,0),1)),"")</f>
        <v/>
      </c>
      <c r="HN12" s="19" t="str">
        <f t="shared" ref="HN12" ca="1" si="179">IFERROR(HN11*HN9*(INDEX($Y$13:$Y$376,MATCH(SUM(HN$13:HN$376),HN$13:HN$376,0),1)),"")</f>
        <v/>
      </c>
      <c r="HO12" s="19" t="str">
        <f t="shared" ref="HO12" ca="1" si="180">IFERROR(HO11*HO9*(INDEX($Y$13:$Y$376,MATCH(SUM(HO$13:HO$376),HO$13:HO$376,0),1)),"")</f>
        <v/>
      </c>
    </row>
    <row r="13" spans="2:223" s="2" customFormat="1" ht="20.100000000000001" customHeight="1" thickTop="1">
      <c r="B13" s="110">
        <v>46203</v>
      </c>
      <c r="C13" s="111" t="s">
        <v>602</v>
      </c>
      <c r="D13" s="112" t="s">
        <v>240</v>
      </c>
      <c r="E13" s="113" t="s">
        <v>284</v>
      </c>
      <c r="F13" s="114" t="s">
        <v>288</v>
      </c>
      <c r="G13" s="8" t="str">
        <f t="shared" ref="G13:G14" si="181">C13&amp;F13</f>
        <v>WDFCHNP22632402단무지(슬)</v>
      </c>
      <c r="H13" s="28">
        <v>250</v>
      </c>
      <c r="I13" s="41">
        <f t="shared" ref="I13:I14" si="182">ROUNDUP((H13/V13),0)</f>
        <v>3</v>
      </c>
      <c r="J13" s="29">
        <v>0</v>
      </c>
      <c r="K13" s="29">
        <v>0</v>
      </c>
      <c r="L13" s="41">
        <f t="shared" ref="L13:L14" si="183">ROUNDUP((K13/V13),0)</f>
        <v>0</v>
      </c>
      <c r="M13" s="29">
        <v>0</v>
      </c>
      <c r="N13" s="31">
        <f t="shared" ref="N13:N14" si="184">P13-K13+M13</f>
        <v>0</v>
      </c>
      <c r="O13" s="42">
        <f t="shared" ref="O13:O14" si="185">ROUNDUP((N13/V13),0)</f>
        <v>0</v>
      </c>
      <c r="P13" s="31">
        <f t="shared" ref="P13:P14" si="186">H13-T13</f>
        <v>0</v>
      </c>
      <c r="Q13" s="42">
        <f t="shared" ref="Q13:Q14" si="187">L13+O13</f>
        <v>0</v>
      </c>
      <c r="R13" s="28">
        <v>0</v>
      </c>
      <c r="S13" s="97">
        <f t="shared" ref="S13:S52" si="188">SUM(AD13:IM13)</f>
        <v>250</v>
      </c>
      <c r="T13" s="97">
        <f t="shared" ref="T13:T14" si="189">R13+S13+J13+M13</f>
        <v>250</v>
      </c>
      <c r="V13" s="28">
        <v>120</v>
      </c>
      <c r="W13" s="95">
        <f t="shared" ref="W13:W14" si="190">B13+X13</f>
        <v>46213</v>
      </c>
      <c r="X13" s="79">
        <v>10</v>
      </c>
      <c r="Y13" s="79">
        <v>600</v>
      </c>
      <c r="Z13" s="2" t="e">
        <f>SUMIF(#REF!,G13,#REF!)</f>
        <v>#REF!</v>
      </c>
      <c r="AA13" s="2">
        <f t="shared" ref="AA13:AA14" ca="1" si="191">IF(W13&gt;TODAY(),"프리타임기간중",Q13*Y13*IF(DATE(YEAR(W13),MONTH(W13),1)&lt;DATE(YEAR($AA$2),MONTH($AA$2),1),DATEDIF($AA$2,$AA$3,"D")+1,DATEDIF(W13,$AA$3+1,"d")))</f>
        <v>0</v>
      </c>
      <c r="AB13" s="2" t="str">
        <f t="shared" ref="AB13:AB14" ca="1" si="192">IFERROR(Z13+AA13,"")</f>
        <v/>
      </c>
      <c r="AC13" s="103"/>
      <c r="AD13" s="142">
        <v>250</v>
      </c>
    </row>
    <row r="14" spans="2:223" s="2" customFormat="1" ht="20.100000000000001" customHeight="1">
      <c r="B14" s="110">
        <v>46203</v>
      </c>
      <c r="C14" s="111" t="s">
        <v>576</v>
      </c>
      <c r="D14" s="112"/>
      <c r="E14" s="113" t="s">
        <v>284</v>
      </c>
      <c r="F14" s="114" t="s">
        <v>597</v>
      </c>
      <c r="G14" s="8" t="str">
        <f t="shared" si="181"/>
        <v>WDFCHNP22632402단무지(알밥)</v>
      </c>
      <c r="H14" s="28">
        <v>350</v>
      </c>
      <c r="I14" s="41">
        <f t="shared" si="182"/>
        <v>3</v>
      </c>
      <c r="J14" s="29">
        <v>0</v>
      </c>
      <c r="K14" s="29">
        <v>0</v>
      </c>
      <c r="L14" s="41">
        <f t="shared" si="183"/>
        <v>0</v>
      </c>
      <c r="M14" s="29">
        <v>0</v>
      </c>
      <c r="N14" s="31">
        <f t="shared" si="184"/>
        <v>0</v>
      </c>
      <c r="O14" s="42">
        <f t="shared" si="185"/>
        <v>0</v>
      </c>
      <c r="P14" s="31">
        <f t="shared" si="186"/>
        <v>0</v>
      </c>
      <c r="Q14" s="42">
        <f t="shared" si="187"/>
        <v>0</v>
      </c>
      <c r="R14" s="28">
        <v>0</v>
      </c>
      <c r="S14" s="97">
        <f t="shared" si="188"/>
        <v>350</v>
      </c>
      <c r="T14" s="97">
        <f t="shared" si="189"/>
        <v>350</v>
      </c>
      <c r="V14" s="28">
        <v>120</v>
      </c>
      <c r="W14" s="95">
        <f t="shared" si="190"/>
        <v>46213</v>
      </c>
      <c r="X14" s="79">
        <v>10</v>
      </c>
      <c r="Y14" s="79">
        <v>600</v>
      </c>
      <c r="Z14" s="2" t="e">
        <f>SUMIF(#REF!,G14,#REF!)</f>
        <v>#REF!</v>
      </c>
      <c r="AA14" s="2">
        <f t="shared" ca="1" si="191"/>
        <v>0</v>
      </c>
      <c r="AB14" s="2" t="str">
        <f t="shared" ca="1" si="192"/>
        <v/>
      </c>
      <c r="AC14" s="103"/>
      <c r="AE14" s="2">
        <v>350</v>
      </c>
    </row>
    <row r="15" spans="2:223" s="2" customFormat="1" ht="20.100000000000001" customHeight="1">
      <c r="B15" s="110">
        <v>46203</v>
      </c>
      <c r="C15" s="111" t="s">
        <v>576</v>
      </c>
      <c r="D15" s="112"/>
      <c r="E15" s="113" t="s">
        <v>284</v>
      </c>
      <c r="F15" s="114" t="s">
        <v>289</v>
      </c>
      <c r="G15" s="8" t="str">
        <f t="shared" ref="G15:G18" si="193">C15&amp;F15</f>
        <v>WDFCHNP22632402샌기리(채)</v>
      </c>
      <c r="H15" s="28">
        <v>300</v>
      </c>
      <c r="I15" s="41">
        <f t="shared" ref="I15:I18" si="194">ROUNDUP((H15/V15),0)</f>
        <v>3</v>
      </c>
      <c r="J15" s="29">
        <v>0</v>
      </c>
      <c r="K15" s="29">
        <v>0</v>
      </c>
      <c r="L15" s="41">
        <f t="shared" ref="L15:L18" si="195">ROUNDUP((K15/V15),0)</f>
        <v>0</v>
      </c>
      <c r="M15" s="29">
        <v>0</v>
      </c>
      <c r="N15" s="31">
        <f t="shared" ref="N15:N18" si="196">P15-K15+M15</f>
        <v>0</v>
      </c>
      <c r="O15" s="42">
        <f t="shared" ref="O15:O18" si="197">ROUNDUP((N15/V15),0)</f>
        <v>0</v>
      </c>
      <c r="P15" s="31">
        <f t="shared" ref="P15:P18" si="198">H15-T15</f>
        <v>0</v>
      </c>
      <c r="Q15" s="42">
        <f t="shared" ref="Q15:Q18" si="199">L15+O15</f>
        <v>0</v>
      </c>
      <c r="R15" s="28">
        <v>0</v>
      </c>
      <c r="S15" s="97">
        <f t="shared" si="188"/>
        <v>300</v>
      </c>
      <c r="T15" s="97">
        <f t="shared" ref="T15:T18" si="200">R15+S15+J15+M15</f>
        <v>300</v>
      </c>
      <c r="V15" s="28">
        <v>120</v>
      </c>
      <c r="W15" s="95">
        <f t="shared" ref="W15:W18" si="201">B15+X15</f>
        <v>46213</v>
      </c>
      <c r="X15" s="79">
        <v>10</v>
      </c>
      <c r="Y15" s="79">
        <v>600</v>
      </c>
      <c r="Z15" s="2" t="e">
        <f>SUMIF(#REF!,G15,#REF!)</f>
        <v>#REF!</v>
      </c>
      <c r="AA15" s="2">
        <f t="shared" ref="AA15:AA18" ca="1" si="202">IF(W15&gt;TODAY(),"프리타임기간중",Q15*Y15*IF(DATE(YEAR(W15),MONTH(W15),1)&lt;DATE(YEAR($AA$2),MONTH($AA$2),1),DATEDIF($AA$2,$AA$3,"D")+1,DATEDIF(W15,$AA$3+1,"d")))</f>
        <v>0</v>
      </c>
      <c r="AB15" s="2" t="str">
        <f t="shared" ref="AB15:AB18" ca="1" si="203">IFERROR(Z15+AA15,"")</f>
        <v/>
      </c>
      <c r="AC15" s="103"/>
      <c r="AF15" s="2">
        <v>300</v>
      </c>
    </row>
    <row r="16" spans="2:223" s="2" customFormat="1" ht="20.100000000000001" customHeight="1">
      <c r="B16" s="110">
        <v>46203</v>
      </c>
      <c r="C16" s="111" t="s">
        <v>576</v>
      </c>
      <c r="D16" s="112"/>
      <c r="E16" s="113" t="s">
        <v>284</v>
      </c>
      <c r="F16" s="114" t="s">
        <v>290</v>
      </c>
      <c r="G16" s="8" t="str">
        <f t="shared" si="193"/>
        <v>WDFCHNP22632402샌기리(알밥)</v>
      </c>
      <c r="H16" s="28">
        <v>400</v>
      </c>
      <c r="I16" s="41">
        <f t="shared" si="194"/>
        <v>4</v>
      </c>
      <c r="J16" s="29">
        <v>0</v>
      </c>
      <c r="K16" s="29">
        <v>0</v>
      </c>
      <c r="L16" s="41">
        <f t="shared" si="195"/>
        <v>0</v>
      </c>
      <c r="M16" s="29">
        <v>0</v>
      </c>
      <c r="N16" s="31">
        <f t="shared" si="196"/>
        <v>0</v>
      </c>
      <c r="O16" s="42">
        <f t="shared" si="197"/>
        <v>0</v>
      </c>
      <c r="P16" s="31">
        <f t="shared" si="198"/>
        <v>0</v>
      </c>
      <c r="Q16" s="42">
        <f t="shared" si="199"/>
        <v>0</v>
      </c>
      <c r="R16" s="28">
        <v>0</v>
      </c>
      <c r="S16" s="97">
        <f t="shared" si="188"/>
        <v>400</v>
      </c>
      <c r="T16" s="97">
        <f t="shared" si="200"/>
        <v>400</v>
      </c>
      <c r="V16" s="28">
        <v>120</v>
      </c>
      <c r="W16" s="95">
        <f t="shared" si="201"/>
        <v>46213</v>
      </c>
      <c r="X16" s="79">
        <v>10</v>
      </c>
      <c r="Y16" s="79">
        <v>600</v>
      </c>
      <c r="Z16" s="2" t="e">
        <f>SUMIF(#REF!,G16,#REF!)</f>
        <v>#REF!</v>
      </c>
      <c r="AA16" s="2">
        <f t="shared" ca="1" si="202"/>
        <v>0</v>
      </c>
      <c r="AB16" s="2" t="str">
        <f t="shared" ca="1" si="203"/>
        <v/>
      </c>
      <c r="AC16" s="103"/>
      <c r="AG16" s="2">
        <v>400</v>
      </c>
    </row>
    <row r="17" spans="2:52" s="2" customFormat="1" ht="20.100000000000001" customHeight="1">
      <c r="B17" s="110">
        <v>46203</v>
      </c>
      <c r="C17" s="111" t="s">
        <v>576</v>
      </c>
      <c r="D17" s="112"/>
      <c r="E17" s="113" t="s">
        <v>284</v>
      </c>
      <c r="F17" s="114" t="s">
        <v>296</v>
      </c>
      <c r="G17" s="8" t="str">
        <f t="shared" si="193"/>
        <v>WDFCHNP22632402쯔보즈케</v>
      </c>
      <c r="H17" s="28">
        <v>200</v>
      </c>
      <c r="I17" s="41">
        <f t="shared" si="194"/>
        <v>2</v>
      </c>
      <c r="J17" s="29">
        <v>0</v>
      </c>
      <c r="K17" s="29">
        <v>0</v>
      </c>
      <c r="L17" s="41">
        <f t="shared" si="195"/>
        <v>0</v>
      </c>
      <c r="M17" s="29">
        <v>0</v>
      </c>
      <c r="N17" s="31">
        <f t="shared" si="196"/>
        <v>0</v>
      </c>
      <c r="O17" s="42">
        <f t="shared" si="197"/>
        <v>0</v>
      </c>
      <c r="P17" s="31">
        <f t="shared" si="198"/>
        <v>0</v>
      </c>
      <c r="Q17" s="42">
        <f t="shared" si="199"/>
        <v>0</v>
      </c>
      <c r="R17" s="28">
        <v>0</v>
      </c>
      <c r="S17" s="97">
        <f t="shared" si="188"/>
        <v>200</v>
      </c>
      <c r="T17" s="97">
        <f t="shared" si="200"/>
        <v>200</v>
      </c>
      <c r="V17" s="28">
        <v>120</v>
      </c>
      <c r="W17" s="95">
        <f t="shared" si="201"/>
        <v>46213</v>
      </c>
      <c r="X17" s="79">
        <v>10</v>
      </c>
      <c r="Y17" s="79">
        <v>600</v>
      </c>
      <c r="Z17" s="2" t="e">
        <f>SUMIF(#REF!,G17,#REF!)</f>
        <v>#REF!</v>
      </c>
      <c r="AA17" s="2">
        <f t="shared" ca="1" si="202"/>
        <v>0</v>
      </c>
      <c r="AB17" s="2" t="str">
        <f t="shared" ca="1" si="203"/>
        <v/>
      </c>
      <c r="AC17" s="103"/>
      <c r="AH17" s="2">
        <v>200</v>
      </c>
    </row>
    <row r="18" spans="2:52" s="2" customFormat="1" ht="20.100000000000001" customHeight="1">
      <c r="B18" s="110">
        <v>46203</v>
      </c>
      <c r="C18" s="111" t="s">
        <v>576</v>
      </c>
      <c r="D18" s="112"/>
      <c r="E18" s="113" t="s">
        <v>284</v>
      </c>
      <c r="F18" s="114" t="s">
        <v>411</v>
      </c>
      <c r="G18" s="8" t="str">
        <f t="shared" si="193"/>
        <v>WDFCHNP22632402백단무지(슬)</v>
      </c>
      <c r="H18" s="28">
        <v>50</v>
      </c>
      <c r="I18" s="41">
        <f t="shared" si="194"/>
        <v>1</v>
      </c>
      <c r="J18" s="29">
        <v>0</v>
      </c>
      <c r="K18" s="29">
        <v>0</v>
      </c>
      <c r="L18" s="41">
        <f t="shared" si="195"/>
        <v>0</v>
      </c>
      <c r="M18" s="29">
        <v>0</v>
      </c>
      <c r="N18" s="31">
        <f t="shared" si="196"/>
        <v>0</v>
      </c>
      <c r="O18" s="42">
        <f t="shared" si="197"/>
        <v>0</v>
      </c>
      <c r="P18" s="31">
        <f t="shared" si="198"/>
        <v>0</v>
      </c>
      <c r="Q18" s="42">
        <f t="shared" si="199"/>
        <v>0</v>
      </c>
      <c r="R18" s="28">
        <v>0</v>
      </c>
      <c r="S18" s="97">
        <f t="shared" si="188"/>
        <v>50</v>
      </c>
      <c r="T18" s="97">
        <f t="shared" si="200"/>
        <v>50</v>
      </c>
      <c r="V18" s="28">
        <v>120</v>
      </c>
      <c r="W18" s="95">
        <f t="shared" si="201"/>
        <v>46213</v>
      </c>
      <c r="X18" s="79">
        <v>10</v>
      </c>
      <c r="Y18" s="79">
        <v>600</v>
      </c>
      <c r="Z18" s="2" t="e">
        <f>SUMIF(#REF!,G18,#REF!)</f>
        <v>#REF!</v>
      </c>
      <c r="AA18" s="2">
        <f t="shared" ca="1" si="202"/>
        <v>0</v>
      </c>
      <c r="AB18" s="2" t="str">
        <f t="shared" ca="1" si="203"/>
        <v/>
      </c>
      <c r="AC18" s="103"/>
      <c r="AI18" s="2">
        <v>50</v>
      </c>
    </row>
    <row r="19" spans="2:52" s="2" customFormat="1" ht="20.100000000000001" customHeight="1">
      <c r="B19" s="110">
        <v>46203</v>
      </c>
      <c r="C19" s="111" t="s">
        <v>602</v>
      </c>
      <c r="D19" s="112"/>
      <c r="E19" s="113" t="s">
        <v>284</v>
      </c>
      <c r="F19" s="114" t="s">
        <v>297</v>
      </c>
      <c r="G19" s="8" t="str">
        <f t="shared" ref="G19:G22" si="204">C19&amp;F19</f>
        <v>WDFCHNP22632402매콤한단무지</v>
      </c>
      <c r="H19" s="28">
        <v>200</v>
      </c>
      <c r="I19" s="41">
        <f t="shared" ref="I19:I22" si="205">ROUNDUP((H19/V19),0)</f>
        <v>2</v>
      </c>
      <c r="J19" s="29">
        <v>0</v>
      </c>
      <c r="K19" s="29">
        <v>0</v>
      </c>
      <c r="L19" s="41">
        <f t="shared" ref="L19:L22" si="206">ROUNDUP((K19/V19),0)</f>
        <v>0</v>
      </c>
      <c r="M19" s="29">
        <v>0</v>
      </c>
      <c r="N19" s="31">
        <f t="shared" ref="N19:N22" si="207">P19-K19+M19</f>
        <v>0</v>
      </c>
      <c r="O19" s="42">
        <f t="shared" ref="O19:O22" si="208">ROUNDUP((N19/V19),0)</f>
        <v>0</v>
      </c>
      <c r="P19" s="31">
        <f t="shared" ref="P19:P22" si="209">H19-T19</f>
        <v>0</v>
      </c>
      <c r="Q19" s="42">
        <f t="shared" ref="Q19:Q22" si="210">L19+O19</f>
        <v>0</v>
      </c>
      <c r="R19" s="28">
        <v>0</v>
      </c>
      <c r="S19" s="97">
        <f t="shared" si="188"/>
        <v>200</v>
      </c>
      <c r="T19" s="97">
        <f t="shared" ref="T19:T22" si="211">R19+S19+J19+M19</f>
        <v>200</v>
      </c>
      <c r="V19" s="28">
        <v>120</v>
      </c>
      <c r="W19" s="95">
        <f t="shared" ref="W19:W22" si="212">B19+X19</f>
        <v>46213</v>
      </c>
      <c r="X19" s="79">
        <v>10</v>
      </c>
      <c r="Y19" s="79">
        <v>600</v>
      </c>
      <c r="Z19" s="2" t="e">
        <f>SUMIF(#REF!,G19,#REF!)</f>
        <v>#REF!</v>
      </c>
      <c r="AA19" s="2">
        <f t="shared" ref="AA19:AA22" ca="1" si="213">IF(W19&gt;TODAY(),"프리타임기간중",Q19*Y19*IF(DATE(YEAR(W19),MONTH(W19),1)&lt;DATE(YEAR($AA$2),MONTH($AA$2),1),DATEDIF($AA$2,$AA$3,"D")+1,DATEDIF(W19,$AA$3+1,"d")))</f>
        <v>0</v>
      </c>
      <c r="AB19" s="2" t="str">
        <f t="shared" ref="AB19:AB22" ca="1" si="214">IFERROR(Z19+AA19,"")</f>
        <v/>
      </c>
      <c r="AC19" s="103"/>
      <c r="AJ19" s="2">
        <v>200</v>
      </c>
    </row>
    <row r="20" spans="2:52" s="2" customFormat="1" ht="20.100000000000001" customHeight="1">
      <c r="B20" s="110">
        <v>46204</v>
      </c>
      <c r="C20" s="111" t="s">
        <v>654</v>
      </c>
      <c r="D20" s="112" t="s">
        <v>240</v>
      </c>
      <c r="E20" s="113" t="s">
        <v>284</v>
      </c>
      <c r="F20" s="114" t="s">
        <v>492</v>
      </c>
      <c r="G20" s="8" t="str">
        <f t="shared" si="204"/>
        <v>JYPRQD2606057백초생강</v>
      </c>
      <c r="H20" s="28">
        <v>405</v>
      </c>
      <c r="I20" s="41">
        <f t="shared" si="205"/>
        <v>5</v>
      </c>
      <c r="J20" s="29">
        <v>0</v>
      </c>
      <c r="K20" s="29">
        <v>0</v>
      </c>
      <c r="L20" s="41">
        <f t="shared" si="206"/>
        <v>0</v>
      </c>
      <c r="M20" s="29">
        <v>0</v>
      </c>
      <c r="N20" s="31">
        <f t="shared" si="207"/>
        <v>0</v>
      </c>
      <c r="O20" s="42">
        <f t="shared" si="208"/>
        <v>0</v>
      </c>
      <c r="P20" s="31">
        <f t="shared" si="209"/>
        <v>0</v>
      </c>
      <c r="Q20" s="42">
        <f t="shared" si="210"/>
        <v>0</v>
      </c>
      <c r="R20" s="28">
        <v>0</v>
      </c>
      <c r="S20" s="97">
        <f t="shared" si="188"/>
        <v>405</v>
      </c>
      <c r="T20" s="97">
        <f t="shared" si="211"/>
        <v>405</v>
      </c>
      <c r="V20" s="28">
        <v>84</v>
      </c>
      <c r="W20" s="95">
        <f t="shared" si="212"/>
        <v>46214</v>
      </c>
      <c r="X20" s="79">
        <v>10</v>
      </c>
      <c r="Y20" s="79">
        <v>600</v>
      </c>
      <c r="Z20" s="2" t="e">
        <f>SUMIF(#REF!,G20,#REF!)</f>
        <v>#REF!</v>
      </c>
      <c r="AA20" s="2">
        <f t="shared" ca="1" si="213"/>
        <v>0</v>
      </c>
      <c r="AB20" s="2" t="str">
        <f t="shared" ca="1" si="214"/>
        <v/>
      </c>
      <c r="AC20" s="103"/>
      <c r="AK20" s="142">
        <v>405</v>
      </c>
    </row>
    <row r="21" spans="2:52" s="2" customFormat="1" ht="20.100000000000001" customHeight="1">
      <c r="B21" s="110">
        <v>46204</v>
      </c>
      <c r="C21" s="111" t="s">
        <v>588</v>
      </c>
      <c r="D21" s="112"/>
      <c r="E21" s="113" t="s">
        <v>284</v>
      </c>
      <c r="F21" s="114" t="s">
        <v>452</v>
      </c>
      <c r="G21" s="8" t="str">
        <f t="shared" si="204"/>
        <v>JYPRQD2606057백초생강3KG*4EA</v>
      </c>
      <c r="H21" s="28">
        <v>130</v>
      </c>
      <c r="I21" s="41">
        <f t="shared" si="205"/>
        <v>2</v>
      </c>
      <c r="J21" s="29">
        <v>0</v>
      </c>
      <c r="K21" s="29">
        <v>0</v>
      </c>
      <c r="L21" s="41">
        <f t="shared" si="206"/>
        <v>0</v>
      </c>
      <c r="M21" s="29">
        <v>0</v>
      </c>
      <c r="N21" s="31">
        <f t="shared" si="207"/>
        <v>0</v>
      </c>
      <c r="O21" s="42">
        <f t="shared" si="208"/>
        <v>0</v>
      </c>
      <c r="P21" s="31">
        <f t="shared" si="209"/>
        <v>0</v>
      </c>
      <c r="Q21" s="42">
        <f t="shared" si="210"/>
        <v>0</v>
      </c>
      <c r="R21" s="28">
        <v>0</v>
      </c>
      <c r="S21" s="97">
        <f t="shared" si="188"/>
        <v>130</v>
      </c>
      <c r="T21" s="97">
        <f t="shared" si="211"/>
        <v>130</v>
      </c>
      <c r="V21" s="28">
        <v>84</v>
      </c>
      <c r="W21" s="95">
        <f t="shared" si="212"/>
        <v>46214</v>
      </c>
      <c r="X21" s="79">
        <v>10</v>
      </c>
      <c r="Y21" s="79">
        <v>600</v>
      </c>
      <c r="Z21" s="2" t="e">
        <f>SUMIF(#REF!,G21,#REF!)</f>
        <v>#REF!</v>
      </c>
      <c r="AA21" s="2">
        <f t="shared" ca="1" si="213"/>
        <v>0</v>
      </c>
      <c r="AB21" s="2" t="str">
        <f t="shared" ca="1" si="214"/>
        <v/>
      </c>
      <c r="AC21" s="103"/>
      <c r="AL21" s="2">
        <v>130</v>
      </c>
    </row>
    <row r="22" spans="2:52" s="2" customFormat="1" ht="20.100000000000001" customHeight="1">
      <c r="B22" s="110">
        <v>46204</v>
      </c>
      <c r="C22" s="111" t="s">
        <v>588</v>
      </c>
      <c r="D22" s="112"/>
      <c r="E22" s="113" t="s">
        <v>284</v>
      </c>
      <c r="F22" s="114" t="s">
        <v>453</v>
      </c>
      <c r="G22" s="8" t="str">
        <f t="shared" si="204"/>
        <v>JYPRQD2606057적초생강</v>
      </c>
      <c r="H22" s="28">
        <v>300</v>
      </c>
      <c r="I22" s="41">
        <f t="shared" si="205"/>
        <v>4</v>
      </c>
      <c r="J22" s="29">
        <v>0</v>
      </c>
      <c r="K22" s="29">
        <v>0</v>
      </c>
      <c r="L22" s="41">
        <f t="shared" si="206"/>
        <v>0</v>
      </c>
      <c r="M22" s="29">
        <v>0</v>
      </c>
      <c r="N22" s="31">
        <f t="shared" si="207"/>
        <v>0</v>
      </c>
      <c r="O22" s="42">
        <f t="shared" si="208"/>
        <v>0</v>
      </c>
      <c r="P22" s="31">
        <f t="shared" si="209"/>
        <v>0</v>
      </c>
      <c r="Q22" s="42">
        <f t="shared" si="210"/>
        <v>0</v>
      </c>
      <c r="R22" s="28">
        <v>0</v>
      </c>
      <c r="S22" s="97">
        <f t="shared" si="188"/>
        <v>300</v>
      </c>
      <c r="T22" s="97">
        <f t="shared" si="211"/>
        <v>300</v>
      </c>
      <c r="V22" s="28">
        <v>84</v>
      </c>
      <c r="W22" s="95">
        <f t="shared" si="212"/>
        <v>46214</v>
      </c>
      <c r="X22" s="79">
        <v>10</v>
      </c>
      <c r="Y22" s="79">
        <v>600</v>
      </c>
      <c r="Z22" s="2" t="e">
        <f>SUMIF(#REF!,G22,#REF!)</f>
        <v>#REF!</v>
      </c>
      <c r="AA22" s="2">
        <f t="shared" ca="1" si="213"/>
        <v>0</v>
      </c>
      <c r="AB22" s="2" t="str">
        <f t="shared" ca="1" si="214"/>
        <v/>
      </c>
      <c r="AC22" s="103"/>
      <c r="AM22" s="2">
        <v>300</v>
      </c>
    </row>
    <row r="23" spans="2:52" s="2" customFormat="1" ht="20.100000000000001" customHeight="1">
      <c r="B23" s="110">
        <v>46204</v>
      </c>
      <c r="C23" s="111" t="s">
        <v>588</v>
      </c>
      <c r="D23" s="112"/>
      <c r="E23" s="113" t="s">
        <v>284</v>
      </c>
      <c r="F23" s="114" t="s">
        <v>454</v>
      </c>
      <c r="G23" s="8" t="str">
        <f t="shared" ref="G23:G25" si="215">C23&amp;F23</f>
        <v>JYPRQD2606057백초생강(채)</v>
      </c>
      <c r="H23" s="28">
        <v>270</v>
      </c>
      <c r="I23" s="41">
        <f t="shared" ref="I23:I25" si="216">ROUNDUP((H23/V23),0)</f>
        <v>4</v>
      </c>
      <c r="J23" s="29">
        <v>0</v>
      </c>
      <c r="K23" s="29">
        <v>0</v>
      </c>
      <c r="L23" s="41">
        <f t="shared" ref="L23:L25" si="217">ROUNDUP((K23/V23),0)</f>
        <v>0</v>
      </c>
      <c r="M23" s="29">
        <v>0</v>
      </c>
      <c r="N23" s="31">
        <f t="shared" ref="N23:N25" si="218">P23-K23+M23</f>
        <v>0</v>
      </c>
      <c r="O23" s="42">
        <f t="shared" ref="O23:O25" si="219">ROUNDUP((N23/V23),0)</f>
        <v>0</v>
      </c>
      <c r="P23" s="31">
        <f t="shared" ref="P23:P25" si="220">H23-T23</f>
        <v>0</v>
      </c>
      <c r="Q23" s="42">
        <f t="shared" ref="Q23:Q25" si="221">L23+O23</f>
        <v>0</v>
      </c>
      <c r="R23" s="28">
        <v>0</v>
      </c>
      <c r="S23" s="97">
        <f t="shared" si="188"/>
        <v>270</v>
      </c>
      <c r="T23" s="97">
        <f t="shared" ref="T23:T25" si="222">R23+S23+J23+M23</f>
        <v>270</v>
      </c>
      <c r="V23" s="28">
        <v>84</v>
      </c>
      <c r="W23" s="95">
        <f t="shared" ref="W23:W25" si="223">B23+X23</f>
        <v>46214</v>
      </c>
      <c r="X23" s="79">
        <v>10</v>
      </c>
      <c r="Y23" s="79">
        <v>600</v>
      </c>
      <c r="Z23" s="2" t="e">
        <f>SUMIF(#REF!,G23,#REF!)</f>
        <v>#REF!</v>
      </c>
      <c r="AA23" s="2">
        <f t="shared" ref="AA23:AA25" ca="1" si="224">IF(W23&gt;TODAY(),"프리타임기간중",Q23*Y23*IF(DATE(YEAR(W23),MONTH(W23),1)&lt;DATE(YEAR($AA$2),MONTH($AA$2),1),DATEDIF($AA$2,$AA$3,"D")+1,DATEDIF(W23,$AA$3+1,"d")))</f>
        <v>0</v>
      </c>
      <c r="AB23" s="2" t="str">
        <f t="shared" ref="AB23:AB25" ca="1" si="225">IFERROR(Z23+AA23,"")</f>
        <v/>
      </c>
      <c r="AC23" s="103"/>
      <c r="AN23" s="2">
        <v>270</v>
      </c>
    </row>
    <row r="24" spans="2:52" s="2" customFormat="1" ht="20.100000000000001" customHeight="1">
      <c r="B24" s="110">
        <v>46204</v>
      </c>
      <c r="C24" s="111" t="s">
        <v>588</v>
      </c>
      <c r="D24" s="112"/>
      <c r="E24" s="113" t="s">
        <v>284</v>
      </c>
      <c r="F24" s="114" t="s">
        <v>455</v>
      </c>
      <c r="G24" s="8" t="str">
        <f t="shared" si="215"/>
        <v>JYPRQD2606057백초생강(채)5KG*2EA</v>
      </c>
      <c r="H24" s="28">
        <v>50</v>
      </c>
      <c r="I24" s="41">
        <f t="shared" si="216"/>
        <v>1</v>
      </c>
      <c r="J24" s="29">
        <v>0</v>
      </c>
      <c r="K24" s="29">
        <v>0</v>
      </c>
      <c r="L24" s="41">
        <f t="shared" si="217"/>
        <v>0</v>
      </c>
      <c r="M24" s="29">
        <v>0</v>
      </c>
      <c r="N24" s="31">
        <f t="shared" si="218"/>
        <v>0</v>
      </c>
      <c r="O24" s="42">
        <f t="shared" si="219"/>
        <v>0</v>
      </c>
      <c r="P24" s="31">
        <f t="shared" si="220"/>
        <v>0</v>
      </c>
      <c r="Q24" s="42">
        <f t="shared" si="221"/>
        <v>0</v>
      </c>
      <c r="R24" s="28">
        <v>0</v>
      </c>
      <c r="S24" s="97">
        <f t="shared" si="188"/>
        <v>50</v>
      </c>
      <c r="T24" s="97">
        <f t="shared" si="222"/>
        <v>50</v>
      </c>
      <c r="V24" s="28">
        <v>50</v>
      </c>
      <c r="W24" s="95">
        <f t="shared" si="223"/>
        <v>46214</v>
      </c>
      <c r="X24" s="79">
        <v>10</v>
      </c>
      <c r="Y24" s="79">
        <v>600</v>
      </c>
      <c r="Z24" s="2" t="e">
        <f>SUMIF(#REF!,G24,#REF!)</f>
        <v>#REF!</v>
      </c>
      <c r="AA24" s="2">
        <f t="shared" ca="1" si="224"/>
        <v>0</v>
      </c>
      <c r="AB24" s="2" t="str">
        <f t="shared" ca="1" si="225"/>
        <v/>
      </c>
      <c r="AC24" s="103"/>
      <c r="AO24" s="2">
        <v>50</v>
      </c>
    </row>
    <row r="25" spans="2:52" s="2" customFormat="1" ht="20.100000000000001" customHeight="1">
      <c r="B25" s="110">
        <v>46204</v>
      </c>
      <c r="C25" s="111" t="s">
        <v>588</v>
      </c>
      <c r="D25" s="112"/>
      <c r="E25" s="113" t="s">
        <v>284</v>
      </c>
      <c r="F25" s="114" t="s">
        <v>456</v>
      </c>
      <c r="G25" s="8" t="str">
        <f t="shared" si="215"/>
        <v>JYPRQD2606057적초생강(채)</v>
      </c>
      <c r="H25" s="28">
        <v>200</v>
      </c>
      <c r="I25" s="41">
        <f t="shared" si="216"/>
        <v>3</v>
      </c>
      <c r="J25" s="29">
        <v>0</v>
      </c>
      <c r="K25" s="29">
        <v>0</v>
      </c>
      <c r="L25" s="41">
        <f t="shared" si="217"/>
        <v>0</v>
      </c>
      <c r="M25" s="29">
        <v>0</v>
      </c>
      <c r="N25" s="31">
        <f t="shared" si="218"/>
        <v>0</v>
      </c>
      <c r="O25" s="42">
        <f t="shared" si="219"/>
        <v>0</v>
      </c>
      <c r="P25" s="31">
        <f t="shared" si="220"/>
        <v>0</v>
      </c>
      <c r="Q25" s="42">
        <f t="shared" si="221"/>
        <v>0</v>
      </c>
      <c r="R25" s="28">
        <v>0</v>
      </c>
      <c r="S25" s="97">
        <f t="shared" si="188"/>
        <v>200</v>
      </c>
      <c r="T25" s="97">
        <f t="shared" si="222"/>
        <v>200</v>
      </c>
      <c r="V25" s="28">
        <v>84</v>
      </c>
      <c r="W25" s="95">
        <f t="shared" si="223"/>
        <v>46214</v>
      </c>
      <c r="X25" s="79">
        <v>10</v>
      </c>
      <c r="Y25" s="79">
        <v>600</v>
      </c>
      <c r="Z25" s="2" t="e">
        <f>SUMIF(#REF!,G25,#REF!)</f>
        <v>#REF!</v>
      </c>
      <c r="AA25" s="2">
        <f t="shared" ca="1" si="224"/>
        <v>0</v>
      </c>
      <c r="AB25" s="2" t="str">
        <f t="shared" ca="1" si="225"/>
        <v/>
      </c>
      <c r="AC25" s="103"/>
      <c r="AP25" s="2">
        <v>200</v>
      </c>
    </row>
    <row r="26" spans="2:52" s="2" customFormat="1" ht="20.100000000000001" customHeight="1">
      <c r="B26" s="110">
        <v>46204</v>
      </c>
      <c r="C26" s="111" t="s">
        <v>588</v>
      </c>
      <c r="D26" s="112"/>
      <c r="E26" s="113" t="s">
        <v>284</v>
      </c>
      <c r="F26" s="114" t="s">
        <v>645</v>
      </c>
      <c r="G26" s="8" t="str">
        <f t="shared" ref="G26:G27" si="226">C26&amp;F26</f>
        <v>JYPRQD2606057단무지</v>
      </c>
      <c r="H26" s="28">
        <v>200</v>
      </c>
      <c r="I26" s="41">
        <f t="shared" ref="I26" si="227">ROUNDUP((H26/V26),0)</f>
        <v>3</v>
      </c>
      <c r="J26" s="29">
        <v>0</v>
      </c>
      <c r="K26" s="29">
        <v>0</v>
      </c>
      <c r="L26" s="41">
        <f t="shared" ref="L26:L27" si="228">ROUNDUP((K26/V26),0)</f>
        <v>0</v>
      </c>
      <c r="M26" s="29">
        <v>0</v>
      </c>
      <c r="N26" s="31">
        <f t="shared" ref="N26:N27" si="229">P26-K26+M26</f>
        <v>0</v>
      </c>
      <c r="O26" s="42">
        <f t="shared" ref="O26" si="230">ROUNDUP((N26/V26),0)</f>
        <v>0</v>
      </c>
      <c r="P26" s="31">
        <f t="shared" ref="P26:P27" si="231">H26-T26</f>
        <v>0</v>
      </c>
      <c r="Q26" s="42">
        <f t="shared" ref="Q26:Q27" si="232">L26+O26</f>
        <v>0</v>
      </c>
      <c r="R26" s="28">
        <v>0</v>
      </c>
      <c r="S26" s="97">
        <f t="shared" si="188"/>
        <v>200</v>
      </c>
      <c r="T26" s="97">
        <f t="shared" ref="T26:T27" si="233">R26+S26+J26+M26</f>
        <v>200</v>
      </c>
      <c r="V26" s="28">
        <v>84</v>
      </c>
      <c r="W26" s="95">
        <f t="shared" ref="W26:W27" si="234">B26+X26</f>
        <v>46214</v>
      </c>
      <c r="X26" s="79">
        <v>10</v>
      </c>
      <c r="Y26" s="79">
        <v>600</v>
      </c>
      <c r="Z26" s="2" t="e">
        <f>SUMIF(#REF!,G26,#REF!)</f>
        <v>#REF!</v>
      </c>
      <c r="AA26" s="2">
        <f t="shared" ref="AA26:AA27" ca="1" si="235">IF(W26&gt;TODAY(),"프리타임기간중",Q26*Y26*IF(DATE(YEAR(W26),MONTH(W26),1)&lt;DATE(YEAR($AA$2),MONTH($AA$2),1),DATEDIF($AA$2,$AA$3,"D")+1,DATEDIF(W26,$AA$3+1,"d")))</f>
        <v>0</v>
      </c>
      <c r="AB26" s="2" t="str">
        <f t="shared" ref="AB26:AB27" ca="1" si="236">IFERROR(Z26+AA26,"")</f>
        <v/>
      </c>
      <c r="AC26" s="103"/>
      <c r="AU26" s="2">
        <v>200</v>
      </c>
    </row>
    <row r="27" spans="2:52" s="2" customFormat="1" ht="20.100000000000001" customHeight="1">
      <c r="B27" s="110">
        <v>46204</v>
      </c>
      <c r="C27" s="111" t="s">
        <v>588</v>
      </c>
      <c r="D27" s="112"/>
      <c r="E27" s="113" t="s">
        <v>284</v>
      </c>
      <c r="F27" s="114" t="s">
        <v>457</v>
      </c>
      <c r="G27" s="8" t="str">
        <f t="shared" si="226"/>
        <v>JYPRQD2606057공박스</v>
      </c>
      <c r="H27" s="28">
        <v>60</v>
      </c>
      <c r="I27" s="41">
        <f>ROUNDUP((H27/V27),0)-1</f>
        <v>0</v>
      </c>
      <c r="J27" s="29">
        <v>0</v>
      </c>
      <c r="K27" s="29">
        <v>0</v>
      </c>
      <c r="L27" s="41">
        <f t="shared" si="228"/>
        <v>0</v>
      </c>
      <c r="M27" s="29">
        <v>0</v>
      </c>
      <c r="N27" s="31">
        <f t="shared" si="229"/>
        <v>0</v>
      </c>
      <c r="O27" s="42">
        <f>ROUNDUP((N27/V27),0)</f>
        <v>0</v>
      </c>
      <c r="P27" s="31">
        <f t="shared" si="231"/>
        <v>0</v>
      </c>
      <c r="Q27" s="42">
        <f t="shared" si="232"/>
        <v>0</v>
      </c>
      <c r="R27" s="28">
        <v>0</v>
      </c>
      <c r="S27" s="97">
        <f t="shared" si="188"/>
        <v>60</v>
      </c>
      <c r="T27" s="97">
        <f t="shared" si="233"/>
        <v>60</v>
      </c>
      <c r="V27" s="28">
        <v>60</v>
      </c>
      <c r="W27" s="95">
        <f t="shared" si="234"/>
        <v>46214</v>
      </c>
      <c r="X27" s="79">
        <v>10</v>
      </c>
      <c r="Y27" s="79">
        <v>600</v>
      </c>
      <c r="Z27" s="2" t="e">
        <f>SUMIF(#REF!,G27,#REF!)</f>
        <v>#REF!</v>
      </c>
      <c r="AA27" s="2">
        <f t="shared" ca="1" si="235"/>
        <v>0</v>
      </c>
      <c r="AB27" s="2" t="str">
        <f t="shared" ca="1" si="236"/>
        <v/>
      </c>
      <c r="AC27" s="103"/>
      <c r="AQ27" s="2">
        <v>60</v>
      </c>
    </row>
    <row r="28" spans="2:52" s="2" customFormat="1" ht="20.100000000000001" customHeight="1">
      <c r="B28" s="110">
        <v>46205</v>
      </c>
      <c r="C28" s="111" t="s">
        <v>607</v>
      </c>
      <c r="D28" s="112" t="s">
        <v>240</v>
      </c>
      <c r="E28" s="113" t="s">
        <v>284</v>
      </c>
      <c r="F28" s="114" t="s">
        <v>608</v>
      </c>
      <c r="G28" s="8" t="str">
        <f t="shared" ref="G28" si="237">C28&amp;F28</f>
        <v>EASHP2263QI212양파</v>
      </c>
      <c r="H28" s="28">
        <v>720</v>
      </c>
      <c r="I28" s="41">
        <f t="shared" ref="I28" si="238">ROUNDUP((H28/V28),0)</f>
        <v>15</v>
      </c>
      <c r="J28" s="29">
        <v>0</v>
      </c>
      <c r="K28" s="29">
        <v>0</v>
      </c>
      <c r="L28" s="41">
        <f t="shared" ref="L28" si="239">ROUNDUP((K28/V28),0)</f>
        <v>0</v>
      </c>
      <c r="M28" s="29">
        <v>0</v>
      </c>
      <c r="N28" s="31">
        <f t="shared" ref="N28" si="240">P28-K28+M28</f>
        <v>0</v>
      </c>
      <c r="O28" s="42">
        <f t="shared" ref="O28" si="241">ROUNDUP((N28/V28),0)</f>
        <v>0</v>
      </c>
      <c r="P28" s="31">
        <f t="shared" ref="P28" si="242">H28-T28</f>
        <v>0</v>
      </c>
      <c r="Q28" s="42">
        <f t="shared" ref="Q28" si="243">L28+O28</f>
        <v>0</v>
      </c>
      <c r="R28" s="28">
        <v>0</v>
      </c>
      <c r="S28" s="97">
        <f t="shared" si="188"/>
        <v>720</v>
      </c>
      <c r="T28" s="97">
        <f t="shared" ref="T28" si="244">R28+S28+J28+M28</f>
        <v>720</v>
      </c>
      <c r="V28" s="28">
        <v>48</v>
      </c>
      <c r="W28" s="95">
        <f t="shared" ref="W28" si="245">B28+X28</f>
        <v>46215</v>
      </c>
      <c r="X28" s="79">
        <v>10</v>
      </c>
      <c r="Y28" s="79">
        <v>600</v>
      </c>
      <c r="Z28" s="2" t="e">
        <f>SUMIF(#REF!,G28,#REF!)</f>
        <v>#REF!</v>
      </c>
      <c r="AA28" s="2">
        <f t="shared" ref="AA28" ca="1" si="246">IF(W28&gt;TODAY(),"프리타임기간중",Q28*Y28*IF(DATE(YEAR(W28),MONTH(W28),1)&lt;DATE(YEAR($AA$2),MONTH($AA$2),1),DATEDIF($AA$2,$AA$3,"D")+1,DATEDIF(W28,$AA$3+1,"d")))</f>
        <v>0</v>
      </c>
      <c r="AB28" s="2" t="str">
        <f t="shared" ref="AB28" ca="1" si="247">IFERROR(Z28+AA28,"")</f>
        <v/>
      </c>
      <c r="AC28" s="103"/>
      <c r="AT28" s="142">
        <v>720</v>
      </c>
    </row>
    <row r="29" spans="2:52" s="2" customFormat="1" ht="20.100000000000001" customHeight="1">
      <c r="B29" s="110">
        <v>46209</v>
      </c>
      <c r="C29" s="111" t="s">
        <v>642</v>
      </c>
      <c r="D29" s="112" t="s">
        <v>240</v>
      </c>
      <c r="E29" s="113" t="s">
        <v>284</v>
      </c>
      <c r="F29" s="114" t="s">
        <v>643</v>
      </c>
      <c r="G29" s="8" t="str">
        <f t="shared" ref="G29" si="248">C29&amp;F29</f>
        <v>COHEAR685YN066안키모 200g</v>
      </c>
      <c r="H29" s="28">
        <v>550</v>
      </c>
      <c r="I29" s="41">
        <f t="shared" ref="I29" si="249">ROUNDUP((H29/V29),0)</f>
        <v>12</v>
      </c>
      <c r="J29" s="29">
        <v>0</v>
      </c>
      <c r="K29" s="29">
        <v>0</v>
      </c>
      <c r="L29" s="41">
        <f t="shared" ref="L29" si="250">ROUNDUP((K29/V29),0)</f>
        <v>0</v>
      </c>
      <c r="M29" s="29">
        <v>0</v>
      </c>
      <c r="N29" s="31">
        <f t="shared" ref="N29" si="251">P29-K29+M29</f>
        <v>0</v>
      </c>
      <c r="O29" s="42">
        <f t="shared" ref="O29" si="252">ROUNDUP((N29/V29),0)</f>
        <v>0</v>
      </c>
      <c r="P29" s="31">
        <f t="shared" ref="P29" si="253">H29-T29</f>
        <v>0</v>
      </c>
      <c r="Q29" s="42">
        <f t="shared" ref="Q29" si="254">L29+O29</f>
        <v>0</v>
      </c>
      <c r="R29" s="28">
        <v>0</v>
      </c>
      <c r="S29" s="97">
        <f t="shared" si="188"/>
        <v>550</v>
      </c>
      <c r="T29" s="97">
        <f t="shared" ref="T29" si="255">R29+S29+J29+M29</f>
        <v>550</v>
      </c>
      <c r="V29" s="28">
        <v>48</v>
      </c>
      <c r="W29" s="95">
        <f t="shared" ref="W29" si="256">B29+X29</f>
        <v>46219</v>
      </c>
      <c r="X29" s="79">
        <v>10</v>
      </c>
      <c r="Y29" s="79">
        <v>600</v>
      </c>
      <c r="Z29" s="2" t="e">
        <f>SUMIF(#REF!,G29,#REF!)</f>
        <v>#REF!</v>
      </c>
      <c r="AA29" s="2">
        <f t="shared" ref="AA29" ca="1" si="257">IF(W29&gt;TODAY(),"프리타임기간중",Q29*Y29*IF(DATE(YEAR(W29),MONTH(W29),1)&lt;DATE(YEAR($AA$2),MONTH($AA$2),1),DATEDIF($AA$2,$AA$3,"D")+1,DATEDIF(W29,$AA$3+1,"d")))</f>
        <v>0</v>
      </c>
      <c r="AB29" s="2" t="str">
        <f t="shared" ref="AB29" ca="1" si="258">IFERROR(Z29+AA29,"")</f>
        <v/>
      </c>
      <c r="AC29" s="103"/>
      <c r="AR29" s="142">
        <v>480</v>
      </c>
      <c r="AZ29" s="2">
        <v>70</v>
      </c>
    </row>
    <row r="30" spans="2:52" s="2" customFormat="1" ht="20.100000000000001" customHeight="1">
      <c r="B30" s="110">
        <v>46209</v>
      </c>
      <c r="C30" s="111" t="s">
        <v>625</v>
      </c>
      <c r="D30" s="112"/>
      <c r="E30" s="113" t="s">
        <v>284</v>
      </c>
      <c r="F30" s="114" t="s">
        <v>644</v>
      </c>
      <c r="G30" s="8" t="str">
        <f t="shared" ref="G30:G31" si="259">C30&amp;F30</f>
        <v>COHEAR685YN066안키모 250g</v>
      </c>
      <c r="H30" s="28">
        <v>800</v>
      </c>
      <c r="I30" s="41">
        <f t="shared" ref="I30:I31" si="260">ROUNDUP((H30/V30),0)</f>
        <v>8</v>
      </c>
      <c r="J30" s="29">
        <v>0</v>
      </c>
      <c r="K30" s="29">
        <v>0</v>
      </c>
      <c r="L30" s="41">
        <f t="shared" ref="L30:L31" si="261">ROUNDUP((K30/V30),0)</f>
        <v>0</v>
      </c>
      <c r="M30" s="29">
        <v>0</v>
      </c>
      <c r="N30" s="31">
        <f t="shared" ref="N30:N31" si="262">P30-K30+M30</f>
        <v>0</v>
      </c>
      <c r="O30" s="42">
        <f t="shared" ref="O30:O31" si="263">ROUNDUP((N30/V30),0)</f>
        <v>0</v>
      </c>
      <c r="P30" s="31">
        <f t="shared" ref="P30:P31" si="264">H30-T30</f>
        <v>0</v>
      </c>
      <c r="Q30" s="42">
        <f t="shared" ref="Q30:Q31" si="265">L30+O30</f>
        <v>0</v>
      </c>
      <c r="R30" s="28">
        <v>0</v>
      </c>
      <c r="S30" s="97">
        <f t="shared" si="188"/>
        <v>800</v>
      </c>
      <c r="T30" s="97">
        <f t="shared" ref="T30:T31" si="266">R30+S30+J30+M30</f>
        <v>800</v>
      </c>
      <c r="V30" s="28">
        <v>100</v>
      </c>
      <c r="W30" s="95">
        <f t="shared" ref="W30:W31" si="267">B30+X30</f>
        <v>46219</v>
      </c>
      <c r="X30" s="79">
        <v>10</v>
      </c>
      <c r="Y30" s="79">
        <v>600</v>
      </c>
      <c r="Z30" s="2" t="e">
        <f>SUMIF(#REF!,G30,#REF!)</f>
        <v>#REF!</v>
      </c>
      <c r="AA30" s="2">
        <f t="shared" ref="AA30:AA31" ca="1" si="268">IF(W30&gt;TODAY(),"프리타임기간중",Q30*Y30*IF(DATE(YEAR(W30),MONTH(W30),1)&lt;DATE(YEAR($AA$2),MONTH($AA$2),1),DATEDIF($AA$2,$AA$3,"D")+1,DATEDIF(W30,$AA$3+1,"d")))</f>
        <v>0</v>
      </c>
      <c r="AB30" s="2" t="str">
        <f t="shared" ref="AB30:AB31" ca="1" si="269">IFERROR(Z30+AA30,"")</f>
        <v/>
      </c>
      <c r="AC30" s="103"/>
      <c r="AS30" s="2">
        <v>800</v>
      </c>
    </row>
    <row r="31" spans="2:52" s="2" customFormat="1" ht="20.100000000000001" customHeight="1">
      <c r="B31" s="110">
        <v>46210</v>
      </c>
      <c r="C31" s="111" t="s">
        <v>649</v>
      </c>
      <c r="D31" s="112" t="s">
        <v>240</v>
      </c>
      <c r="E31" s="113" t="s">
        <v>284</v>
      </c>
      <c r="F31" s="114" t="s">
        <v>635</v>
      </c>
      <c r="G31" s="8" t="str">
        <f t="shared" si="259"/>
        <v>SITTAGIN653306튀긴마늘슬라이스A</v>
      </c>
      <c r="H31" s="28">
        <v>150</v>
      </c>
      <c r="I31" s="41">
        <f t="shared" si="260"/>
        <v>3</v>
      </c>
      <c r="J31" s="29">
        <v>0</v>
      </c>
      <c r="K31" s="29">
        <v>0</v>
      </c>
      <c r="L31" s="41">
        <f t="shared" si="261"/>
        <v>0</v>
      </c>
      <c r="M31" s="29">
        <v>0</v>
      </c>
      <c r="N31" s="31">
        <f t="shared" si="262"/>
        <v>0</v>
      </c>
      <c r="O31" s="42">
        <f t="shared" si="263"/>
        <v>0</v>
      </c>
      <c r="P31" s="31">
        <f t="shared" si="264"/>
        <v>0</v>
      </c>
      <c r="Q31" s="42">
        <f t="shared" si="265"/>
        <v>0</v>
      </c>
      <c r="R31" s="28">
        <v>0</v>
      </c>
      <c r="S31" s="97">
        <f t="shared" si="188"/>
        <v>150</v>
      </c>
      <c r="T31" s="97">
        <f t="shared" si="266"/>
        <v>150</v>
      </c>
      <c r="V31" s="28">
        <v>66</v>
      </c>
      <c r="W31" s="95">
        <f t="shared" si="267"/>
        <v>46220</v>
      </c>
      <c r="X31" s="79">
        <v>10</v>
      </c>
      <c r="Y31" s="79">
        <v>600</v>
      </c>
      <c r="Z31" s="2" t="e">
        <f>SUMIF(#REF!,G31,#REF!)</f>
        <v>#REF!</v>
      </c>
      <c r="AA31" s="2">
        <f t="shared" ca="1" si="268"/>
        <v>0</v>
      </c>
      <c r="AB31" s="2" t="str">
        <f t="shared" ca="1" si="269"/>
        <v/>
      </c>
      <c r="AC31" s="103"/>
      <c r="AV31" s="142">
        <v>150</v>
      </c>
    </row>
    <row r="32" spans="2:52" s="2" customFormat="1" ht="20.100000000000001" customHeight="1">
      <c r="B32" s="110">
        <v>46210</v>
      </c>
      <c r="C32" s="111" t="s">
        <v>634</v>
      </c>
      <c r="D32" s="112"/>
      <c r="E32" s="113" t="s">
        <v>284</v>
      </c>
      <c r="F32" s="114" t="s">
        <v>636</v>
      </c>
      <c r="G32" s="8" t="str">
        <f t="shared" ref="G32:G33" si="270">C32&amp;F32</f>
        <v>SITTAGIN653306튀긴마늘슬라이스B</v>
      </c>
      <c r="H32" s="28">
        <v>700</v>
      </c>
      <c r="I32" s="41">
        <f t="shared" ref="I32:I33" si="271">ROUNDUP((H32/V32),0)</f>
        <v>11</v>
      </c>
      <c r="J32" s="29">
        <v>0</v>
      </c>
      <c r="K32" s="29">
        <v>0</v>
      </c>
      <c r="L32" s="41">
        <f t="shared" ref="L32:L33" si="272">ROUNDUP((K32/V32),0)</f>
        <v>0</v>
      </c>
      <c r="M32" s="29">
        <v>0</v>
      </c>
      <c r="N32" s="31">
        <f t="shared" ref="N32:N33" si="273">P32-K32+M32</f>
        <v>0</v>
      </c>
      <c r="O32" s="42">
        <f t="shared" ref="O32:O33" si="274">ROUNDUP((N32/V32),0)</f>
        <v>0</v>
      </c>
      <c r="P32" s="31">
        <f t="shared" ref="P32:P33" si="275">H32-T32</f>
        <v>0</v>
      </c>
      <c r="Q32" s="42">
        <f t="shared" ref="Q32:Q33" si="276">L32+O32</f>
        <v>0</v>
      </c>
      <c r="R32" s="28">
        <v>0</v>
      </c>
      <c r="S32" s="97">
        <f t="shared" si="188"/>
        <v>700</v>
      </c>
      <c r="T32" s="97">
        <f t="shared" ref="T32:T33" si="277">R32+S32+J32+M32</f>
        <v>700</v>
      </c>
      <c r="V32" s="28">
        <v>66</v>
      </c>
      <c r="W32" s="95">
        <f t="shared" ref="W32:W33" si="278">B32+X32</f>
        <v>46220</v>
      </c>
      <c r="X32" s="79">
        <v>10</v>
      </c>
      <c r="Y32" s="79">
        <v>600</v>
      </c>
      <c r="Z32" s="2" t="e">
        <f>SUMIF(#REF!,G32,#REF!)</f>
        <v>#REF!</v>
      </c>
      <c r="AA32" s="2">
        <f t="shared" ref="AA32:AA33" ca="1" si="279">IF(W32&gt;TODAY(),"프리타임기간중",Q32*Y32*IF(DATE(YEAR(W32),MONTH(W32),1)&lt;DATE(YEAR($AA$2),MONTH($AA$2),1),DATEDIF($AA$2,$AA$3,"D")+1,DATEDIF(W32,$AA$3+1,"d")))</f>
        <v>0</v>
      </c>
      <c r="AB32" s="2" t="str">
        <f t="shared" ref="AB32:AB33" ca="1" si="280">IFERROR(Z32+AA32,"")</f>
        <v/>
      </c>
      <c r="AC32" s="103"/>
      <c r="AW32" s="2">
        <v>700</v>
      </c>
    </row>
    <row r="33" spans="2:70" s="2" customFormat="1" ht="20.100000000000001" customHeight="1">
      <c r="B33" s="110">
        <v>46210</v>
      </c>
      <c r="C33" s="111" t="s">
        <v>634</v>
      </c>
      <c r="D33" s="112"/>
      <c r="E33" s="113" t="s">
        <v>284</v>
      </c>
      <c r="F33" s="114" t="s">
        <v>637</v>
      </c>
      <c r="G33" s="8" t="str">
        <f t="shared" si="270"/>
        <v>SITTAGIN653306튀긴마늘슬라이스 150g</v>
      </c>
      <c r="H33" s="28">
        <v>50</v>
      </c>
      <c r="I33" s="41">
        <f t="shared" si="271"/>
        <v>1</v>
      </c>
      <c r="J33" s="29">
        <v>0</v>
      </c>
      <c r="K33" s="29">
        <v>0</v>
      </c>
      <c r="L33" s="41">
        <f t="shared" si="272"/>
        <v>0</v>
      </c>
      <c r="M33" s="29">
        <v>0</v>
      </c>
      <c r="N33" s="31">
        <f t="shared" si="273"/>
        <v>0</v>
      </c>
      <c r="O33" s="42">
        <f t="shared" si="274"/>
        <v>0</v>
      </c>
      <c r="P33" s="31">
        <f t="shared" si="275"/>
        <v>0</v>
      </c>
      <c r="Q33" s="42">
        <f t="shared" si="276"/>
        <v>0</v>
      </c>
      <c r="R33" s="28">
        <v>0</v>
      </c>
      <c r="S33" s="97">
        <f t="shared" si="188"/>
        <v>50</v>
      </c>
      <c r="T33" s="97">
        <f t="shared" si="277"/>
        <v>50</v>
      </c>
      <c r="V33" s="28">
        <v>50</v>
      </c>
      <c r="W33" s="95">
        <f t="shared" si="278"/>
        <v>46220</v>
      </c>
      <c r="X33" s="79">
        <v>10</v>
      </c>
      <c r="Y33" s="79">
        <v>600</v>
      </c>
      <c r="Z33" s="2" t="e">
        <f>SUMIF(#REF!,G33,#REF!)</f>
        <v>#REF!</v>
      </c>
      <c r="AA33" s="2">
        <f t="shared" ca="1" si="279"/>
        <v>0</v>
      </c>
      <c r="AB33" s="2" t="str">
        <f t="shared" ca="1" si="280"/>
        <v/>
      </c>
      <c r="AC33" s="103"/>
      <c r="AX33" s="2">
        <v>50</v>
      </c>
    </row>
    <row r="34" spans="2:70" s="2" customFormat="1" ht="20.100000000000001" customHeight="1">
      <c r="B34" s="110">
        <v>46210</v>
      </c>
      <c r="C34" s="111" t="s">
        <v>634</v>
      </c>
      <c r="D34" s="112"/>
      <c r="E34" s="113" t="s">
        <v>284</v>
      </c>
      <c r="F34" s="114" t="s">
        <v>638</v>
      </c>
      <c r="G34" s="8" t="str">
        <f t="shared" ref="G34:G35" si="281">C34&amp;F34</f>
        <v>SITTAGIN653306튀긴마늘후레이크300g</v>
      </c>
      <c r="H34" s="28">
        <v>150</v>
      </c>
      <c r="I34" s="41">
        <f t="shared" ref="I34:I35" si="282">ROUNDUP((H34/V34),0)</f>
        <v>3</v>
      </c>
      <c r="J34" s="29">
        <v>0</v>
      </c>
      <c r="K34" s="29">
        <v>0</v>
      </c>
      <c r="L34" s="41">
        <f t="shared" ref="L34:L35" si="283">ROUNDUP((K34/V34),0)</f>
        <v>0</v>
      </c>
      <c r="M34" s="29">
        <v>0</v>
      </c>
      <c r="N34" s="31">
        <f t="shared" ref="N34:N35" si="284">P34-K34+M34</f>
        <v>0</v>
      </c>
      <c r="O34" s="42">
        <f t="shared" ref="O34:O35" si="285">ROUNDUP((N34/V34),0)</f>
        <v>0</v>
      </c>
      <c r="P34" s="31">
        <f t="shared" ref="P34:P35" si="286">H34-T34</f>
        <v>0</v>
      </c>
      <c r="Q34" s="42">
        <f t="shared" ref="Q34:Q35" si="287">L34+O34</f>
        <v>0</v>
      </c>
      <c r="R34" s="28">
        <v>0</v>
      </c>
      <c r="S34" s="97">
        <f t="shared" si="188"/>
        <v>150</v>
      </c>
      <c r="T34" s="97">
        <f t="shared" ref="T34:T35" si="288">R34+S34+J34+M34</f>
        <v>150</v>
      </c>
      <c r="V34" s="28">
        <v>64</v>
      </c>
      <c r="W34" s="95">
        <f t="shared" ref="W34:W35" si="289">B34+X34</f>
        <v>46220</v>
      </c>
      <c r="X34" s="79">
        <v>10</v>
      </c>
      <c r="Y34" s="79">
        <v>600</v>
      </c>
      <c r="Z34" s="2" t="e">
        <f>SUMIF(#REF!,G34,#REF!)</f>
        <v>#REF!</v>
      </c>
      <c r="AA34" s="2">
        <f t="shared" ref="AA34:AA35" ca="1" si="290">IF(W34&gt;TODAY(),"프리타임기간중",Q34*Y34*IF(DATE(YEAR(W34),MONTH(W34),1)&lt;DATE(YEAR($AA$2),MONTH($AA$2),1),DATEDIF($AA$2,$AA$3,"D")+1,DATEDIF(W34,$AA$3+1,"d")))</f>
        <v>0</v>
      </c>
      <c r="AB34" s="2" t="str">
        <f t="shared" ref="AB34:AB35" ca="1" si="291">IFERROR(Z34+AA34,"")</f>
        <v/>
      </c>
      <c r="AC34" s="103"/>
      <c r="AY34" s="2">
        <v>150</v>
      </c>
    </row>
    <row r="35" spans="2:70" s="2" customFormat="1" ht="20.100000000000001" customHeight="1">
      <c r="B35" s="110">
        <v>46212</v>
      </c>
      <c r="C35" s="111" t="s">
        <v>754</v>
      </c>
      <c r="D35" s="112" t="s">
        <v>240</v>
      </c>
      <c r="E35" s="113" t="s">
        <v>284</v>
      </c>
      <c r="F35" s="114" t="s">
        <v>658</v>
      </c>
      <c r="G35" s="8" t="str">
        <f t="shared" si="281"/>
        <v>HSTE26070292목이버섯A</v>
      </c>
      <c r="H35" s="28">
        <v>360</v>
      </c>
      <c r="I35" s="41">
        <f t="shared" si="282"/>
        <v>12</v>
      </c>
      <c r="J35" s="29">
        <v>0</v>
      </c>
      <c r="K35" s="29">
        <v>0</v>
      </c>
      <c r="L35" s="41">
        <f t="shared" si="283"/>
        <v>0</v>
      </c>
      <c r="M35" s="29">
        <v>0</v>
      </c>
      <c r="N35" s="31">
        <f t="shared" si="284"/>
        <v>0</v>
      </c>
      <c r="O35" s="42">
        <f t="shared" si="285"/>
        <v>0</v>
      </c>
      <c r="P35" s="31">
        <f t="shared" si="286"/>
        <v>0</v>
      </c>
      <c r="Q35" s="42">
        <f t="shared" si="287"/>
        <v>0</v>
      </c>
      <c r="R35" s="28">
        <v>0</v>
      </c>
      <c r="S35" s="97">
        <f t="shared" si="188"/>
        <v>360</v>
      </c>
      <c r="T35" s="97">
        <f t="shared" si="288"/>
        <v>360</v>
      </c>
      <c r="V35" s="28">
        <v>30</v>
      </c>
      <c r="W35" s="95">
        <f t="shared" si="289"/>
        <v>46222</v>
      </c>
      <c r="X35" s="79">
        <v>10</v>
      </c>
      <c r="Y35" s="79">
        <v>600</v>
      </c>
      <c r="Z35" s="2" t="e">
        <f>SUMIF(#REF!,G35,#REF!)</f>
        <v>#REF!</v>
      </c>
      <c r="AA35" s="2">
        <f t="shared" ca="1" si="290"/>
        <v>0</v>
      </c>
      <c r="AB35" s="2" t="str">
        <f t="shared" ca="1" si="291"/>
        <v/>
      </c>
      <c r="AC35" s="103"/>
      <c r="BO35" s="142">
        <v>360</v>
      </c>
    </row>
    <row r="36" spans="2:70" s="2" customFormat="1" ht="20.100000000000001" customHeight="1">
      <c r="B36" s="110">
        <v>46212</v>
      </c>
      <c r="C36" s="111" t="s">
        <v>657</v>
      </c>
      <c r="D36" s="112"/>
      <c r="E36" s="113" t="s">
        <v>284</v>
      </c>
      <c r="F36" s="114" t="s">
        <v>659</v>
      </c>
      <c r="G36" s="8" t="str">
        <f t="shared" ref="G36:G37" si="292">C36&amp;F36</f>
        <v>HSTE26070292목이버섯B</v>
      </c>
      <c r="H36" s="28">
        <v>76</v>
      </c>
      <c r="I36" s="41">
        <f t="shared" ref="I36:I37" si="293">ROUNDUP((H36/V36),0)</f>
        <v>3</v>
      </c>
      <c r="J36" s="29">
        <v>0</v>
      </c>
      <c r="K36" s="29">
        <v>0</v>
      </c>
      <c r="L36" s="41">
        <f t="shared" ref="L36:L37" si="294">ROUNDUP((K36/V36),0)</f>
        <v>0</v>
      </c>
      <c r="M36" s="29">
        <v>0</v>
      </c>
      <c r="N36" s="31">
        <f t="shared" ref="N36:N37" si="295">P36-K36+M36</f>
        <v>0</v>
      </c>
      <c r="O36" s="42">
        <f t="shared" ref="O36:O37" si="296">ROUNDUP((N36/V36),0)</f>
        <v>0</v>
      </c>
      <c r="P36" s="31">
        <f t="shared" ref="P36:P37" si="297">H36-T36</f>
        <v>0</v>
      </c>
      <c r="Q36" s="42">
        <f t="shared" ref="Q36:Q37" si="298">L36+O36</f>
        <v>0</v>
      </c>
      <c r="R36" s="28">
        <v>0</v>
      </c>
      <c r="S36" s="97">
        <f t="shared" si="188"/>
        <v>76</v>
      </c>
      <c r="T36" s="97">
        <f t="shared" ref="T36:T37" si="299">R36+S36+J36+M36</f>
        <v>76</v>
      </c>
      <c r="V36" s="28">
        <v>30</v>
      </c>
      <c r="W36" s="95">
        <f t="shared" ref="W36:W37" si="300">B36+X36</f>
        <v>46222</v>
      </c>
      <c r="X36" s="79">
        <v>10</v>
      </c>
      <c r="Y36" s="79">
        <v>600</v>
      </c>
      <c r="Z36" s="2" t="e">
        <f>SUMIF(#REF!,G36,#REF!)</f>
        <v>#REF!</v>
      </c>
      <c r="AA36" s="2">
        <f t="shared" ref="AA36:AA37" ca="1" si="301">IF(W36&gt;TODAY(),"프리타임기간중",Q36*Y36*IF(DATE(YEAR(W36),MONTH(W36),1)&lt;DATE(YEAR($AA$2),MONTH($AA$2),1),DATEDIF($AA$2,$AA$3,"D")+1,DATEDIF(W36,$AA$3+1,"d")))</f>
        <v>0</v>
      </c>
      <c r="AB36" s="2" t="str">
        <f t="shared" ref="AB36:AB37" ca="1" si="302">IFERROR(Z36+AA36,"")</f>
        <v/>
      </c>
      <c r="AC36" s="103"/>
      <c r="BP36" s="2">
        <v>76</v>
      </c>
    </row>
    <row r="37" spans="2:70" s="2" customFormat="1" ht="20.100000000000001" customHeight="1">
      <c r="B37" s="110">
        <v>46212</v>
      </c>
      <c r="C37" s="111" t="s">
        <v>754</v>
      </c>
      <c r="D37" s="112"/>
      <c r="E37" s="113" t="s">
        <v>284</v>
      </c>
      <c r="F37" s="114" t="s">
        <v>660</v>
      </c>
      <c r="G37" s="8" t="str">
        <f t="shared" si="292"/>
        <v>HSTE26070292유부롤튀김</v>
      </c>
      <c r="H37" s="28">
        <v>30</v>
      </c>
      <c r="I37" s="41">
        <f t="shared" si="293"/>
        <v>2</v>
      </c>
      <c r="J37" s="29">
        <v>0</v>
      </c>
      <c r="K37" s="29">
        <v>0</v>
      </c>
      <c r="L37" s="41">
        <f t="shared" si="294"/>
        <v>0</v>
      </c>
      <c r="M37" s="29">
        <v>0</v>
      </c>
      <c r="N37" s="31">
        <f t="shared" si="295"/>
        <v>0</v>
      </c>
      <c r="O37" s="42">
        <f t="shared" si="296"/>
        <v>0</v>
      </c>
      <c r="P37" s="31">
        <f t="shared" si="297"/>
        <v>0</v>
      </c>
      <c r="Q37" s="42">
        <f t="shared" si="298"/>
        <v>0</v>
      </c>
      <c r="R37" s="28">
        <v>0</v>
      </c>
      <c r="S37" s="97">
        <f t="shared" si="188"/>
        <v>30</v>
      </c>
      <c r="T37" s="97">
        <f t="shared" si="299"/>
        <v>30</v>
      </c>
      <c r="V37" s="28">
        <v>24</v>
      </c>
      <c r="W37" s="95">
        <f t="shared" si="300"/>
        <v>46222</v>
      </c>
      <c r="X37" s="79">
        <v>10</v>
      </c>
      <c r="Y37" s="79">
        <v>600</v>
      </c>
      <c r="Z37" s="2" t="e">
        <f>SUMIF(#REF!,G37,#REF!)</f>
        <v>#REF!</v>
      </c>
      <c r="AA37" s="2">
        <f t="shared" ca="1" si="301"/>
        <v>0</v>
      </c>
      <c r="AB37" s="2" t="str">
        <f t="shared" ca="1" si="302"/>
        <v/>
      </c>
      <c r="AC37" s="103"/>
      <c r="BQ37" s="2">
        <v>30</v>
      </c>
    </row>
    <row r="38" spans="2:70" s="2" customFormat="1" ht="20.100000000000001" customHeight="1">
      <c r="B38" s="110">
        <v>46212</v>
      </c>
      <c r="C38" s="111" t="s">
        <v>673</v>
      </c>
      <c r="D38" s="112" t="s">
        <v>240</v>
      </c>
      <c r="E38" s="113" t="s">
        <v>284</v>
      </c>
      <c r="F38" s="114" t="s">
        <v>666</v>
      </c>
      <c r="G38" s="8" t="str">
        <f t="shared" ref="G38:G39" si="303">C38&amp;F38</f>
        <v>SITTAGIN657094후쿠진스케</v>
      </c>
      <c r="H38" s="28">
        <v>300</v>
      </c>
      <c r="I38" s="41">
        <f t="shared" ref="I38:I39" si="304">ROUNDUP((H38/V38),0)</f>
        <v>3</v>
      </c>
      <c r="J38" s="29">
        <v>0</v>
      </c>
      <c r="K38" s="29">
        <v>0</v>
      </c>
      <c r="L38" s="41">
        <f t="shared" ref="L38:L39" si="305">ROUNDUP((K38/V38),0)</f>
        <v>0</v>
      </c>
      <c r="M38" s="29">
        <v>0</v>
      </c>
      <c r="N38" s="31">
        <f t="shared" ref="N38:N39" si="306">P38-K38+M38</f>
        <v>0</v>
      </c>
      <c r="O38" s="42">
        <f t="shared" ref="O38:O39" si="307">ROUNDUP((N38/V38),0)</f>
        <v>0</v>
      </c>
      <c r="P38" s="31">
        <f t="shared" ref="P38:P39" si="308">H38-T38</f>
        <v>0</v>
      </c>
      <c r="Q38" s="42">
        <f t="shared" ref="Q38:Q39" si="309">L38+O38</f>
        <v>0</v>
      </c>
      <c r="R38" s="28">
        <v>0</v>
      </c>
      <c r="S38" s="97">
        <f t="shared" si="188"/>
        <v>300</v>
      </c>
      <c r="T38" s="97">
        <f t="shared" ref="T38:T39" si="310">R38+S38+J38+M38</f>
        <v>300</v>
      </c>
      <c r="V38" s="28">
        <v>120</v>
      </c>
      <c r="W38" s="95">
        <f t="shared" ref="W38:W39" si="311">B38+X38</f>
        <v>46222</v>
      </c>
      <c r="X38" s="79">
        <v>10</v>
      </c>
      <c r="Y38" s="79">
        <v>600</v>
      </c>
      <c r="Z38" s="2" t="e">
        <f>SUMIF(#REF!,G38,#REF!)</f>
        <v>#REF!</v>
      </c>
      <c r="AA38" s="2">
        <f t="shared" ref="AA38:AA39" ca="1" si="312">IF(W38&gt;TODAY(),"프리타임기간중",Q38*Y38*IF(DATE(YEAR(W38),MONTH(W38),1)&lt;DATE(YEAR($AA$2),MONTH($AA$2),1),DATEDIF($AA$2,$AA$3,"D")+1,DATEDIF(W38,$AA$3+1,"d")))</f>
        <v>0</v>
      </c>
      <c r="AB38" s="2" t="str">
        <f t="shared" ref="AB38:AB39" ca="1" si="313">IFERROR(Z38+AA38,"")</f>
        <v/>
      </c>
      <c r="AC38" s="103"/>
      <c r="BH38" s="142">
        <v>300</v>
      </c>
    </row>
    <row r="39" spans="2:70" s="2" customFormat="1" ht="20.100000000000001" customHeight="1">
      <c r="B39" s="110">
        <v>46212</v>
      </c>
      <c r="C39" s="111" t="s">
        <v>665</v>
      </c>
      <c r="D39" s="112"/>
      <c r="E39" s="113" t="s">
        <v>284</v>
      </c>
      <c r="F39" s="114" t="s">
        <v>667</v>
      </c>
      <c r="G39" s="8" t="str">
        <f t="shared" si="303"/>
        <v>SITTAGIN657094아오갓빠스케</v>
      </c>
      <c r="H39" s="28">
        <v>300</v>
      </c>
      <c r="I39" s="41">
        <f t="shared" si="304"/>
        <v>3</v>
      </c>
      <c r="J39" s="29">
        <v>0</v>
      </c>
      <c r="K39" s="29">
        <v>0</v>
      </c>
      <c r="L39" s="41">
        <f t="shared" si="305"/>
        <v>0</v>
      </c>
      <c r="M39" s="29">
        <v>0</v>
      </c>
      <c r="N39" s="31">
        <f t="shared" si="306"/>
        <v>0</v>
      </c>
      <c r="O39" s="42">
        <f t="shared" si="307"/>
        <v>0</v>
      </c>
      <c r="P39" s="31">
        <f t="shared" si="308"/>
        <v>0</v>
      </c>
      <c r="Q39" s="42">
        <f t="shared" si="309"/>
        <v>0</v>
      </c>
      <c r="R39" s="28">
        <v>0</v>
      </c>
      <c r="S39" s="97">
        <f t="shared" si="188"/>
        <v>300</v>
      </c>
      <c r="T39" s="97">
        <f t="shared" si="310"/>
        <v>300</v>
      </c>
      <c r="V39" s="28">
        <v>120</v>
      </c>
      <c r="W39" s="95">
        <f t="shared" si="311"/>
        <v>46222</v>
      </c>
      <c r="X39" s="79">
        <v>10</v>
      </c>
      <c r="Y39" s="79">
        <v>600</v>
      </c>
      <c r="Z39" s="2" t="e">
        <f>SUMIF(#REF!,G39,#REF!)</f>
        <v>#REF!</v>
      </c>
      <c r="AA39" s="2">
        <f t="shared" ca="1" si="312"/>
        <v>0</v>
      </c>
      <c r="AB39" s="2" t="str">
        <f t="shared" ca="1" si="313"/>
        <v/>
      </c>
      <c r="AC39" s="103"/>
      <c r="BI39" s="2">
        <v>300</v>
      </c>
    </row>
    <row r="40" spans="2:70" s="2" customFormat="1" ht="20.100000000000001" customHeight="1">
      <c r="B40" s="110">
        <v>46212</v>
      </c>
      <c r="C40" s="111" t="s">
        <v>665</v>
      </c>
      <c r="D40" s="112"/>
      <c r="E40" s="113" t="s">
        <v>284</v>
      </c>
      <c r="F40" s="114" t="s">
        <v>668</v>
      </c>
      <c r="G40" s="8" t="str">
        <f t="shared" ref="G40:G41" si="314">C40&amp;F40</f>
        <v>SITTAGIN657094시바스케</v>
      </c>
      <c r="H40" s="28">
        <v>50</v>
      </c>
      <c r="I40" s="41">
        <f t="shared" ref="I40:I41" si="315">ROUNDUP((H40/V40),0)</f>
        <v>1</v>
      </c>
      <c r="J40" s="29">
        <v>0</v>
      </c>
      <c r="K40" s="29">
        <v>0</v>
      </c>
      <c r="L40" s="41">
        <f t="shared" ref="L40:L41" si="316">ROUNDUP((K40/V40),0)</f>
        <v>0</v>
      </c>
      <c r="M40" s="29">
        <v>0</v>
      </c>
      <c r="N40" s="31">
        <f t="shared" ref="N40:N41" si="317">P40-K40+M40</f>
        <v>0</v>
      </c>
      <c r="O40" s="42">
        <f t="shared" ref="O40:O41" si="318">ROUNDUP((N40/V40),0)</f>
        <v>0</v>
      </c>
      <c r="P40" s="31">
        <f t="shared" ref="P40:P41" si="319">H40-T40</f>
        <v>0</v>
      </c>
      <c r="Q40" s="42">
        <f t="shared" ref="Q40:Q41" si="320">L40+O40</f>
        <v>0</v>
      </c>
      <c r="R40" s="28">
        <v>0</v>
      </c>
      <c r="S40" s="97">
        <f t="shared" si="188"/>
        <v>50</v>
      </c>
      <c r="T40" s="97">
        <f t="shared" ref="T40:T41" si="321">R40+S40+J40+M40</f>
        <v>50</v>
      </c>
      <c r="V40" s="28">
        <v>50</v>
      </c>
      <c r="W40" s="95">
        <f t="shared" ref="W40:W41" si="322">B40+X40</f>
        <v>46222</v>
      </c>
      <c r="X40" s="79">
        <v>10</v>
      </c>
      <c r="Y40" s="79">
        <v>600</v>
      </c>
      <c r="Z40" s="2" t="e">
        <f>SUMIF(#REF!,G40,#REF!)</f>
        <v>#REF!</v>
      </c>
      <c r="AA40" s="2">
        <f t="shared" ref="AA40:AA41" ca="1" si="323">IF(W40&gt;TODAY(),"프리타임기간중",Q40*Y40*IF(DATE(YEAR(W40),MONTH(W40),1)&lt;DATE(YEAR($AA$2),MONTH($AA$2),1),DATEDIF($AA$2,$AA$3,"D")+1,DATEDIF(W40,$AA$3+1,"d")))</f>
        <v>0</v>
      </c>
      <c r="AB40" s="2" t="str">
        <f t="shared" ref="AB40:AB41" ca="1" si="324">IFERROR(Z40+AA40,"")</f>
        <v/>
      </c>
      <c r="AC40" s="103"/>
      <c r="BJ40" s="2">
        <v>50</v>
      </c>
    </row>
    <row r="41" spans="2:70" s="2" customFormat="1" ht="20.100000000000001" customHeight="1">
      <c r="B41" s="110">
        <v>46212</v>
      </c>
      <c r="C41" s="111" t="s">
        <v>665</v>
      </c>
      <c r="D41" s="112"/>
      <c r="E41" s="113" t="s">
        <v>284</v>
      </c>
      <c r="F41" s="114" t="s">
        <v>669</v>
      </c>
      <c r="G41" s="8" t="str">
        <f t="shared" si="314"/>
        <v>SITTAGIN657094타카나</v>
      </c>
      <c r="H41" s="28">
        <v>1300</v>
      </c>
      <c r="I41" s="41">
        <f t="shared" si="315"/>
        <v>11</v>
      </c>
      <c r="J41" s="29">
        <v>0</v>
      </c>
      <c r="K41" s="29">
        <v>0</v>
      </c>
      <c r="L41" s="41">
        <f t="shared" si="316"/>
        <v>0</v>
      </c>
      <c r="M41" s="29">
        <v>0</v>
      </c>
      <c r="N41" s="31">
        <f t="shared" si="317"/>
        <v>0</v>
      </c>
      <c r="O41" s="42">
        <f t="shared" si="318"/>
        <v>0</v>
      </c>
      <c r="P41" s="31">
        <f t="shared" si="319"/>
        <v>0</v>
      </c>
      <c r="Q41" s="42">
        <f t="shared" si="320"/>
        <v>0</v>
      </c>
      <c r="R41" s="28">
        <v>0</v>
      </c>
      <c r="S41" s="97">
        <f t="shared" si="188"/>
        <v>1300</v>
      </c>
      <c r="T41" s="97">
        <f t="shared" si="321"/>
        <v>1300</v>
      </c>
      <c r="V41" s="28">
        <v>120</v>
      </c>
      <c r="W41" s="95">
        <f t="shared" si="322"/>
        <v>46222</v>
      </c>
      <c r="X41" s="79">
        <v>10</v>
      </c>
      <c r="Y41" s="79">
        <v>600</v>
      </c>
      <c r="Z41" s="2" t="e">
        <f>SUMIF(#REF!,G41,#REF!)</f>
        <v>#REF!</v>
      </c>
      <c r="AA41" s="2">
        <f t="shared" ca="1" si="323"/>
        <v>0</v>
      </c>
      <c r="AB41" s="2" t="str">
        <f t="shared" ca="1" si="324"/>
        <v/>
      </c>
      <c r="AC41" s="103"/>
      <c r="BK41" s="2">
        <v>1300</v>
      </c>
    </row>
    <row r="42" spans="2:70" s="2" customFormat="1" ht="20.100000000000001" customHeight="1">
      <c r="B42" s="110">
        <v>46212</v>
      </c>
      <c r="C42" s="111" t="s">
        <v>673</v>
      </c>
      <c r="D42" s="112"/>
      <c r="E42" s="113" t="s">
        <v>284</v>
      </c>
      <c r="F42" s="114" t="s">
        <v>670</v>
      </c>
      <c r="G42" s="8" t="str">
        <f t="shared" ref="G42:G51" si="325">C42&amp;F42</f>
        <v>SITTAGIN657094타카나(매운맛)</v>
      </c>
      <c r="H42" s="28">
        <v>100</v>
      </c>
      <c r="I42" s="41">
        <f t="shared" ref="I42:I51" si="326">ROUNDUP((H42/V42),0)</f>
        <v>1</v>
      </c>
      <c r="J42" s="29">
        <v>0</v>
      </c>
      <c r="K42" s="29">
        <v>0</v>
      </c>
      <c r="L42" s="41">
        <f t="shared" ref="L42:L51" si="327">ROUNDUP((K42/V42),0)</f>
        <v>0</v>
      </c>
      <c r="M42" s="29">
        <v>0</v>
      </c>
      <c r="N42" s="31">
        <f t="shared" ref="N42:N51" si="328">P42-K42+M42</f>
        <v>0</v>
      </c>
      <c r="O42" s="42">
        <f t="shared" ref="O42:O51" si="329">ROUNDUP((N42/V42),0)</f>
        <v>0</v>
      </c>
      <c r="P42" s="31">
        <f t="shared" ref="P42:P51" si="330">H42-T42</f>
        <v>0</v>
      </c>
      <c r="Q42" s="42">
        <f t="shared" ref="Q42:Q51" si="331">L42+O42</f>
        <v>0</v>
      </c>
      <c r="R42" s="28">
        <v>0</v>
      </c>
      <c r="S42" s="97">
        <f t="shared" si="188"/>
        <v>100</v>
      </c>
      <c r="T42" s="97">
        <f t="shared" ref="T42:T51" si="332">R42+S42+J42+M42</f>
        <v>100</v>
      </c>
      <c r="V42" s="28">
        <v>100</v>
      </c>
      <c r="W42" s="95">
        <f t="shared" ref="W42:W51" si="333">B42+X42</f>
        <v>46222</v>
      </c>
      <c r="X42" s="79">
        <v>10</v>
      </c>
      <c r="Y42" s="79">
        <v>600</v>
      </c>
      <c r="Z42" s="2" t="e">
        <f>SUMIF(#REF!,G42,#REF!)</f>
        <v>#REF!</v>
      </c>
      <c r="AA42" s="2">
        <f t="shared" ref="AA42:AA51" ca="1" si="334">IF(W42&gt;TODAY(),"프리타임기간중",Q42*Y42*IF(DATE(YEAR(W42),MONTH(W42),1)&lt;DATE(YEAR($AA$2),MONTH($AA$2),1),DATEDIF($AA$2,$AA$3,"D")+1,DATEDIF(W42,$AA$3+1,"d")))</f>
        <v>0</v>
      </c>
      <c r="AB42" s="2" t="str">
        <f t="shared" ref="AB42:AB51" ca="1" si="335">IFERROR(Z42+AA42,"")</f>
        <v/>
      </c>
      <c r="AC42" s="103"/>
      <c r="BL42" s="2">
        <v>100</v>
      </c>
    </row>
    <row r="43" spans="2:70" s="2" customFormat="1" ht="20.100000000000001" customHeight="1">
      <c r="B43" s="110">
        <v>46213</v>
      </c>
      <c r="C43" s="111" t="s">
        <v>755</v>
      </c>
      <c r="D43" s="112" t="s">
        <v>240</v>
      </c>
      <c r="E43" s="113" t="s">
        <v>284</v>
      </c>
      <c r="F43" s="114" t="s">
        <v>756</v>
      </c>
      <c r="G43" s="8" t="str">
        <f t="shared" si="325"/>
        <v>JYPRQD2607006백초생강</v>
      </c>
      <c r="H43" s="28">
        <v>750</v>
      </c>
      <c r="I43" s="41">
        <f t="shared" si="326"/>
        <v>9</v>
      </c>
      <c r="J43" s="29">
        <v>0</v>
      </c>
      <c r="K43" s="29">
        <v>0</v>
      </c>
      <c r="L43" s="41">
        <f t="shared" si="327"/>
        <v>0</v>
      </c>
      <c r="M43" s="29">
        <v>0</v>
      </c>
      <c r="N43" s="31">
        <f t="shared" si="328"/>
        <v>0</v>
      </c>
      <c r="O43" s="42">
        <f t="shared" si="329"/>
        <v>0</v>
      </c>
      <c r="P43" s="31">
        <f t="shared" si="330"/>
        <v>0</v>
      </c>
      <c r="Q43" s="42">
        <f t="shared" si="331"/>
        <v>0</v>
      </c>
      <c r="R43" s="28">
        <v>0</v>
      </c>
      <c r="S43" s="97">
        <f t="shared" si="188"/>
        <v>750</v>
      </c>
      <c r="T43" s="97">
        <f t="shared" si="332"/>
        <v>750</v>
      </c>
      <c r="V43" s="28">
        <v>84</v>
      </c>
      <c r="W43" s="95">
        <f t="shared" si="333"/>
        <v>46223</v>
      </c>
      <c r="X43" s="79">
        <v>10</v>
      </c>
      <c r="Y43" s="79">
        <v>600</v>
      </c>
      <c r="Z43" s="2" t="e">
        <f>SUMIF(#REF!,G43,#REF!)</f>
        <v>#REF!</v>
      </c>
      <c r="AA43" s="2">
        <f t="shared" ca="1" si="334"/>
        <v>0</v>
      </c>
      <c r="AB43" s="2" t="str">
        <f t="shared" ca="1" si="335"/>
        <v/>
      </c>
      <c r="AC43" s="103"/>
      <c r="BA43" s="142">
        <v>420</v>
      </c>
      <c r="BB43" s="142">
        <v>78</v>
      </c>
      <c r="BN43" s="142">
        <v>168</v>
      </c>
      <c r="BR43" s="142">
        <v>84</v>
      </c>
    </row>
    <row r="44" spans="2:70" s="2" customFormat="1" ht="20.100000000000001" customHeight="1">
      <c r="B44" s="110">
        <v>46213</v>
      </c>
      <c r="C44" s="111" t="s">
        <v>684</v>
      </c>
      <c r="D44" s="112"/>
      <c r="E44" s="113" t="s">
        <v>284</v>
      </c>
      <c r="F44" s="114" t="s">
        <v>690</v>
      </c>
      <c r="G44" s="8" t="str">
        <f t="shared" si="325"/>
        <v>JYPRQD2607006백초생강3KG*4EA</v>
      </c>
      <c r="H44" s="28">
        <v>100</v>
      </c>
      <c r="I44" s="41">
        <f t="shared" si="326"/>
        <v>2</v>
      </c>
      <c r="J44" s="29">
        <v>0</v>
      </c>
      <c r="K44" s="29">
        <v>0</v>
      </c>
      <c r="L44" s="41">
        <f t="shared" si="327"/>
        <v>0</v>
      </c>
      <c r="M44" s="29">
        <v>0</v>
      </c>
      <c r="N44" s="31">
        <f t="shared" si="328"/>
        <v>0</v>
      </c>
      <c r="O44" s="42">
        <f t="shared" si="329"/>
        <v>0</v>
      </c>
      <c r="P44" s="31">
        <f t="shared" si="330"/>
        <v>0</v>
      </c>
      <c r="Q44" s="42">
        <f t="shared" si="331"/>
        <v>0</v>
      </c>
      <c r="R44" s="28">
        <v>0</v>
      </c>
      <c r="S44" s="97">
        <f t="shared" si="188"/>
        <v>100</v>
      </c>
      <c r="T44" s="97">
        <f t="shared" si="332"/>
        <v>100</v>
      </c>
      <c r="V44" s="28">
        <v>84</v>
      </c>
      <c r="W44" s="95">
        <f t="shared" si="333"/>
        <v>46223</v>
      </c>
      <c r="X44" s="79">
        <v>10</v>
      </c>
      <c r="Y44" s="79">
        <v>600</v>
      </c>
      <c r="Z44" s="2" t="e">
        <f>SUMIF(#REF!,G44,#REF!)</f>
        <v>#REF!</v>
      </c>
      <c r="AA44" s="2">
        <f t="shared" ca="1" si="334"/>
        <v>0</v>
      </c>
      <c r="AB44" s="2" t="str">
        <f t="shared" ca="1" si="335"/>
        <v/>
      </c>
      <c r="AC44" s="103"/>
      <c r="BC44" s="2">
        <v>100</v>
      </c>
    </row>
    <row r="45" spans="2:70" s="2" customFormat="1" ht="20.100000000000001" customHeight="1">
      <c r="B45" s="110">
        <v>46213</v>
      </c>
      <c r="C45" s="111" t="s">
        <v>684</v>
      </c>
      <c r="D45" s="112"/>
      <c r="E45" s="113" t="s">
        <v>284</v>
      </c>
      <c r="F45" s="114" t="s">
        <v>453</v>
      </c>
      <c r="G45" s="8" t="str">
        <f t="shared" si="325"/>
        <v>JYPRQD2607006적초생강</v>
      </c>
      <c r="H45" s="28">
        <v>400</v>
      </c>
      <c r="I45" s="41">
        <f t="shared" si="326"/>
        <v>5</v>
      </c>
      <c r="J45" s="29">
        <v>0</v>
      </c>
      <c r="K45" s="29">
        <v>0</v>
      </c>
      <c r="L45" s="41">
        <f t="shared" si="327"/>
        <v>0</v>
      </c>
      <c r="M45" s="29">
        <v>0</v>
      </c>
      <c r="N45" s="31">
        <f t="shared" si="328"/>
        <v>0</v>
      </c>
      <c r="O45" s="42">
        <f t="shared" si="329"/>
        <v>0</v>
      </c>
      <c r="P45" s="31">
        <f t="shared" si="330"/>
        <v>0</v>
      </c>
      <c r="Q45" s="42">
        <f t="shared" si="331"/>
        <v>0</v>
      </c>
      <c r="R45" s="28">
        <v>0</v>
      </c>
      <c r="S45" s="97">
        <f t="shared" si="188"/>
        <v>400</v>
      </c>
      <c r="T45" s="97">
        <f t="shared" si="332"/>
        <v>400</v>
      </c>
      <c r="V45" s="28">
        <v>84</v>
      </c>
      <c r="W45" s="95">
        <f t="shared" si="333"/>
        <v>46223</v>
      </c>
      <c r="X45" s="79">
        <v>10</v>
      </c>
      <c r="Y45" s="79">
        <v>600</v>
      </c>
      <c r="Z45" s="2" t="e">
        <f>SUMIF(#REF!,G45,#REF!)</f>
        <v>#REF!</v>
      </c>
      <c r="AA45" s="2">
        <f t="shared" ca="1" si="334"/>
        <v>0</v>
      </c>
      <c r="AB45" s="2" t="str">
        <f t="shared" ca="1" si="335"/>
        <v/>
      </c>
      <c r="AC45" s="103"/>
      <c r="BD45" s="2">
        <v>400</v>
      </c>
    </row>
    <row r="46" spans="2:70" s="2" customFormat="1" ht="20.100000000000001" customHeight="1">
      <c r="B46" s="110">
        <v>46213</v>
      </c>
      <c r="C46" s="111" t="s">
        <v>684</v>
      </c>
      <c r="D46" s="112"/>
      <c r="E46" s="113" t="s">
        <v>284</v>
      </c>
      <c r="F46" s="114" t="s">
        <v>454</v>
      </c>
      <c r="G46" s="8" t="str">
        <f t="shared" si="325"/>
        <v>JYPRQD2607006백초생강(채)</v>
      </c>
      <c r="H46" s="28">
        <v>200</v>
      </c>
      <c r="I46" s="41">
        <f t="shared" si="326"/>
        <v>3</v>
      </c>
      <c r="J46" s="29">
        <v>0</v>
      </c>
      <c r="K46" s="29">
        <v>0</v>
      </c>
      <c r="L46" s="41">
        <f t="shared" si="327"/>
        <v>0</v>
      </c>
      <c r="M46" s="29">
        <v>0</v>
      </c>
      <c r="N46" s="31">
        <f t="shared" si="328"/>
        <v>0</v>
      </c>
      <c r="O46" s="42">
        <f t="shared" si="329"/>
        <v>0</v>
      </c>
      <c r="P46" s="31">
        <f t="shared" si="330"/>
        <v>0</v>
      </c>
      <c r="Q46" s="42">
        <f t="shared" si="331"/>
        <v>0</v>
      </c>
      <c r="R46" s="28">
        <v>0</v>
      </c>
      <c r="S46" s="97">
        <f t="shared" si="188"/>
        <v>200</v>
      </c>
      <c r="T46" s="97">
        <f t="shared" si="332"/>
        <v>200</v>
      </c>
      <c r="V46" s="28">
        <v>84</v>
      </c>
      <c r="W46" s="95">
        <f t="shared" si="333"/>
        <v>46223</v>
      </c>
      <c r="X46" s="79">
        <v>10</v>
      </c>
      <c r="Y46" s="79">
        <v>600</v>
      </c>
      <c r="Z46" s="2" t="e">
        <f>SUMIF(#REF!,G46,#REF!)</f>
        <v>#REF!</v>
      </c>
      <c r="AA46" s="2">
        <f t="shared" ca="1" si="334"/>
        <v>0</v>
      </c>
      <c r="AB46" s="2" t="str">
        <f t="shared" ca="1" si="335"/>
        <v/>
      </c>
      <c r="AC46" s="103"/>
      <c r="BE46" s="2">
        <v>200</v>
      </c>
    </row>
    <row r="47" spans="2:70" s="2" customFormat="1" ht="20.100000000000001" customHeight="1">
      <c r="B47" s="110">
        <v>46213</v>
      </c>
      <c r="C47" s="111" t="s">
        <v>684</v>
      </c>
      <c r="D47" s="112"/>
      <c r="E47" s="113" t="s">
        <v>284</v>
      </c>
      <c r="F47" s="114" t="s">
        <v>456</v>
      </c>
      <c r="G47" s="8" t="str">
        <f t="shared" ref="G47:G49" si="336">C47&amp;F47</f>
        <v>JYPRQD2607006적초생강(채)</v>
      </c>
      <c r="H47" s="28">
        <v>250</v>
      </c>
      <c r="I47" s="41">
        <f t="shared" ref="I47:I49" si="337">ROUNDUP((H47/V47),0)</f>
        <v>3</v>
      </c>
      <c r="J47" s="29">
        <v>0</v>
      </c>
      <c r="K47" s="29">
        <v>0</v>
      </c>
      <c r="L47" s="41">
        <f t="shared" ref="L47:L49" si="338">ROUNDUP((K47/V47),0)</f>
        <v>0</v>
      </c>
      <c r="M47" s="29">
        <v>0</v>
      </c>
      <c r="N47" s="31">
        <f t="shared" ref="N47:N49" si="339">P47-K47+M47</f>
        <v>0</v>
      </c>
      <c r="O47" s="42">
        <f t="shared" ref="O47:O49" si="340">ROUNDUP((N47/V47),0)</f>
        <v>0</v>
      </c>
      <c r="P47" s="31">
        <f t="shared" ref="P47:P49" si="341">H47-T47</f>
        <v>0</v>
      </c>
      <c r="Q47" s="42">
        <f t="shared" ref="Q47:Q49" si="342">L47+O47</f>
        <v>0</v>
      </c>
      <c r="R47" s="28">
        <v>0</v>
      </c>
      <c r="S47" s="97">
        <f t="shared" si="188"/>
        <v>250</v>
      </c>
      <c r="T47" s="97">
        <f t="shared" ref="T47:T49" si="343">R47+S47+J47+M47</f>
        <v>250</v>
      </c>
      <c r="V47" s="28">
        <v>84</v>
      </c>
      <c r="W47" s="95">
        <f t="shared" ref="W47:W49" si="344">B47+X47</f>
        <v>46223</v>
      </c>
      <c r="X47" s="79">
        <v>10</v>
      </c>
      <c r="Y47" s="79">
        <v>600</v>
      </c>
      <c r="Z47" s="2" t="e">
        <f>SUMIF(#REF!,G47,#REF!)</f>
        <v>#REF!</v>
      </c>
      <c r="AA47" s="2">
        <f t="shared" ref="AA47:AA49" ca="1" si="345">IF(W47&gt;TODAY(),"프리타임기간중",Q47*Y47*IF(DATE(YEAR(W47),MONTH(W47),1)&lt;DATE(YEAR($AA$2),MONTH($AA$2),1),DATEDIF($AA$2,$AA$3,"D")+1,DATEDIF(W47,$AA$3+1,"d")))</f>
        <v>0</v>
      </c>
      <c r="AB47" s="2" t="str">
        <f t="shared" ref="AB47:AB49" ca="1" si="346">IFERROR(Z47+AA47,"")</f>
        <v/>
      </c>
      <c r="AC47" s="103"/>
      <c r="BF47" s="2">
        <v>250</v>
      </c>
    </row>
    <row r="48" spans="2:70" s="2" customFormat="1" ht="20.100000000000001" customHeight="1">
      <c r="B48" s="110">
        <v>46213</v>
      </c>
      <c r="C48" s="111" t="s">
        <v>755</v>
      </c>
      <c r="D48" s="112"/>
      <c r="E48" s="113" t="s">
        <v>284</v>
      </c>
      <c r="F48" s="114" t="s">
        <v>457</v>
      </c>
      <c r="G48" s="8" t="str">
        <f t="shared" si="336"/>
        <v>JYPRQD2607006공박스</v>
      </c>
      <c r="H48" s="28">
        <v>80</v>
      </c>
      <c r="I48" s="41">
        <f>ROUNDUP((H48/V48),0)-1</f>
        <v>0</v>
      </c>
      <c r="J48" s="29">
        <v>0</v>
      </c>
      <c r="K48" s="29">
        <v>0</v>
      </c>
      <c r="L48" s="41">
        <f t="shared" si="338"/>
        <v>0</v>
      </c>
      <c r="M48" s="29">
        <v>0</v>
      </c>
      <c r="N48" s="31">
        <f t="shared" si="339"/>
        <v>0</v>
      </c>
      <c r="O48" s="42">
        <f>ROUNDUP((N48/V48),0)</f>
        <v>0</v>
      </c>
      <c r="P48" s="31">
        <f t="shared" si="341"/>
        <v>0</v>
      </c>
      <c r="Q48" s="42">
        <f t="shared" si="342"/>
        <v>0</v>
      </c>
      <c r="R48" s="28">
        <v>0</v>
      </c>
      <c r="S48" s="97">
        <f t="shared" si="188"/>
        <v>80</v>
      </c>
      <c r="T48" s="97">
        <f t="shared" si="343"/>
        <v>80</v>
      </c>
      <c r="V48" s="28">
        <v>80</v>
      </c>
      <c r="W48" s="95">
        <f t="shared" si="344"/>
        <v>46223</v>
      </c>
      <c r="X48" s="79">
        <v>10</v>
      </c>
      <c r="Y48" s="79">
        <v>600</v>
      </c>
      <c r="Z48" s="2" t="e">
        <f>SUMIF(#REF!,G48,#REF!)</f>
        <v>#REF!</v>
      </c>
      <c r="AA48" s="2">
        <f t="shared" ca="1" si="345"/>
        <v>0</v>
      </c>
      <c r="AB48" s="2" t="str">
        <f t="shared" ca="1" si="346"/>
        <v/>
      </c>
      <c r="AC48" s="103"/>
      <c r="BG48" s="2">
        <v>80</v>
      </c>
    </row>
    <row r="49" spans="2:82" s="2" customFormat="1" ht="20.100000000000001" customHeight="1">
      <c r="B49" s="110">
        <v>46216</v>
      </c>
      <c r="C49" s="111" t="s">
        <v>707</v>
      </c>
      <c r="D49" s="112" t="s">
        <v>240</v>
      </c>
      <c r="E49" s="113" t="s">
        <v>284</v>
      </c>
      <c r="F49" s="114" t="s">
        <v>708</v>
      </c>
      <c r="G49" s="8" t="str">
        <f t="shared" si="336"/>
        <v>HCMKRINC260770튀긴마늘칩</v>
      </c>
      <c r="H49" s="28">
        <v>1050</v>
      </c>
      <c r="I49" s="41">
        <f t="shared" si="337"/>
        <v>18</v>
      </c>
      <c r="J49" s="29">
        <v>0</v>
      </c>
      <c r="K49" s="29">
        <v>0</v>
      </c>
      <c r="L49" s="41">
        <f t="shared" si="338"/>
        <v>0</v>
      </c>
      <c r="M49" s="29">
        <v>0</v>
      </c>
      <c r="N49" s="31">
        <f t="shared" si="339"/>
        <v>0</v>
      </c>
      <c r="O49" s="42">
        <f t="shared" si="340"/>
        <v>0</v>
      </c>
      <c r="P49" s="31">
        <f t="shared" si="341"/>
        <v>0</v>
      </c>
      <c r="Q49" s="42">
        <f t="shared" si="342"/>
        <v>0</v>
      </c>
      <c r="R49" s="28">
        <v>0</v>
      </c>
      <c r="S49" s="97">
        <f t="shared" si="188"/>
        <v>1050</v>
      </c>
      <c r="T49" s="97">
        <f t="shared" si="343"/>
        <v>1050</v>
      </c>
      <c r="V49" s="28">
        <v>60</v>
      </c>
      <c r="W49" s="95">
        <f t="shared" si="344"/>
        <v>46226</v>
      </c>
      <c r="X49" s="79">
        <v>10</v>
      </c>
      <c r="Y49" s="79">
        <v>600</v>
      </c>
      <c r="Z49" s="2" t="e">
        <f>SUMIF(#REF!,G49,#REF!)</f>
        <v>#REF!</v>
      </c>
      <c r="AA49" s="2">
        <f t="shared" ca="1" si="345"/>
        <v>0</v>
      </c>
      <c r="AB49" s="2" t="str">
        <f t="shared" ca="1" si="346"/>
        <v/>
      </c>
      <c r="AC49" s="103"/>
      <c r="BM49" s="142">
        <v>1050</v>
      </c>
    </row>
    <row r="50" spans="2:82" s="2" customFormat="1" ht="20.100000000000001" customHeight="1">
      <c r="B50" s="110">
        <v>46219</v>
      </c>
      <c r="C50" s="111" t="s">
        <v>811</v>
      </c>
      <c r="D50" s="112" t="s">
        <v>240</v>
      </c>
      <c r="E50" s="113" t="s">
        <v>284</v>
      </c>
      <c r="F50" s="114" t="s">
        <v>288</v>
      </c>
      <c r="G50" s="8" t="str">
        <f t="shared" ref="G50" si="347">C50&amp;F50</f>
        <v>YZJHP2268EQDIH906단무지(슬)</v>
      </c>
      <c r="H50" s="28">
        <v>300</v>
      </c>
      <c r="I50" s="41">
        <f t="shared" ref="I50" si="348">ROUNDUP((H50/V50),0)</f>
        <v>3</v>
      </c>
      <c r="J50" s="29">
        <v>0</v>
      </c>
      <c r="K50" s="29">
        <v>0</v>
      </c>
      <c r="L50" s="41">
        <f t="shared" ref="L50" si="349">ROUNDUP((K50/V50),0)</f>
        <v>0</v>
      </c>
      <c r="M50" s="29">
        <v>0</v>
      </c>
      <c r="N50" s="31">
        <f t="shared" ref="N50" si="350">P50-K50+M50</f>
        <v>0</v>
      </c>
      <c r="O50" s="42">
        <f t="shared" ref="O50" si="351">ROUNDUP((N50/V50),0)</f>
        <v>0</v>
      </c>
      <c r="P50" s="31">
        <f t="shared" ref="P50" si="352">H50-T50</f>
        <v>0</v>
      </c>
      <c r="Q50" s="42">
        <f t="shared" ref="Q50" si="353">L50+O50</f>
        <v>0</v>
      </c>
      <c r="R50" s="28">
        <v>0</v>
      </c>
      <c r="S50" s="97">
        <f t="shared" si="188"/>
        <v>300</v>
      </c>
      <c r="T50" s="97">
        <f t="shared" ref="T50" si="354">R50+S50+J50+M50</f>
        <v>300</v>
      </c>
      <c r="V50" s="28">
        <v>120</v>
      </c>
      <c r="W50" s="95">
        <f t="shared" ref="W50" si="355">B50+X50</f>
        <v>46229</v>
      </c>
      <c r="X50" s="79">
        <v>10</v>
      </c>
      <c r="Y50" s="79">
        <v>600</v>
      </c>
      <c r="Z50" s="2" t="e">
        <f>SUMIF(#REF!,G50,#REF!)</f>
        <v>#REF!</v>
      </c>
      <c r="AA50" s="2">
        <f t="shared" ref="AA50" ca="1" si="356">IF(W50&gt;TODAY(),"프리타임기간중",Q50*Y50*IF(DATE(YEAR(W50),MONTH(W50),1)&lt;DATE(YEAR($AA$2),MONTH($AA$2),1),DATEDIF($AA$2,$AA$3,"D")+1,DATEDIF(W50,$AA$3+1,"d")))</f>
        <v>0</v>
      </c>
      <c r="AB50" s="2" t="str">
        <f t="shared" ref="AB50" ca="1" si="357">IFERROR(Z50+AA50,"")</f>
        <v/>
      </c>
      <c r="AC50" s="103"/>
      <c r="BS50" s="142">
        <v>300</v>
      </c>
    </row>
    <row r="51" spans="2:82" s="2" customFormat="1" ht="20.100000000000001" customHeight="1">
      <c r="B51" s="110">
        <v>46219</v>
      </c>
      <c r="C51" s="111" t="s">
        <v>767</v>
      </c>
      <c r="D51" s="112"/>
      <c r="E51" s="113" t="s">
        <v>284</v>
      </c>
      <c r="F51" s="114" t="s">
        <v>768</v>
      </c>
      <c r="G51" s="8" t="str">
        <f t="shared" si="325"/>
        <v>YZJHP2268EQDIH906단무지(알밥)</v>
      </c>
      <c r="H51" s="28">
        <v>350</v>
      </c>
      <c r="I51" s="41">
        <f t="shared" si="326"/>
        <v>3</v>
      </c>
      <c r="J51" s="29">
        <v>0</v>
      </c>
      <c r="K51" s="29">
        <v>0</v>
      </c>
      <c r="L51" s="41">
        <f t="shared" si="327"/>
        <v>0</v>
      </c>
      <c r="M51" s="29">
        <v>0</v>
      </c>
      <c r="N51" s="31">
        <f t="shared" si="328"/>
        <v>0</v>
      </c>
      <c r="O51" s="42">
        <f t="shared" si="329"/>
        <v>0</v>
      </c>
      <c r="P51" s="31">
        <f t="shared" si="330"/>
        <v>0</v>
      </c>
      <c r="Q51" s="42">
        <f t="shared" si="331"/>
        <v>0</v>
      </c>
      <c r="R51" s="28">
        <v>0</v>
      </c>
      <c r="S51" s="97">
        <f t="shared" si="188"/>
        <v>350</v>
      </c>
      <c r="T51" s="97">
        <f t="shared" si="332"/>
        <v>350</v>
      </c>
      <c r="V51" s="28">
        <v>120</v>
      </c>
      <c r="W51" s="95">
        <f t="shared" si="333"/>
        <v>46229</v>
      </c>
      <c r="X51" s="79">
        <v>10</v>
      </c>
      <c r="Y51" s="79">
        <v>600</v>
      </c>
      <c r="Z51" s="2" t="e">
        <f>SUMIF(#REF!,G51,#REF!)</f>
        <v>#REF!</v>
      </c>
      <c r="AA51" s="2">
        <f t="shared" ca="1" si="334"/>
        <v>0</v>
      </c>
      <c r="AB51" s="2" t="str">
        <f t="shared" ca="1" si="335"/>
        <v/>
      </c>
      <c r="AC51" s="103"/>
      <c r="BT51" s="2">
        <v>350</v>
      </c>
    </row>
    <row r="52" spans="2:82" s="2" customFormat="1" ht="20.100000000000001" customHeight="1">
      <c r="B52" s="110">
        <v>46219</v>
      </c>
      <c r="C52" s="111" t="s">
        <v>767</v>
      </c>
      <c r="D52" s="112"/>
      <c r="E52" s="113" t="s">
        <v>284</v>
      </c>
      <c r="F52" s="114" t="s">
        <v>289</v>
      </c>
      <c r="G52" s="8" t="str">
        <f t="shared" ref="G52:G54" si="358">C52&amp;F52</f>
        <v>YZJHP2268EQDIH906샌기리(채)</v>
      </c>
      <c r="H52" s="28">
        <v>402</v>
      </c>
      <c r="I52" s="41">
        <f t="shared" ref="I52:I54" si="359">ROUNDUP((H52/V52),0)</f>
        <v>4</v>
      </c>
      <c r="J52" s="29">
        <v>0</v>
      </c>
      <c r="K52" s="29">
        <v>0</v>
      </c>
      <c r="L52" s="41">
        <f t="shared" ref="L52:L54" si="360">ROUNDUP((K52/V52),0)</f>
        <v>0</v>
      </c>
      <c r="M52" s="29">
        <v>0</v>
      </c>
      <c r="N52" s="31">
        <f t="shared" ref="N52:N54" si="361">P52-K52+M52</f>
        <v>0</v>
      </c>
      <c r="O52" s="42">
        <f t="shared" ref="O52:O54" si="362">ROUNDUP((N52/V52),0)</f>
        <v>0</v>
      </c>
      <c r="P52" s="31">
        <f t="shared" ref="P52:P54" si="363">H52-T52</f>
        <v>0</v>
      </c>
      <c r="Q52" s="42">
        <f t="shared" ref="Q52:Q54" si="364">L52+O52</f>
        <v>0</v>
      </c>
      <c r="R52" s="28">
        <v>0</v>
      </c>
      <c r="S52" s="97">
        <f t="shared" si="188"/>
        <v>402</v>
      </c>
      <c r="T52" s="97">
        <f t="shared" ref="T52:T54" si="365">R52+S52+J52+M52</f>
        <v>402</v>
      </c>
      <c r="V52" s="28">
        <v>120</v>
      </c>
      <c r="W52" s="95">
        <f t="shared" ref="W52:W54" si="366">B52+X52</f>
        <v>46229</v>
      </c>
      <c r="X52" s="79">
        <v>10</v>
      </c>
      <c r="Y52" s="79">
        <v>600</v>
      </c>
      <c r="Z52" s="2" t="e">
        <f>SUMIF(#REF!,G52,#REF!)</f>
        <v>#REF!</v>
      </c>
      <c r="AA52" s="2">
        <f t="shared" ref="AA52:AA54" ca="1" si="367">IF(W52&gt;TODAY(),"프리타임기간중",Q52*Y52*IF(DATE(YEAR(W52),MONTH(W52),1)&lt;DATE(YEAR($AA$2),MONTH($AA$2),1),DATEDIF($AA$2,$AA$3,"D")+1,DATEDIF(W52,$AA$3+1,"d")))</f>
        <v>0</v>
      </c>
      <c r="AB52" s="2" t="str">
        <f t="shared" ref="AB52:AB54" ca="1" si="368">IFERROR(Z52+AA52,"")</f>
        <v/>
      </c>
      <c r="AC52" s="103"/>
      <c r="BU52" s="2">
        <v>402</v>
      </c>
    </row>
    <row r="53" spans="2:82" s="2" customFormat="1" ht="20.100000000000001" customHeight="1">
      <c r="B53" s="110">
        <v>46219</v>
      </c>
      <c r="C53" s="111" t="s">
        <v>767</v>
      </c>
      <c r="D53" s="112"/>
      <c r="E53" s="113" t="s">
        <v>284</v>
      </c>
      <c r="F53" s="114" t="s">
        <v>290</v>
      </c>
      <c r="G53" s="8" t="str">
        <f t="shared" si="358"/>
        <v>YZJHP2268EQDIH906샌기리(알밥)</v>
      </c>
      <c r="H53" s="28">
        <v>350</v>
      </c>
      <c r="I53" s="41">
        <f t="shared" si="359"/>
        <v>3</v>
      </c>
      <c r="J53" s="29">
        <v>0</v>
      </c>
      <c r="K53" s="29">
        <v>0</v>
      </c>
      <c r="L53" s="41">
        <f t="shared" si="360"/>
        <v>0</v>
      </c>
      <c r="M53" s="29">
        <v>0</v>
      </c>
      <c r="N53" s="31">
        <f t="shared" si="361"/>
        <v>0</v>
      </c>
      <c r="O53" s="42">
        <f t="shared" si="362"/>
        <v>0</v>
      </c>
      <c r="P53" s="31">
        <f t="shared" si="363"/>
        <v>0</v>
      </c>
      <c r="Q53" s="42">
        <f t="shared" si="364"/>
        <v>0</v>
      </c>
      <c r="R53" s="28">
        <v>0</v>
      </c>
      <c r="S53" s="97">
        <f t="shared" ref="S53:S55" si="369">SUM(AD53:IM53)</f>
        <v>350</v>
      </c>
      <c r="T53" s="97">
        <f t="shared" si="365"/>
        <v>350</v>
      </c>
      <c r="V53" s="28">
        <v>120</v>
      </c>
      <c r="W53" s="95">
        <f t="shared" si="366"/>
        <v>46229</v>
      </c>
      <c r="X53" s="79">
        <v>10</v>
      </c>
      <c r="Y53" s="79">
        <v>600</v>
      </c>
      <c r="Z53" s="2" t="e">
        <f>SUMIF(#REF!,G53,#REF!)</f>
        <v>#REF!</v>
      </c>
      <c r="AA53" s="2">
        <f t="shared" ca="1" si="367"/>
        <v>0</v>
      </c>
      <c r="AB53" s="2" t="str">
        <f t="shared" ca="1" si="368"/>
        <v/>
      </c>
      <c r="AC53" s="103"/>
      <c r="BV53" s="2">
        <v>350</v>
      </c>
    </row>
    <row r="54" spans="2:82" s="2" customFormat="1" ht="20.100000000000001" customHeight="1">
      <c r="B54" s="110">
        <v>46219</v>
      </c>
      <c r="C54" s="111" t="s">
        <v>767</v>
      </c>
      <c r="D54" s="112"/>
      <c r="E54" s="113" t="s">
        <v>284</v>
      </c>
      <c r="F54" s="114" t="s">
        <v>296</v>
      </c>
      <c r="G54" s="8" t="str">
        <f t="shared" si="358"/>
        <v>YZJHP2268EQDIH906쯔보즈케</v>
      </c>
      <c r="H54" s="28">
        <v>98</v>
      </c>
      <c r="I54" s="41">
        <f t="shared" si="359"/>
        <v>1</v>
      </c>
      <c r="J54" s="29">
        <v>0</v>
      </c>
      <c r="K54" s="29">
        <v>0</v>
      </c>
      <c r="L54" s="41">
        <f t="shared" si="360"/>
        <v>0</v>
      </c>
      <c r="M54" s="29">
        <v>0</v>
      </c>
      <c r="N54" s="31">
        <f t="shared" si="361"/>
        <v>0</v>
      </c>
      <c r="O54" s="42">
        <f t="shared" si="362"/>
        <v>0</v>
      </c>
      <c r="P54" s="31">
        <f t="shared" si="363"/>
        <v>0</v>
      </c>
      <c r="Q54" s="42">
        <f t="shared" si="364"/>
        <v>0</v>
      </c>
      <c r="R54" s="28">
        <v>0</v>
      </c>
      <c r="S54" s="97">
        <f t="shared" si="369"/>
        <v>98</v>
      </c>
      <c r="T54" s="97">
        <f t="shared" si="365"/>
        <v>98</v>
      </c>
      <c r="V54" s="28">
        <v>120</v>
      </c>
      <c r="W54" s="95">
        <f t="shared" si="366"/>
        <v>46229</v>
      </c>
      <c r="X54" s="79">
        <v>10</v>
      </c>
      <c r="Y54" s="79">
        <v>600</v>
      </c>
      <c r="Z54" s="2" t="e">
        <f>SUMIF(#REF!,G54,#REF!)</f>
        <v>#REF!</v>
      </c>
      <c r="AA54" s="2">
        <f t="shared" ca="1" si="367"/>
        <v>0</v>
      </c>
      <c r="AB54" s="2" t="str">
        <f t="shared" ca="1" si="368"/>
        <v/>
      </c>
      <c r="AC54" s="103"/>
      <c r="BW54" s="2">
        <v>98</v>
      </c>
    </row>
    <row r="55" spans="2:82" s="2" customFormat="1" ht="20.100000000000001" customHeight="1">
      <c r="B55" s="110">
        <v>46219</v>
      </c>
      <c r="C55" s="111" t="s">
        <v>767</v>
      </c>
      <c r="D55" s="112"/>
      <c r="E55" s="113" t="s">
        <v>284</v>
      </c>
      <c r="F55" s="114" t="s">
        <v>297</v>
      </c>
      <c r="G55" s="8" t="str">
        <f t="shared" ref="G55:G57" si="370">C55&amp;F55</f>
        <v>YZJHP2268EQDIH906매콤한단무지</v>
      </c>
      <c r="H55" s="28">
        <v>250</v>
      </c>
      <c r="I55" s="41">
        <f t="shared" ref="I55:I57" si="371">ROUNDUP((H55/V55),0)</f>
        <v>3</v>
      </c>
      <c r="J55" s="29">
        <v>0</v>
      </c>
      <c r="K55" s="29">
        <v>0</v>
      </c>
      <c r="L55" s="41">
        <f t="shared" ref="L55:L57" si="372">ROUNDUP((K55/V55),0)</f>
        <v>0</v>
      </c>
      <c r="M55" s="29">
        <v>0</v>
      </c>
      <c r="N55" s="31">
        <f t="shared" ref="N55:N57" si="373">P55-K55+M55</f>
        <v>0</v>
      </c>
      <c r="O55" s="42">
        <f t="shared" ref="O55:O57" si="374">ROUNDUP((N55/V55),0)</f>
        <v>0</v>
      </c>
      <c r="P55" s="31">
        <f t="shared" ref="P55:P57" si="375">H55-T55</f>
        <v>0</v>
      </c>
      <c r="Q55" s="42">
        <f t="shared" ref="Q55:Q57" si="376">L55+O55</f>
        <v>0</v>
      </c>
      <c r="R55" s="28">
        <v>0</v>
      </c>
      <c r="S55" s="97">
        <f t="shared" si="369"/>
        <v>250</v>
      </c>
      <c r="T55" s="97">
        <f t="shared" ref="T55:T57" si="377">R55+S55+J55+M55</f>
        <v>250</v>
      </c>
      <c r="V55" s="28">
        <v>120</v>
      </c>
      <c r="W55" s="95">
        <f t="shared" ref="W55:W57" si="378">B55+X55</f>
        <v>46229</v>
      </c>
      <c r="X55" s="79">
        <v>10</v>
      </c>
      <c r="Y55" s="79">
        <v>600</v>
      </c>
      <c r="Z55" s="2" t="e">
        <f>SUMIF(#REF!,G55,#REF!)</f>
        <v>#REF!</v>
      </c>
      <c r="AA55" s="2">
        <f t="shared" ref="AA55:AA57" ca="1" si="379">IF(W55&gt;TODAY(),"프리타임기간중",Q55*Y55*IF(DATE(YEAR(W55),MONTH(W55),1)&lt;DATE(YEAR($AA$2),MONTH($AA$2),1),DATEDIF($AA$2,$AA$3,"D")+1,DATEDIF(W55,$AA$3+1,"d")))</f>
        <v>0</v>
      </c>
      <c r="AB55" s="2" t="str">
        <f t="shared" ref="AB55:AB57" ca="1" si="380">IFERROR(Z55+AA55,"")</f>
        <v/>
      </c>
      <c r="AC55" s="103"/>
      <c r="BX55" s="2">
        <v>250</v>
      </c>
    </row>
    <row r="56" spans="2:82" s="2" customFormat="1" ht="20.100000000000001" customHeight="1">
      <c r="B56" s="110">
        <v>46230</v>
      </c>
      <c r="C56" s="111" t="s">
        <v>861</v>
      </c>
      <c r="D56" s="112" t="s">
        <v>240</v>
      </c>
      <c r="E56" s="113" t="s">
        <v>284</v>
      </c>
      <c r="F56" s="114" t="s">
        <v>288</v>
      </c>
      <c r="G56" s="8" t="str">
        <f t="shared" si="370"/>
        <v>CKCOTAO1200884단무지(슬)</v>
      </c>
      <c r="H56" s="28">
        <v>450</v>
      </c>
      <c r="I56" s="41">
        <f t="shared" si="371"/>
        <v>4</v>
      </c>
      <c r="J56" s="29">
        <v>0</v>
      </c>
      <c r="K56" s="29">
        <v>0</v>
      </c>
      <c r="L56" s="41">
        <f t="shared" si="372"/>
        <v>0</v>
      </c>
      <c r="M56" s="29">
        <v>0</v>
      </c>
      <c r="N56" s="31">
        <f t="shared" si="373"/>
        <v>0</v>
      </c>
      <c r="O56" s="42">
        <f t="shared" si="374"/>
        <v>0</v>
      </c>
      <c r="P56" s="31">
        <f t="shared" si="375"/>
        <v>0</v>
      </c>
      <c r="Q56" s="42">
        <f t="shared" si="376"/>
        <v>0</v>
      </c>
      <c r="R56" s="28">
        <v>0</v>
      </c>
      <c r="S56" s="97">
        <f t="shared" ref="S56:S58" si="381">SUM(AD56:IM56)</f>
        <v>450</v>
      </c>
      <c r="T56" s="97">
        <f t="shared" si="377"/>
        <v>450</v>
      </c>
      <c r="V56" s="28">
        <v>120</v>
      </c>
      <c r="W56" s="95">
        <f t="shared" si="378"/>
        <v>46240</v>
      </c>
      <c r="X56" s="79">
        <v>10</v>
      </c>
      <c r="Y56" s="79">
        <v>600</v>
      </c>
      <c r="Z56" s="2" t="e">
        <f>SUMIF(#REF!,G56,#REF!)</f>
        <v>#REF!</v>
      </c>
      <c r="AA56" s="2" t="str">
        <f t="shared" ca="1" si="379"/>
        <v>프리타임기간중</v>
      </c>
      <c r="AB56" s="2" t="str">
        <f t="shared" ca="1" si="380"/>
        <v/>
      </c>
      <c r="AC56" s="103"/>
      <c r="BY56" s="142">
        <v>450</v>
      </c>
    </row>
    <row r="57" spans="2:82" s="2" customFormat="1" ht="20.100000000000001" customHeight="1">
      <c r="B57" s="110">
        <v>46230</v>
      </c>
      <c r="C57" s="111" t="s">
        <v>856</v>
      </c>
      <c r="D57" s="112"/>
      <c r="E57" s="113" t="s">
        <v>284</v>
      </c>
      <c r="F57" s="114" t="s">
        <v>768</v>
      </c>
      <c r="G57" s="8" t="str">
        <f t="shared" si="370"/>
        <v>CKCOTAO1200884단무지(알밥)</v>
      </c>
      <c r="H57" s="28">
        <v>450</v>
      </c>
      <c r="I57" s="41">
        <f t="shared" si="371"/>
        <v>4</v>
      </c>
      <c r="J57" s="29">
        <v>0</v>
      </c>
      <c r="K57" s="29">
        <v>0</v>
      </c>
      <c r="L57" s="41">
        <f t="shared" si="372"/>
        <v>0</v>
      </c>
      <c r="M57" s="29">
        <v>0</v>
      </c>
      <c r="N57" s="31">
        <f t="shared" si="373"/>
        <v>0</v>
      </c>
      <c r="O57" s="42">
        <f t="shared" si="374"/>
        <v>0</v>
      </c>
      <c r="P57" s="31">
        <f t="shared" si="375"/>
        <v>0</v>
      </c>
      <c r="Q57" s="42">
        <f t="shared" si="376"/>
        <v>0</v>
      </c>
      <c r="R57" s="28">
        <v>0</v>
      </c>
      <c r="S57" s="97">
        <f t="shared" si="381"/>
        <v>450</v>
      </c>
      <c r="T57" s="97">
        <f t="shared" si="377"/>
        <v>450</v>
      </c>
      <c r="V57" s="28">
        <v>120</v>
      </c>
      <c r="W57" s="95">
        <f t="shared" si="378"/>
        <v>46240</v>
      </c>
      <c r="X57" s="79">
        <v>10</v>
      </c>
      <c r="Y57" s="79">
        <v>600</v>
      </c>
      <c r="Z57" s="2" t="e">
        <f>SUMIF(#REF!,G57,#REF!)</f>
        <v>#REF!</v>
      </c>
      <c r="AA57" s="2" t="str">
        <f t="shared" ca="1" si="379"/>
        <v>프리타임기간중</v>
      </c>
      <c r="AB57" s="2" t="str">
        <f t="shared" ca="1" si="380"/>
        <v/>
      </c>
      <c r="AC57" s="103"/>
      <c r="BZ57" s="2">
        <v>450</v>
      </c>
    </row>
    <row r="58" spans="2:82" s="2" customFormat="1" ht="20.100000000000001" customHeight="1">
      <c r="B58" s="110">
        <v>46230</v>
      </c>
      <c r="C58" s="111" t="s">
        <v>856</v>
      </c>
      <c r="D58" s="112"/>
      <c r="E58" s="113" t="s">
        <v>284</v>
      </c>
      <c r="F58" s="114" t="s">
        <v>289</v>
      </c>
      <c r="G58" s="8" t="str">
        <f t="shared" ref="G58:G60" si="382">C58&amp;F58</f>
        <v>CKCOTAO1200884샌기리(채)</v>
      </c>
      <c r="H58" s="28">
        <v>350</v>
      </c>
      <c r="I58" s="41">
        <f t="shared" ref="I58:I60" si="383">ROUNDUP((H58/V58),0)</f>
        <v>3</v>
      </c>
      <c r="J58" s="29">
        <v>0</v>
      </c>
      <c r="K58" s="29">
        <v>0</v>
      </c>
      <c r="L58" s="41">
        <f t="shared" ref="L58:L60" si="384">ROUNDUP((K58/V58),0)</f>
        <v>0</v>
      </c>
      <c r="M58" s="29">
        <v>0</v>
      </c>
      <c r="N58" s="31">
        <f t="shared" ref="N58:N60" si="385">P58-K58+M58</f>
        <v>0</v>
      </c>
      <c r="O58" s="42">
        <f t="shared" ref="O58:O60" si="386">ROUNDUP((N58/V58),0)</f>
        <v>0</v>
      </c>
      <c r="P58" s="31">
        <f t="shared" ref="P58:P60" si="387">H58-T58</f>
        <v>0</v>
      </c>
      <c r="Q58" s="42">
        <f t="shared" ref="Q58:Q60" si="388">L58+O58</f>
        <v>0</v>
      </c>
      <c r="R58" s="28">
        <v>0</v>
      </c>
      <c r="S58" s="97">
        <f t="shared" si="381"/>
        <v>350</v>
      </c>
      <c r="T58" s="97">
        <f t="shared" ref="T58:T60" si="389">R58+S58+J58+M58</f>
        <v>350</v>
      </c>
      <c r="V58" s="28">
        <v>120</v>
      </c>
      <c r="W58" s="95">
        <f t="shared" ref="W58:W60" si="390">B58+X58</f>
        <v>46240</v>
      </c>
      <c r="X58" s="79">
        <v>10</v>
      </c>
      <c r="Y58" s="79">
        <v>600</v>
      </c>
      <c r="Z58" s="2" t="e">
        <f>SUMIF(#REF!,G58,#REF!)</f>
        <v>#REF!</v>
      </c>
      <c r="AA58" s="2" t="str">
        <f t="shared" ref="AA58:AA60" ca="1" si="391">IF(W58&gt;TODAY(),"프리타임기간중",Q58*Y58*IF(DATE(YEAR(W58),MONTH(W58),1)&lt;DATE(YEAR($AA$2),MONTH($AA$2),1),DATEDIF($AA$2,$AA$3,"D")+1,DATEDIF(W58,$AA$3+1,"d")))</f>
        <v>프리타임기간중</v>
      </c>
      <c r="AB58" s="2" t="str">
        <f t="shared" ref="AB58:AB60" ca="1" si="392">IFERROR(Z58+AA58,"")</f>
        <v/>
      </c>
      <c r="AC58" s="103"/>
      <c r="CA58" s="2">
        <v>350</v>
      </c>
    </row>
    <row r="59" spans="2:82" s="2" customFormat="1" ht="20.100000000000001" customHeight="1">
      <c r="B59" s="110">
        <v>46230</v>
      </c>
      <c r="C59" s="111" t="s">
        <v>856</v>
      </c>
      <c r="D59" s="112"/>
      <c r="E59" s="113" t="s">
        <v>284</v>
      </c>
      <c r="F59" s="114" t="s">
        <v>290</v>
      </c>
      <c r="G59" s="8" t="str">
        <f t="shared" si="382"/>
        <v>CKCOTAO1200884샌기리(알밥)</v>
      </c>
      <c r="H59" s="28">
        <v>350</v>
      </c>
      <c r="I59" s="41">
        <f t="shared" si="383"/>
        <v>3</v>
      </c>
      <c r="J59" s="29">
        <v>0</v>
      </c>
      <c r="K59" s="29">
        <v>0</v>
      </c>
      <c r="L59" s="41">
        <f t="shared" si="384"/>
        <v>0</v>
      </c>
      <c r="M59" s="29">
        <v>0</v>
      </c>
      <c r="N59" s="31">
        <f t="shared" si="385"/>
        <v>0</v>
      </c>
      <c r="O59" s="42">
        <f t="shared" si="386"/>
        <v>0</v>
      </c>
      <c r="P59" s="31">
        <f t="shared" si="387"/>
        <v>0</v>
      </c>
      <c r="Q59" s="42">
        <f t="shared" si="388"/>
        <v>0</v>
      </c>
      <c r="R59" s="28">
        <v>0</v>
      </c>
      <c r="S59" s="97">
        <f t="shared" ref="S59:S61" si="393">SUM(AD59:IM59)</f>
        <v>350</v>
      </c>
      <c r="T59" s="97">
        <f t="shared" si="389"/>
        <v>350</v>
      </c>
      <c r="V59" s="28">
        <v>120</v>
      </c>
      <c r="W59" s="95">
        <f t="shared" si="390"/>
        <v>46240</v>
      </c>
      <c r="X59" s="79">
        <v>10</v>
      </c>
      <c r="Y59" s="79">
        <v>600</v>
      </c>
      <c r="Z59" s="2" t="e">
        <f>SUMIF(#REF!,G59,#REF!)</f>
        <v>#REF!</v>
      </c>
      <c r="AA59" s="2" t="str">
        <f t="shared" ca="1" si="391"/>
        <v>프리타임기간중</v>
      </c>
      <c r="AB59" s="2" t="str">
        <f t="shared" ca="1" si="392"/>
        <v/>
      </c>
      <c r="AC59" s="103"/>
      <c r="CB59" s="2">
        <v>350</v>
      </c>
    </row>
    <row r="60" spans="2:82" s="2" customFormat="1" ht="20.100000000000001" customHeight="1">
      <c r="B60" s="110">
        <v>46230</v>
      </c>
      <c r="C60" s="111" t="s">
        <v>856</v>
      </c>
      <c r="D60" s="112"/>
      <c r="E60" s="113" t="s">
        <v>284</v>
      </c>
      <c r="F60" s="114" t="s">
        <v>411</v>
      </c>
      <c r="G60" s="8" t="str">
        <f t="shared" si="382"/>
        <v>CKCOTAO1200884백단무지(슬)</v>
      </c>
      <c r="H60" s="28">
        <v>50</v>
      </c>
      <c r="I60" s="41">
        <f t="shared" si="383"/>
        <v>1</v>
      </c>
      <c r="J60" s="29">
        <v>0</v>
      </c>
      <c r="K60" s="29">
        <v>0</v>
      </c>
      <c r="L60" s="41">
        <f t="shared" si="384"/>
        <v>0</v>
      </c>
      <c r="M60" s="29">
        <v>0</v>
      </c>
      <c r="N60" s="31">
        <f t="shared" si="385"/>
        <v>0</v>
      </c>
      <c r="O60" s="42">
        <f t="shared" si="386"/>
        <v>0</v>
      </c>
      <c r="P60" s="31">
        <f t="shared" si="387"/>
        <v>0</v>
      </c>
      <c r="Q60" s="42">
        <f t="shared" si="388"/>
        <v>0</v>
      </c>
      <c r="R60" s="28">
        <v>0</v>
      </c>
      <c r="S60" s="97">
        <f t="shared" si="393"/>
        <v>50</v>
      </c>
      <c r="T60" s="97">
        <f t="shared" si="389"/>
        <v>50</v>
      </c>
      <c r="V60" s="28">
        <v>50</v>
      </c>
      <c r="W60" s="95">
        <f t="shared" si="390"/>
        <v>46240</v>
      </c>
      <c r="X60" s="79">
        <v>10</v>
      </c>
      <c r="Y60" s="79">
        <v>600</v>
      </c>
      <c r="Z60" s="2" t="e">
        <f>SUMIF(#REF!,G60,#REF!)</f>
        <v>#REF!</v>
      </c>
      <c r="AA60" s="2" t="str">
        <f t="shared" ca="1" si="391"/>
        <v>프리타임기간중</v>
      </c>
      <c r="AB60" s="2" t="str">
        <f t="shared" ca="1" si="392"/>
        <v/>
      </c>
      <c r="AC60" s="103"/>
      <c r="CC60" s="2">
        <v>50</v>
      </c>
    </row>
    <row r="61" spans="2:82" s="2" customFormat="1" ht="20.100000000000001" customHeight="1">
      <c r="B61" s="110">
        <v>46230</v>
      </c>
      <c r="C61" s="111" t="s">
        <v>861</v>
      </c>
      <c r="D61" s="112"/>
      <c r="E61" s="113" t="s">
        <v>284</v>
      </c>
      <c r="F61" s="114" t="s">
        <v>297</v>
      </c>
      <c r="G61" s="8" t="str">
        <f t="shared" ref="G61:G63" si="394">C61&amp;F61</f>
        <v>CKCOTAO1200884매콤한단무지</v>
      </c>
      <c r="H61" s="28">
        <v>100</v>
      </c>
      <c r="I61" s="41">
        <f t="shared" ref="I61:I63" si="395">ROUNDUP((H61/V61),0)</f>
        <v>1</v>
      </c>
      <c r="J61" s="29">
        <v>0</v>
      </c>
      <c r="K61" s="29">
        <v>0</v>
      </c>
      <c r="L61" s="41">
        <f t="shared" ref="L61:L63" si="396">ROUNDUP((K61/V61),0)</f>
        <v>0</v>
      </c>
      <c r="M61" s="29">
        <v>0</v>
      </c>
      <c r="N61" s="31">
        <f t="shared" ref="N61:N63" si="397">P61-K61+M61</f>
        <v>0</v>
      </c>
      <c r="O61" s="42">
        <f t="shared" ref="O61:O63" si="398">ROUNDUP((N61/V61),0)</f>
        <v>0</v>
      </c>
      <c r="P61" s="31">
        <f t="shared" ref="P61:P63" si="399">H61-T61</f>
        <v>0</v>
      </c>
      <c r="Q61" s="42">
        <f t="shared" ref="Q61:Q63" si="400">L61+O61</f>
        <v>0</v>
      </c>
      <c r="R61" s="28">
        <v>0</v>
      </c>
      <c r="S61" s="97">
        <f t="shared" si="393"/>
        <v>100</v>
      </c>
      <c r="T61" s="97">
        <f t="shared" ref="T61:T63" si="401">R61+S61+J61+M61</f>
        <v>100</v>
      </c>
      <c r="V61" s="28">
        <v>100</v>
      </c>
      <c r="W61" s="95">
        <f t="shared" ref="W61:W63" si="402">B61+X61</f>
        <v>46240</v>
      </c>
      <c r="X61" s="79">
        <v>10</v>
      </c>
      <c r="Y61" s="79">
        <v>600</v>
      </c>
      <c r="Z61" s="2" t="e">
        <f>SUMIF(#REF!,G61,#REF!)</f>
        <v>#REF!</v>
      </c>
      <c r="AA61" s="2" t="str">
        <f t="shared" ref="AA61:AA63" ca="1" si="403">IF(W61&gt;TODAY(),"프리타임기간중",Q61*Y61*IF(DATE(YEAR(W61),MONTH(W61),1)&lt;DATE(YEAR($AA$2),MONTH($AA$2),1),DATEDIF($AA$2,$AA$3,"D")+1,DATEDIF(W61,$AA$3+1,"d")))</f>
        <v>프리타임기간중</v>
      </c>
      <c r="AB61" s="2" t="str">
        <f t="shared" ref="AB61:AB63" ca="1" si="404">IFERROR(Z61+AA61,"")</f>
        <v/>
      </c>
      <c r="AC61" s="103"/>
      <c r="CD61" s="2">
        <v>100</v>
      </c>
    </row>
    <row r="62" spans="2:82" s="2" customFormat="1" ht="20.100000000000001" customHeight="1">
      <c r="B62" s="81">
        <v>46232</v>
      </c>
      <c r="C62" s="99" t="s">
        <v>871</v>
      </c>
      <c r="D62" s="98"/>
      <c r="E62" s="79" t="s">
        <v>877</v>
      </c>
      <c r="F62" s="8" t="s">
        <v>872</v>
      </c>
      <c r="G62" s="8" t="str">
        <f t="shared" si="394"/>
        <v>HIJINH26070901Masuya Miso Awase Miso 1kg*10packs_ctn</v>
      </c>
      <c r="H62" s="28">
        <v>500</v>
      </c>
      <c r="I62" s="41">
        <f t="shared" si="395"/>
        <v>5</v>
      </c>
      <c r="J62" s="29">
        <v>0</v>
      </c>
      <c r="K62" s="29">
        <v>0</v>
      </c>
      <c r="L62" s="41">
        <f t="shared" si="396"/>
        <v>0</v>
      </c>
      <c r="M62" s="29">
        <v>0</v>
      </c>
      <c r="N62" s="31">
        <f t="shared" si="397"/>
        <v>500</v>
      </c>
      <c r="O62" s="42">
        <f t="shared" si="398"/>
        <v>5</v>
      </c>
      <c r="P62" s="31">
        <f t="shared" si="399"/>
        <v>500</v>
      </c>
      <c r="Q62" s="42">
        <f t="shared" si="400"/>
        <v>5</v>
      </c>
      <c r="R62" s="28">
        <v>0</v>
      </c>
      <c r="S62" s="97">
        <f t="shared" ref="S62:S64" si="405">SUM(AD62:IM62)</f>
        <v>0</v>
      </c>
      <c r="T62" s="97">
        <f t="shared" si="401"/>
        <v>0</v>
      </c>
      <c r="V62" s="28">
        <v>100</v>
      </c>
      <c r="W62" s="95">
        <f t="shared" si="402"/>
        <v>46242</v>
      </c>
      <c r="X62" s="79">
        <v>10</v>
      </c>
      <c r="Y62" s="79">
        <v>600</v>
      </c>
      <c r="Z62" s="2" t="e">
        <f>SUMIF(#REF!,G62,#REF!)</f>
        <v>#REF!</v>
      </c>
      <c r="AA62" s="2" t="str">
        <f t="shared" ca="1" si="403"/>
        <v>프리타임기간중</v>
      </c>
      <c r="AB62" s="2" t="str">
        <f t="shared" ca="1" si="404"/>
        <v/>
      </c>
      <c r="AC62" s="103"/>
    </row>
    <row r="63" spans="2:82" s="2" customFormat="1" ht="20.100000000000001" customHeight="1">
      <c r="B63" s="81">
        <v>46232</v>
      </c>
      <c r="C63" s="99" t="s">
        <v>871</v>
      </c>
      <c r="D63" s="98"/>
      <c r="E63" s="79" t="s">
        <v>877</v>
      </c>
      <c r="F63" s="8" t="s">
        <v>872</v>
      </c>
      <c r="G63" s="8" t="str">
        <f t="shared" si="394"/>
        <v>HIJINH26070901Masuya Miso Awase Miso 1kg*10packs_ctn</v>
      </c>
      <c r="H63" s="28">
        <v>700</v>
      </c>
      <c r="I63" s="41">
        <f t="shared" si="395"/>
        <v>6</v>
      </c>
      <c r="J63" s="29">
        <v>0</v>
      </c>
      <c r="K63" s="29">
        <v>0</v>
      </c>
      <c r="L63" s="41">
        <f t="shared" si="396"/>
        <v>0</v>
      </c>
      <c r="M63" s="29">
        <v>0</v>
      </c>
      <c r="N63" s="31">
        <f t="shared" si="397"/>
        <v>700</v>
      </c>
      <c r="O63" s="42">
        <f t="shared" si="398"/>
        <v>6</v>
      </c>
      <c r="P63" s="31">
        <f t="shared" si="399"/>
        <v>700</v>
      </c>
      <c r="Q63" s="42">
        <f t="shared" si="400"/>
        <v>6</v>
      </c>
      <c r="R63" s="28">
        <v>0</v>
      </c>
      <c r="S63" s="97">
        <f t="shared" si="405"/>
        <v>0</v>
      </c>
      <c r="T63" s="97">
        <f t="shared" si="401"/>
        <v>0</v>
      </c>
      <c r="V63" s="28">
        <v>120</v>
      </c>
      <c r="W63" s="95">
        <f t="shared" si="402"/>
        <v>46242</v>
      </c>
      <c r="X63" s="79">
        <v>10</v>
      </c>
      <c r="Y63" s="79">
        <v>600</v>
      </c>
      <c r="Z63" s="2" t="e">
        <f>SUMIF(#REF!,G63,#REF!)</f>
        <v>#REF!</v>
      </c>
      <c r="AA63" s="2" t="str">
        <f t="shared" ca="1" si="403"/>
        <v>프리타임기간중</v>
      </c>
      <c r="AB63" s="2" t="str">
        <f t="shared" ca="1" si="404"/>
        <v/>
      </c>
      <c r="AC63" s="103"/>
    </row>
    <row r="64" spans="2:82" s="2" customFormat="1" ht="20.100000000000001" customHeight="1">
      <c r="B64" s="81">
        <v>46232</v>
      </c>
      <c r="C64" s="99" t="s">
        <v>871</v>
      </c>
      <c r="D64" s="98"/>
      <c r="E64" s="79" t="s">
        <v>877</v>
      </c>
      <c r="F64" s="8" t="s">
        <v>873</v>
      </c>
      <c r="G64" s="8" t="str">
        <f t="shared" ref="G64:G66" si="406">C64&amp;F64</f>
        <v>HIJINH26070901Masuya Miso Koshi Kouji 1kg*10packs_ctn</v>
      </c>
      <c r="H64" s="28">
        <v>250</v>
      </c>
      <c r="I64" s="41">
        <f t="shared" ref="I64:I66" si="407">ROUNDUP((H64/V64),0)</f>
        <v>3</v>
      </c>
      <c r="J64" s="29">
        <v>0</v>
      </c>
      <c r="K64" s="29">
        <v>0</v>
      </c>
      <c r="L64" s="41">
        <f t="shared" ref="L64:L66" si="408">ROUNDUP((K64/V64),0)</f>
        <v>0</v>
      </c>
      <c r="M64" s="29">
        <v>0</v>
      </c>
      <c r="N64" s="31">
        <f t="shared" ref="N64:N66" si="409">P64-K64+M64</f>
        <v>250</v>
      </c>
      <c r="O64" s="42">
        <f t="shared" ref="O64:O66" si="410">ROUNDUP((N64/V64),0)</f>
        <v>3</v>
      </c>
      <c r="P64" s="31">
        <f t="shared" ref="P64:P66" si="411">H64-T64</f>
        <v>250</v>
      </c>
      <c r="Q64" s="42">
        <f t="shared" ref="Q64:Q66" si="412">L64+O64</f>
        <v>3</v>
      </c>
      <c r="R64" s="28">
        <v>0</v>
      </c>
      <c r="S64" s="97">
        <f t="shared" si="405"/>
        <v>0</v>
      </c>
      <c r="T64" s="97">
        <f t="shared" ref="T64:T66" si="413">R64+S64+J64+M64</f>
        <v>0</v>
      </c>
      <c r="V64" s="28">
        <v>120</v>
      </c>
      <c r="W64" s="95">
        <f t="shared" ref="W64:W66" si="414">B64+X64</f>
        <v>46242</v>
      </c>
      <c r="X64" s="79">
        <v>10</v>
      </c>
      <c r="Y64" s="79">
        <v>600</v>
      </c>
      <c r="Z64" s="2" t="e">
        <f>SUMIF(#REF!,G64,#REF!)</f>
        <v>#REF!</v>
      </c>
      <c r="AA64" s="2" t="str">
        <f t="shared" ref="AA64:AA66" ca="1" si="415">IF(W64&gt;TODAY(),"프리타임기간중",Q64*Y64*IF(DATE(YEAR(W64),MONTH(W64),1)&lt;DATE(YEAR($AA$2),MONTH($AA$2),1),DATEDIF($AA$2,$AA$3,"D")+1,DATEDIF(W64,$AA$3+1,"d")))</f>
        <v>프리타임기간중</v>
      </c>
      <c r="AB64" s="2" t="str">
        <f t="shared" ref="AB64:AB66" ca="1" si="416">IFERROR(Z64+AA64,"")</f>
        <v/>
      </c>
      <c r="AC64" s="103"/>
    </row>
    <row r="65" spans="2:29" s="2" customFormat="1" ht="20.100000000000001" customHeight="1">
      <c r="B65" s="81">
        <v>46232</v>
      </c>
      <c r="C65" s="99" t="s">
        <v>871</v>
      </c>
      <c r="D65" s="98"/>
      <c r="E65" s="79" t="s">
        <v>877</v>
      </c>
      <c r="F65" s="8" t="s">
        <v>874</v>
      </c>
      <c r="G65" s="8" t="str">
        <f t="shared" si="406"/>
        <v>HIJINH26070901Masuya Miso Akadashi Kouji 1kg*10packs_ctn</v>
      </c>
      <c r="H65" s="28">
        <v>150</v>
      </c>
      <c r="I65" s="41">
        <f t="shared" si="407"/>
        <v>2</v>
      </c>
      <c r="J65" s="29">
        <v>0</v>
      </c>
      <c r="K65" s="29">
        <v>0</v>
      </c>
      <c r="L65" s="41">
        <f t="shared" si="408"/>
        <v>0</v>
      </c>
      <c r="M65" s="29">
        <v>0</v>
      </c>
      <c r="N65" s="31">
        <f t="shared" si="409"/>
        <v>150</v>
      </c>
      <c r="O65" s="42">
        <f t="shared" si="410"/>
        <v>2</v>
      </c>
      <c r="P65" s="31">
        <f t="shared" si="411"/>
        <v>150</v>
      </c>
      <c r="Q65" s="42">
        <f t="shared" si="412"/>
        <v>2</v>
      </c>
      <c r="R65" s="28">
        <v>0</v>
      </c>
      <c r="S65" s="97">
        <f t="shared" ref="S65:S67" si="417">SUM(AD65:IM65)</f>
        <v>0</v>
      </c>
      <c r="T65" s="97">
        <f t="shared" si="413"/>
        <v>0</v>
      </c>
      <c r="V65" s="28">
        <v>120</v>
      </c>
      <c r="W65" s="95">
        <f t="shared" si="414"/>
        <v>46242</v>
      </c>
      <c r="X65" s="79">
        <v>10</v>
      </c>
      <c r="Y65" s="79">
        <v>600</v>
      </c>
      <c r="Z65" s="2" t="e">
        <f>SUMIF(#REF!,G65,#REF!)</f>
        <v>#REF!</v>
      </c>
      <c r="AA65" s="2" t="str">
        <f t="shared" ca="1" si="415"/>
        <v>프리타임기간중</v>
      </c>
      <c r="AB65" s="2" t="str">
        <f t="shared" ca="1" si="416"/>
        <v/>
      </c>
      <c r="AC65" s="103"/>
    </row>
    <row r="66" spans="2:29" s="2" customFormat="1" ht="20.100000000000001" customHeight="1">
      <c r="B66" s="81">
        <v>46232</v>
      </c>
      <c r="C66" s="99" t="s">
        <v>871</v>
      </c>
      <c r="D66" s="98"/>
      <c r="E66" s="79" t="s">
        <v>877</v>
      </c>
      <c r="F66" s="8" t="s">
        <v>875</v>
      </c>
      <c r="G66" s="8" t="str">
        <f t="shared" si="406"/>
        <v>HIJINH26070901Business moromi miso 1kg*10packs_ctn</v>
      </c>
      <c r="H66" s="28">
        <v>30</v>
      </c>
      <c r="I66" s="41">
        <f t="shared" si="407"/>
        <v>1</v>
      </c>
      <c r="J66" s="29">
        <v>0</v>
      </c>
      <c r="K66" s="29">
        <v>0</v>
      </c>
      <c r="L66" s="41">
        <f t="shared" si="408"/>
        <v>0</v>
      </c>
      <c r="M66" s="29">
        <v>0</v>
      </c>
      <c r="N66" s="31">
        <f t="shared" si="409"/>
        <v>30</v>
      </c>
      <c r="O66" s="42">
        <f t="shared" si="410"/>
        <v>1</v>
      </c>
      <c r="P66" s="31">
        <f t="shared" si="411"/>
        <v>30</v>
      </c>
      <c r="Q66" s="42">
        <f t="shared" si="412"/>
        <v>1</v>
      </c>
      <c r="R66" s="28">
        <v>0</v>
      </c>
      <c r="S66" s="97">
        <f t="shared" si="417"/>
        <v>0</v>
      </c>
      <c r="T66" s="97">
        <f t="shared" si="413"/>
        <v>0</v>
      </c>
      <c r="V66" s="28">
        <v>30</v>
      </c>
      <c r="W66" s="95">
        <f t="shared" si="414"/>
        <v>46242</v>
      </c>
      <c r="X66" s="79">
        <v>10</v>
      </c>
      <c r="Y66" s="79">
        <v>600</v>
      </c>
      <c r="Z66" s="2" t="e">
        <f>SUMIF(#REF!,G66,#REF!)</f>
        <v>#REF!</v>
      </c>
      <c r="AA66" s="2" t="str">
        <f t="shared" ca="1" si="415"/>
        <v>프리타임기간중</v>
      </c>
      <c r="AB66" s="2" t="str">
        <f t="shared" ca="1" si="416"/>
        <v/>
      </c>
      <c r="AC66" s="103"/>
    </row>
    <row r="67" spans="2:29" s="2" customFormat="1" ht="20.100000000000001" customHeight="1">
      <c r="B67" s="81">
        <v>46232</v>
      </c>
      <c r="C67" s="99" t="s">
        <v>871</v>
      </c>
      <c r="D67" s="98"/>
      <c r="E67" s="79" t="s">
        <v>877</v>
      </c>
      <c r="F67" s="8" t="s">
        <v>876</v>
      </c>
      <c r="G67" s="8" t="str">
        <f t="shared" ref="G67:G69" si="418">C67&amp;F67</f>
        <v>HIJINH26070901Korea udon tsuyu 1,8L*6pieces_ctn</v>
      </c>
      <c r="H67" s="28">
        <v>25</v>
      </c>
      <c r="I67" s="41">
        <f t="shared" ref="I67:I69" si="419">ROUNDUP((H67/V67),0)</f>
        <v>1</v>
      </c>
      <c r="J67" s="29">
        <v>0</v>
      </c>
      <c r="K67" s="29">
        <v>0</v>
      </c>
      <c r="L67" s="41">
        <f t="shared" ref="L67:L69" si="420">ROUNDUP((K67/V67),0)</f>
        <v>0</v>
      </c>
      <c r="M67" s="29">
        <v>0</v>
      </c>
      <c r="N67" s="31">
        <f t="shared" ref="N67:N69" si="421">P67-K67+M67</f>
        <v>25</v>
      </c>
      <c r="O67" s="42">
        <f t="shared" ref="O67:O69" si="422">ROUNDUP((N67/V67),0)</f>
        <v>1</v>
      </c>
      <c r="P67" s="31">
        <f t="shared" ref="P67:P69" si="423">H67-T67</f>
        <v>25</v>
      </c>
      <c r="Q67" s="42">
        <f t="shared" ref="Q67:Q69" si="424">L67+O67</f>
        <v>1</v>
      </c>
      <c r="R67" s="28">
        <v>0</v>
      </c>
      <c r="S67" s="97">
        <f t="shared" si="417"/>
        <v>0</v>
      </c>
      <c r="T67" s="97">
        <f t="shared" ref="T67:T69" si="425">R67+S67+J67+M67</f>
        <v>0</v>
      </c>
      <c r="V67" s="28">
        <v>25</v>
      </c>
      <c r="W67" s="95">
        <f t="shared" ref="W67:W69" si="426">B67+X67</f>
        <v>46242</v>
      </c>
      <c r="X67" s="79">
        <v>10</v>
      </c>
      <c r="Y67" s="79">
        <v>600</v>
      </c>
      <c r="Z67" s="2" t="e">
        <f>SUMIF(#REF!,G67,#REF!)</f>
        <v>#REF!</v>
      </c>
      <c r="AA67" s="2" t="str">
        <f t="shared" ref="AA67:AA69" ca="1" si="427">IF(W67&gt;TODAY(),"프리타임기간중",Q67*Y67*IF(DATE(YEAR(W67),MONTH(W67),1)&lt;DATE(YEAR($AA$2),MONTH($AA$2),1),DATEDIF($AA$2,$AA$3,"D")+1,DATEDIF(W67,$AA$3+1,"d")))</f>
        <v>프리타임기간중</v>
      </c>
      <c r="AB67" s="2" t="str">
        <f t="shared" ref="AB67:AB69" ca="1" si="428">IFERROR(Z67+AA67,"")</f>
        <v/>
      </c>
      <c r="AC67" s="103"/>
    </row>
    <row r="68" spans="2:29" s="2" customFormat="1" ht="20.100000000000001" customHeight="1">
      <c r="B68" s="81"/>
      <c r="C68" s="99"/>
      <c r="D68" s="98"/>
      <c r="E68" s="79"/>
      <c r="F68" s="8"/>
      <c r="G68" s="8" t="str">
        <f t="shared" si="418"/>
        <v/>
      </c>
      <c r="H68" s="28"/>
      <c r="I68" s="41">
        <f t="shared" si="419"/>
        <v>0</v>
      </c>
      <c r="J68" s="29">
        <v>0</v>
      </c>
      <c r="K68" s="29">
        <v>0</v>
      </c>
      <c r="L68" s="41">
        <f t="shared" si="420"/>
        <v>0</v>
      </c>
      <c r="M68" s="29">
        <v>0</v>
      </c>
      <c r="N68" s="31">
        <f t="shared" si="421"/>
        <v>0</v>
      </c>
      <c r="O68" s="42">
        <f t="shared" si="422"/>
        <v>0</v>
      </c>
      <c r="P68" s="31">
        <f t="shared" si="423"/>
        <v>0</v>
      </c>
      <c r="Q68" s="42">
        <f t="shared" si="424"/>
        <v>0</v>
      </c>
      <c r="R68" s="28">
        <v>0</v>
      </c>
      <c r="S68" s="97">
        <f t="shared" ref="S68:S70" si="429">SUM(AD68:IM68)</f>
        <v>0</v>
      </c>
      <c r="T68" s="97">
        <f t="shared" si="425"/>
        <v>0</v>
      </c>
      <c r="V68" s="28">
        <v>100</v>
      </c>
      <c r="W68" s="95">
        <f t="shared" si="426"/>
        <v>10</v>
      </c>
      <c r="X68" s="79">
        <v>10</v>
      </c>
      <c r="Y68" s="79">
        <v>600</v>
      </c>
      <c r="Z68" s="2" t="e">
        <f>SUMIF(#REF!,G68,#REF!)</f>
        <v>#REF!</v>
      </c>
      <c r="AA68" s="2">
        <f t="shared" ca="1" si="427"/>
        <v>0</v>
      </c>
      <c r="AB68" s="2" t="str">
        <f t="shared" ca="1" si="428"/>
        <v/>
      </c>
      <c r="AC68" s="103"/>
    </row>
    <row r="69" spans="2:29" s="2" customFormat="1" ht="20.100000000000001" customHeight="1">
      <c r="B69" s="81"/>
      <c r="C69" s="99"/>
      <c r="D69" s="98"/>
      <c r="E69" s="79"/>
      <c r="F69" s="8"/>
      <c r="G69" s="8" t="str">
        <f t="shared" si="418"/>
        <v/>
      </c>
      <c r="H69" s="28"/>
      <c r="I69" s="41">
        <f t="shared" si="419"/>
        <v>0</v>
      </c>
      <c r="J69" s="29">
        <v>0</v>
      </c>
      <c r="K69" s="29">
        <v>0</v>
      </c>
      <c r="L69" s="41">
        <f t="shared" si="420"/>
        <v>0</v>
      </c>
      <c r="M69" s="29">
        <v>0</v>
      </c>
      <c r="N69" s="31">
        <f t="shared" si="421"/>
        <v>0</v>
      </c>
      <c r="O69" s="42">
        <f t="shared" si="422"/>
        <v>0</v>
      </c>
      <c r="P69" s="31">
        <f t="shared" si="423"/>
        <v>0</v>
      </c>
      <c r="Q69" s="42">
        <f t="shared" si="424"/>
        <v>0</v>
      </c>
      <c r="R69" s="28">
        <v>0</v>
      </c>
      <c r="S69" s="97">
        <f t="shared" si="429"/>
        <v>0</v>
      </c>
      <c r="T69" s="97">
        <f t="shared" si="425"/>
        <v>0</v>
      </c>
      <c r="V69" s="28">
        <v>100</v>
      </c>
      <c r="W69" s="95">
        <f t="shared" si="426"/>
        <v>10</v>
      </c>
      <c r="X69" s="79">
        <v>10</v>
      </c>
      <c r="Y69" s="79">
        <v>600</v>
      </c>
      <c r="Z69" s="2" t="e">
        <f>SUMIF(#REF!,G69,#REF!)</f>
        <v>#REF!</v>
      </c>
      <c r="AA69" s="2">
        <f t="shared" ca="1" si="427"/>
        <v>0</v>
      </c>
      <c r="AB69" s="2" t="str">
        <f t="shared" ca="1" si="428"/>
        <v/>
      </c>
      <c r="AC69" s="103"/>
    </row>
    <row r="70" spans="2:29" s="2" customFormat="1" ht="20.100000000000001" customHeight="1">
      <c r="B70" s="81"/>
      <c r="C70" s="99"/>
      <c r="D70" s="98"/>
      <c r="E70" s="79"/>
      <c r="F70" s="8"/>
      <c r="G70" s="8" t="str">
        <f t="shared" ref="G70" si="430">C70&amp;F70</f>
        <v/>
      </c>
      <c r="H70" s="28"/>
      <c r="I70" s="41">
        <f t="shared" ref="I70" si="431">ROUNDUP((H70/V70),0)</f>
        <v>0</v>
      </c>
      <c r="J70" s="29">
        <v>0</v>
      </c>
      <c r="K70" s="29">
        <v>0</v>
      </c>
      <c r="L70" s="41">
        <f t="shared" ref="L70" si="432">ROUNDUP((K70/V70),0)</f>
        <v>0</v>
      </c>
      <c r="M70" s="29">
        <v>0</v>
      </c>
      <c r="N70" s="31">
        <f t="shared" ref="N70" si="433">P70-K70+M70</f>
        <v>0</v>
      </c>
      <c r="O70" s="42">
        <f t="shared" ref="O70" si="434">ROUNDUP((N70/V70),0)</f>
        <v>0</v>
      </c>
      <c r="P70" s="31">
        <f t="shared" ref="P70" si="435">H70-T70</f>
        <v>0</v>
      </c>
      <c r="Q70" s="42">
        <f t="shared" ref="Q70" si="436">L70+O70</f>
        <v>0</v>
      </c>
      <c r="R70" s="28">
        <v>0</v>
      </c>
      <c r="S70" s="97">
        <f t="shared" si="429"/>
        <v>0</v>
      </c>
      <c r="T70" s="97">
        <f t="shared" ref="T70" si="437">R70+S70+J70+M70</f>
        <v>0</v>
      </c>
      <c r="V70" s="28">
        <v>100</v>
      </c>
      <c r="W70" s="95">
        <f t="shared" ref="W70" si="438">B70+X70</f>
        <v>10</v>
      </c>
      <c r="X70" s="79">
        <v>10</v>
      </c>
      <c r="Y70" s="79">
        <v>600</v>
      </c>
      <c r="Z70" s="2" t="e">
        <f>SUMIF(#REF!,G70,#REF!)</f>
        <v>#REF!</v>
      </c>
      <c r="AA70" s="2">
        <f t="shared" ref="AA70" ca="1" si="439">IF(W70&gt;TODAY(),"프리타임기간중",Q70*Y70*IF(DATE(YEAR(W70),MONTH(W70),1)&lt;DATE(YEAR($AA$2),MONTH($AA$2),1),DATEDIF($AA$2,$AA$3,"D")+1,DATEDIF(W70,$AA$3+1,"d")))</f>
        <v>0</v>
      </c>
      <c r="AB70" s="2" t="str">
        <f t="shared" ref="AB70" ca="1" si="440">IFERROR(Z70+AA70,"")</f>
        <v/>
      </c>
      <c r="AC70" s="103"/>
    </row>
    <row r="71" spans="2:29" s="2" customFormat="1" ht="20.100000000000001" customHeight="1">
      <c r="B71" s="81"/>
      <c r="C71" s="99"/>
      <c r="D71" s="98"/>
      <c r="E71" s="79"/>
      <c r="F71" s="8"/>
      <c r="G71" s="8"/>
      <c r="H71" s="28"/>
      <c r="I71" s="41"/>
      <c r="J71" s="29"/>
      <c r="K71" s="29"/>
      <c r="L71" s="41"/>
      <c r="M71" s="29"/>
      <c r="N71" s="31"/>
      <c r="O71" s="42"/>
      <c r="P71" s="31"/>
      <c r="Q71" s="42"/>
      <c r="R71" s="28"/>
      <c r="S71" s="97"/>
      <c r="T71" s="97"/>
      <c r="U71" s="96"/>
      <c r="V71" s="28"/>
      <c r="W71" s="95"/>
      <c r="X71" s="79"/>
      <c r="Y71" s="79"/>
      <c r="AC71" s="103"/>
    </row>
    <row r="72" spans="2:29" s="1" customFormat="1" ht="15" customHeight="1">
      <c r="B72" s="6"/>
      <c r="C72" s="7"/>
      <c r="D72" s="7"/>
      <c r="E72" s="6"/>
      <c r="F72" s="6"/>
      <c r="G72" s="6"/>
      <c r="H72" s="16"/>
      <c r="I72" s="40"/>
      <c r="J72" s="16"/>
      <c r="K72" s="16"/>
      <c r="L72" s="40"/>
      <c r="M72" s="16"/>
      <c r="N72" s="16"/>
      <c r="O72" s="40"/>
      <c r="P72" s="21"/>
      <c r="Q72" s="22"/>
      <c r="R72" s="16">
        <v>0</v>
      </c>
      <c r="S72" s="30"/>
      <c r="T72" s="30"/>
      <c r="U72" s="94"/>
      <c r="V72" s="21"/>
      <c r="W72" s="7"/>
      <c r="X72" s="7"/>
      <c r="Y72" s="7"/>
      <c r="AC72" s="60"/>
    </row>
    <row r="73" spans="2:29" ht="15" customHeight="1">
      <c r="E73" s="115"/>
      <c r="F73" s="115"/>
      <c r="G73" s="115"/>
      <c r="H73" s="6"/>
    </row>
    <row r="74" spans="2:29" ht="15" customHeight="1">
      <c r="B74" s="7"/>
      <c r="C74" s="104" t="s">
        <v>173</v>
      </c>
      <c r="D74" s="6" t="s">
        <v>141</v>
      </c>
      <c r="E74" s="6" t="s">
        <v>142</v>
      </c>
      <c r="F74" s="6" t="s">
        <v>143</v>
      </c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Z74" s="7"/>
      <c r="AA74" s="7"/>
      <c r="AB74" s="7"/>
      <c r="AC74" s="7"/>
    </row>
    <row r="75" spans="2:29">
      <c r="C75" s="120">
        <v>46204</v>
      </c>
      <c r="E75" s="6">
        <v>22</v>
      </c>
      <c r="F75" s="116">
        <v>140</v>
      </c>
    </row>
    <row r="76" spans="2:29">
      <c r="C76" s="120">
        <v>46205</v>
      </c>
      <c r="E76" s="6">
        <v>15</v>
      </c>
      <c r="F76" s="116">
        <f t="shared" ref="F76:F91" si="441">F75+D76-E76</f>
        <v>125</v>
      </c>
    </row>
    <row r="77" spans="2:29">
      <c r="C77" s="120">
        <v>46209</v>
      </c>
      <c r="E77" s="6">
        <v>20</v>
      </c>
      <c r="F77" s="116">
        <f t="shared" si="441"/>
        <v>105</v>
      </c>
    </row>
    <row r="78" spans="2:29">
      <c r="C78" s="120">
        <v>46210</v>
      </c>
      <c r="E78" s="6">
        <v>18</v>
      </c>
      <c r="F78" s="116">
        <f t="shared" si="441"/>
        <v>87</v>
      </c>
    </row>
    <row r="79" spans="2:29">
      <c r="C79" s="120">
        <v>46212</v>
      </c>
      <c r="E79" s="6">
        <v>36</v>
      </c>
      <c r="F79" s="116">
        <f t="shared" si="441"/>
        <v>51</v>
      </c>
    </row>
    <row r="80" spans="2:29">
      <c r="C80" s="120">
        <v>46213</v>
      </c>
      <c r="E80" s="6">
        <v>22</v>
      </c>
      <c r="F80" s="116">
        <f t="shared" si="441"/>
        <v>29</v>
      </c>
    </row>
    <row r="81" spans="3:6">
      <c r="C81" s="120">
        <v>46216</v>
      </c>
      <c r="D81" s="7">
        <v>192</v>
      </c>
      <c r="F81" s="116">
        <f t="shared" si="441"/>
        <v>221</v>
      </c>
    </row>
    <row r="82" spans="3:6">
      <c r="C82" s="120">
        <v>46216</v>
      </c>
      <c r="E82" s="6">
        <v>18</v>
      </c>
      <c r="F82" s="116">
        <f t="shared" si="441"/>
        <v>203</v>
      </c>
    </row>
    <row r="83" spans="3:6">
      <c r="C83" s="120">
        <v>46219</v>
      </c>
      <c r="E83" s="6">
        <v>17</v>
      </c>
      <c r="F83" s="116">
        <f>F82+D83-E83</f>
        <v>186</v>
      </c>
    </row>
    <row r="84" spans="3:6">
      <c r="C84" s="120">
        <v>46230</v>
      </c>
      <c r="E84" s="6">
        <v>16</v>
      </c>
      <c r="F84" s="116">
        <f t="shared" si="441"/>
        <v>170</v>
      </c>
    </row>
    <row r="85" spans="3:6">
      <c r="C85" s="120"/>
      <c r="F85" s="116">
        <f>F84+D85-E85</f>
        <v>170</v>
      </c>
    </row>
    <row r="86" spans="3:6">
      <c r="C86" s="120"/>
      <c r="F86" s="116">
        <f t="shared" si="441"/>
        <v>170</v>
      </c>
    </row>
    <row r="87" spans="3:6">
      <c r="C87" s="120"/>
      <c r="F87" s="116">
        <f t="shared" si="441"/>
        <v>170</v>
      </c>
    </row>
    <row r="88" spans="3:6">
      <c r="C88" s="120"/>
      <c r="F88" s="116">
        <f t="shared" si="441"/>
        <v>170</v>
      </c>
    </row>
    <row r="89" spans="3:6">
      <c r="C89" s="120"/>
      <c r="F89" s="116">
        <f t="shared" si="441"/>
        <v>170</v>
      </c>
    </row>
    <row r="90" spans="3:6">
      <c r="C90" s="120"/>
      <c r="F90" s="116">
        <f t="shared" si="441"/>
        <v>170</v>
      </c>
    </row>
    <row r="91" spans="3:6">
      <c r="C91" s="120"/>
      <c r="F91" s="116">
        <f t="shared" si="441"/>
        <v>170</v>
      </c>
    </row>
    <row r="92" spans="3:6">
      <c r="C92" s="120"/>
      <c r="F92" s="116"/>
    </row>
    <row r="93" spans="3:6">
      <c r="C93" s="120"/>
      <c r="F93" s="116"/>
    </row>
    <row r="94" spans="3:6">
      <c r="C94" s="120"/>
      <c r="F94" s="116"/>
    </row>
    <row r="95" spans="3:6">
      <c r="C95" s="120"/>
      <c r="F95" s="116"/>
    </row>
    <row r="96" spans="3:6">
      <c r="F96" s="116"/>
    </row>
    <row r="97" spans="3:7">
      <c r="C97" s="7" t="s">
        <v>189</v>
      </c>
      <c r="D97" s="7" t="s">
        <v>190</v>
      </c>
      <c r="E97" s="6" t="s">
        <v>191</v>
      </c>
      <c r="F97" s="116" t="s">
        <v>192</v>
      </c>
    </row>
    <row r="98" spans="3:7">
      <c r="C98" s="104">
        <v>46085</v>
      </c>
      <c r="D98" s="7">
        <v>18</v>
      </c>
      <c r="F98" s="6">
        <v>18</v>
      </c>
    </row>
    <row r="99" spans="3:7">
      <c r="C99" s="120">
        <v>46092</v>
      </c>
      <c r="E99" s="6">
        <v>18</v>
      </c>
      <c r="F99" s="6">
        <f>F98+D99-E99</f>
        <v>0</v>
      </c>
    </row>
    <row r="100" spans="3:7">
      <c r="C100" s="120">
        <v>46107</v>
      </c>
      <c r="D100" s="7">
        <v>18</v>
      </c>
      <c r="F100" s="6">
        <f t="shared" ref="F100:F109" si="442">F99+D100-E100</f>
        <v>18</v>
      </c>
    </row>
    <row r="101" spans="3:7">
      <c r="C101" s="120">
        <v>46119</v>
      </c>
      <c r="E101" s="6">
        <v>18</v>
      </c>
      <c r="F101" s="6">
        <f t="shared" si="442"/>
        <v>0</v>
      </c>
    </row>
    <row r="102" spans="3:7">
      <c r="C102" s="120">
        <v>46136</v>
      </c>
      <c r="D102" s="7">
        <v>18</v>
      </c>
      <c r="F102" s="6">
        <f t="shared" si="442"/>
        <v>18</v>
      </c>
    </row>
    <row r="103" spans="3:7">
      <c r="C103" s="120">
        <v>46148</v>
      </c>
      <c r="E103" s="6">
        <v>18</v>
      </c>
      <c r="F103" s="6">
        <f t="shared" si="442"/>
        <v>0</v>
      </c>
    </row>
    <row r="104" spans="3:7">
      <c r="C104" s="120">
        <v>46162</v>
      </c>
      <c r="D104" s="7">
        <v>36</v>
      </c>
      <c r="F104" s="6">
        <f t="shared" si="442"/>
        <v>36</v>
      </c>
    </row>
    <row r="105" spans="3:7">
      <c r="C105" s="104">
        <v>46177</v>
      </c>
      <c r="E105" s="6">
        <v>18</v>
      </c>
      <c r="F105" s="6">
        <f t="shared" si="442"/>
        <v>18</v>
      </c>
      <c r="G105" s="6" t="s">
        <v>435</v>
      </c>
    </row>
    <row r="106" spans="3:7">
      <c r="C106" s="104">
        <v>46181</v>
      </c>
      <c r="E106" s="6">
        <v>17</v>
      </c>
      <c r="F106" s="6">
        <f t="shared" si="442"/>
        <v>1</v>
      </c>
      <c r="G106" s="6" t="s">
        <v>458</v>
      </c>
    </row>
    <row r="107" spans="3:7">
      <c r="C107" s="104">
        <v>46185</v>
      </c>
      <c r="E107" s="6">
        <v>1</v>
      </c>
      <c r="F107" s="6">
        <f t="shared" si="442"/>
        <v>0</v>
      </c>
      <c r="G107" s="6" t="s">
        <v>468</v>
      </c>
    </row>
    <row r="108" spans="3:7">
      <c r="C108" s="104">
        <v>46217</v>
      </c>
      <c r="D108" s="7">
        <v>18</v>
      </c>
      <c r="F108" s="6">
        <f t="shared" si="442"/>
        <v>18</v>
      </c>
    </row>
    <row r="109" spans="3:7">
      <c r="C109" s="104">
        <v>46232</v>
      </c>
      <c r="E109" s="6">
        <v>18</v>
      </c>
      <c r="F109" s="6">
        <f t="shared" si="442"/>
        <v>0</v>
      </c>
    </row>
    <row r="115" spans="3:6">
      <c r="C115" s="7" t="s">
        <v>218</v>
      </c>
      <c r="D115" s="7" t="s">
        <v>141</v>
      </c>
      <c r="E115" s="6" t="s">
        <v>142</v>
      </c>
      <c r="F115" s="116" t="s">
        <v>143</v>
      </c>
    </row>
    <row r="116" spans="3:6">
      <c r="C116" s="104">
        <v>45786</v>
      </c>
      <c r="D116" s="7">
        <v>27</v>
      </c>
      <c r="E116" s="6">
        <v>16</v>
      </c>
      <c r="F116" s="6">
        <f>D116-E116</f>
        <v>11</v>
      </c>
    </row>
    <row r="117" spans="3:6">
      <c r="C117" s="120"/>
      <c r="F117" s="6">
        <f>F116+D117-E117</f>
        <v>11</v>
      </c>
    </row>
    <row r="118" spans="3:6">
      <c r="C118" s="120"/>
      <c r="F118" s="6">
        <f t="shared" ref="F118:F119" si="443">F117+D118-E118</f>
        <v>11</v>
      </c>
    </row>
    <row r="119" spans="3:6">
      <c r="C119" s="120"/>
      <c r="F119" s="6">
        <f t="shared" si="443"/>
        <v>11</v>
      </c>
    </row>
  </sheetData>
  <mergeCells count="27">
    <mergeCell ref="Z4:Z12"/>
    <mergeCell ref="AA4:AA12"/>
    <mergeCell ref="AB4:AB12"/>
    <mergeCell ref="T4:T12"/>
    <mergeCell ref="U4:U12"/>
    <mergeCell ref="V4:V12"/>
    <mergeCell ref="W4:W12"/>
    <mergeCell ref="X4:X12"/>
    <mergeCell ref="Y4:Y12"/>
    <mergeCell ref="S4:S12"/>
    <mergeCell ref="H4:H12"/>
    <mergeCell ref="I4:I12"/>
    <mergeCell ref="J4:J12"/>
    <mergeCell ref="K4:K12"/>
    <mergeCell ref="L4:L12"/>
    <mergeCell ref="M4:M12"/>
    <mergeCell ref="N4:N12"/>
    <mergeCell ref="O4:O12"/>
    <mergeCell ref="P4:P12"/>
    <mergeCell ref="Q4:Q12"/>
    <mergeCell ref="R4:R12"/>
    <mergeCell ref="G4:G12"/>
    <mergeCell ref="B4:B12"/>
    <mergeCell ref="C4:C12"/>
    <mergeCell ref="D4:D12"/>
    <mergeCell ref="E4:E12"/>
    <mergeCell ref="F4:F12"/>
  </mergeCells>
  <phoneticPr fontId="2" type="noConversion"/>
  <pageMargins left="0.70866141732283472" right="0.70866141732283472" top="0.74803149606299213" bottom="0.74803149606299213" header="0.31496062992125984" footer="0.31496062992125984"/>
  <pageSetup paperSize="9" orientation="landscape" horizontalDpi="200" verticalDpi="2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87D7E-1910-4F5E-BCA1-EFE080BBE205}">
  <sheetPr codeName="Sheet29"/>
  <dimension ref="B1:BY68"/>
  <sheetViews>
    <sheetView workbookViewId="0">
      <pane xSplit="29" ySplit="12" topLeftCell="AD28" activePane="bottomRight" state="frozen"/>
      <selection activeCell="C17" sqref="C17"/>
      <selection pane="topRight" activeCell="C17" sqref="C17"/>
      <selection pane="bottomLeft" activeCell="C17" sqref="C17"/>
      <selection pane="bottomRight" activeCell="C28" sqref="C28"/>
    </sheetView>
  </sheetViews>
  <sheetFormatPr defaultColWidth="9" defaultRowHeight="11.25" outlineLevelCol="1"/>
  <cols>
    <col min="1" max="1" width="4.375" style="7" customWidth="1"/>
    <col min="2" max="2" width="7.75" style="6" bestFit="1" customWidth="1"/>
    <col min="3" max="3" width="17.125" style="7" bestFit="1" customWidth="1"/>
    <col min="4" max="4" width="18" style="7" bestFit="1" customWidth="1"/>
    <col min="5" max="5" width="9.75" style="6" bestFit="1" customWidth="1"/>
    <col min="6" max="6" width="22.375" style="6" bestFit="1" customWidth="1"/>
    <col min="7" max="7" width="6.75" style="6" hidden="1" customWidth="1" outlineLevel="1"/>
    <col min="8" max="8" width="6.75" style="16" hidden="1" customWidth="1" outlineLevel="1"/>
    <col min="9" max="9" width="6.75" style="40" hidden="1" customWidth="1" outlineLevel="1"/>
    <col min="10" max="11" width="6.75" style="16" hidden="1" customWidth="1" outlineLevel="1"/>
    <col min="12" max="12" width="6.75" style="40" hidden="1" customWidth="1" outlineLevel="1"/>
    <col min="13" max="13" width="6.75" style="16" hidden="1" customWidth="1" outlineLevel="1"/>
    <col min="14" max="14" width="6.75" style="16" customWidth="1" collapsed="1"/>
    <col min="15" max="15" width="6.75" style="40" customWidth="1"/>
    <col min="16" max="16" width="6.75" style="21" customWidth="1"/>
    <col min="17" max="17" width="6.75" style="22" customWidth="1"/>
    <col min="18" max="18" width="6.75" style="16" hidden="1" customWidth="1" outlineLevel="1"/>
    <col min="19" max="20" width="6.75" style="30" hidden="1" customWidth="1" outlineLevel="1"/>
    <col min="21" max="21" width="17" style="94" hidden="1" customWidth="1" outlineLevel="1"/>
    <col min="22" max="22" width="4.625" style="30" hidden="1" customWidth="1" outlineLevel="1"/>
    <col min="23" max="23" width="9.25" style="7" hidden="1" customWidth="1" outlineLevel="1"/>
    <col min="24" max="24" width="5" style="7" hidden="1" customWidth="1" outlineLevel="1"/>
    <col min="25" max="25" width="4.5" style="7" hidden="1" customWidth="1" outlineLevel="1"/>
    <col min="26" max="28" width="7.25" style="1" hidden="1" customWidth="1" outlineLevel="1"/>
    <col min="29" max="29" width="15.625" style="60" customWidth="1" collapsed="1"/>
    <col min="30" max="30" width="18.75" style="7" hidden="1" customWidth="1"/>
    <col min="31" max="31" width="15.375" style="7" hidden="1" customWidth="1"/>
    <col min="32" max="52" width="20.625" style="7" hidden="1" customWidth="1"/>
    <col min="53" max="53" width="13.125" style="7" hidden="1" customWidth="1"/>
    <col min="54" max="54" width="14.125" style="7" hidden="1" customWidth="1"/>
    <col min="55" max="56" width="16.125" style="7" hidden="1" customWidth="1"/>
    <col min="57" max="61" width="20.625" style="7" hidden="1" customWidth="1"/>
    <col min="62" max="62" width="14.125" style="7" hidden="1" customWidth="1"/>
    <col min="63" max="63" width="18.75" style="7" hidden="1" customWidth="1"/>
    <col min="64" max="64" width="13.625" style="7" hidden="1" customWidth="1"/>
    <col min="65" max="65" width="14.125" style="7" hidden="1" customWidth="1"/>
    <col min="66" max="77" width="20.625" style="7" customWidth="1"/>
    <col min="78" max="16384" width="9" style="7"/>
  </cols>
  <sheetData>
    <row r="1" spans="2:77" s="23" customFormat="1" ht="20.100000000000001" customHeight="1">
      <c r="H1" s="25"/>
      <c r="I1" s="36"/>
      <c r="J1" s="25"/>
      <c r="K1" s="25"/>
      <c r="L1" s="36"/>
      <c r="M1" s="25"/>
      <c r="N1" s="25"/>
      <c r="O1" s="36"/>
      <c r="P1" s="25"/>
      <c r="Q1" s="36"/>
      <c r="R1" s="25"/>
      <c r="S1" s="25"/>
      <c r="T1" s="25"/>
      <c r="V1" s="25"/>
      <c r="AC1" s="54"/>
    </row>
    <row r="2" spans="2:77" s="23" customFormat="1" ht="20.100000000000001" customHeight="1">
      <c r="F2" s="63"/>
      <c r="H2" s="25" t="s">
        <v>306</v>
      </c>
      <c r="I2" s="36"/>
      <c r="J2" s="25"/>
      <c r="K2" s="25"/>
      <c r="L2" s="36"/>
      <c r="M2" s="25"/>
      <c r="N2" s="25"/>
      <c r="O2" s="36"/>
      <c r="P2" s="25"/>
      <c r="Q2" s="36"/>
      <c r="R2" s="25"/>
      <c r="S2" s="25"/>
      <c r="T2" s="25"/>
      <c r="V2" s="25"/>
      <c r="Z2" s="23" t="s">
        <v>87</v>
      </c>
      <c r="AA2" s="102">
        <v>46204</v>
      </c>
      <c r="AC2" s="54"/>
    </row>
    <row r="3" spans="2:77" s="23" customFormat="1" ht="20.100000000000001" customHeight="1" thickBot="1">
      <c r="H3" s="25"/>
      <c r="I3" s="36"/>
      <c r="J3" s="25"/>
      <c r="K3" s="25"/>
      <c r="L3" s="36"/>
      <c r="M3" s="25"/>
      <c r="N3" s="25"/>
      <c r="O3" s="36"/>
      <c r="P3" s="25"/>
      <c r="Q3" s="36"/>
      <c r="R3" s="25"/>
      <c r="S3" s="25"/>
      <c r="T3" s="25"/>
      <c r="V3" s="25"/>
      <c r="Z3" s="23" t="s">
        <v>86</v>
      </c>
      <c r="AA3" s="102">
        <v>46234</v>
      </c>
      <c r="AC3" s="54"/>
      <c r="AK3" s="23" t="s">
        <v>581</v>
      </c>
      <c r="AL3" s="23" t="s">
        <v>581</v>
      </c>
    </row>
    <row r="4" spans="2:77" s="104" customFormat="1" ht="22.5" customHeight="1">
      <c r="B4" s="187" t="s">
        <v>16</v>
      </c>
      <c r="C4" s="173" t="s">
        <v>17</v>
      </c>
      <c r="D4" s="173" t="s">
        <v>18</v>
      </c>
      <c r="E4" s="173" t="s">
        <v>19</v>
      </c>
      <c r="F4" s="173" t="s">
        <v>20</v>
      </c>
      <c r="G4" s="173" t="s">
        <v>49</v>
      </c>
      <c r="H4" s="179" t="s">
        <v>21</v>
      </c>
      <c r="I4" s="182" t="s">
        <v>22</v>
      </c>
      <c r="J4" s="185" t="s">
        <v>71</v>
      </c>
      <c r="K4" s="185" t="s">
        <v>23</v>
      </c>
      <c r="L4" s="186" t="s">
        <v>9</v>
      </c>
      <c r="M4" s="179" t="s">
        <v>24</v>
      </c>
      <c r="N4" s="179" t="s">
        <v>25</v>
      </c>
      <c r="O4" s="182" t="s">
        <v>26</v>
      </c>
      <c r="P4" s="179" t="s">
        <v>27</v>
      </c>
      <c r="Q4" s="182" t="s">
        <v>28</v>
      </c>
      <c r="R4" s="179" t="s">
        <v>29</v>
      </c>
      <c r="S4" s="179" t="s">
        <v>30</v>
      </c>
      <c r="T4" s="179" t="s">
        <v>31</v>
      </c>
      <c r="U4" s="173" t="s">
        <v>32</v>
      </c>
      <c r="V4" s="179" t="s">
        <v>33</v>
      </c>
      <c r="W4" s="173" t="s">
        <v>34</v>
      </c>
      <c r="X4" s="173" t="s">
        <v>35</v>
      </c>
      <c r="Y4" s="173" t="s">
        <v>36</v>
      </c>
      <c r="Z4" s="173" t="s">
        <v>37</v>
      </c>
      <c r="AA4" s="173" t="s">
        <v>38</v>
      </c>
      <c r="AB4" s="176" t="s">
        <v>39</v>
      </c>
      <c r="AC4" s="135" t="s">
        <v>0</v>
      </c>
      <c r="AD4" s="104">
        <v>46204</v>
      </c>
      <c r="AE4" s="104">
        <v>46204</v>
      </c>
      <c r="AF4" s="104">
        <v>46205</v>
      </c>
      <c r="AG4" s="104">
        <v>46205</v>
      </c>
      <c r="AH4" s="104">
        <v>46205</v>
      </c>
      <c r="AI4" s="104">
        <v>46205</v>
      </c>
      <c r="AJ4" s="104">
        <v>46205</v>
      </c>
      <c r="AK4" s="104">
        <v>46205</v>
      </c>
      <c r="AL4" s="104">
        <v>46205</v>
      </c>
      <c r="AM4" s="104">
        <v>46206</v>
      </c>
      <c r="AN4" s="104">
        <v>46206</v>
      </c>
      <c r="AO4" s="104">
        <v>46206</v>
      </c>
      <c r="AP4" s="104">
        <v>46209</v>
      </c>
      <c r="AQ4" s="104">
        <v>46210</v>
      </c>
      <c r="AR4" s="104">
        <v>46210</v>
      </c>
      <c r="AS4" s="104">
        <v>46211</v>
      </c>
      <c r="AT4" s="104">
        <v>46213</v>
      </c>
      <c r="AU4" s="104">
        <v>46213</v>
      </c>
      <c r="AV4" s="104">
        <v>46217</v>
      </c>
      <c r="AW4" s="104">
        <v>46213</v>
      </c>
      <c r="AX4" s="104">
        <v>46217</v>
      </c>
      <c r="AY4" s="104">
        <v>46218</v>
      </c>
      <c r="AZ4" s="104">
        <v>46219</v>
      </c>
      <c r="BA4" s="104">
        <v>46223</v>
      </c>
      <c r="BB4" s="104">
        <v>46224</v>
      </c>
      <c r="BC4" s="104">
        <v>46224</v>
      </c>
      <c r="BD4" s="104">
        <v>46224</v>
      </c>
      <c r="BE4" s="104">
        <v>46224</v>
      </c>
      <c r="BF4" s="104">
        <v>46225</v>
      </c>
      <c r="BG4" s="104">
        <v>46225</v>
      </c>
      <c r="BH4" s="104">
        <v>46227</v>
      </c>
      <c r="BI4" s="104">
        <v>46226</v>
      </c>
      <c r="BJ4" s="104">
        <v>46231</v>
      </c>
      <c r="BK4" s="104">
        <v>46231</v>
      </c>
      <c r="BL4" s="104">
        <v>46231</v>
      </c>
      <c r="BM4" s="104">
        <v>46232</v>
      </c>
      <c r="BN4" s="104">
        <v>46232</v>
      </c>
      <c r="BO4" s="104">
        <v>46233</v>
      </c>
      <c r="BP4" s="104">
        <v>46233</v>
      </c>
    </row>
    <row r="5" spans="2:77" s="104" customFormat="1" ht="20.100000000000001" customHeight="1">
      <c r="B5" s="188"/>
      <c r="C5" s="174"/>
      <c r="D5" s="174"/>
      <c r="E5" s="174"/>
      <c r="F5" s="174"/>
      <c r="G5" s="174"/>
      <c r="H5" s="180"/>
      <c r="I5" s="183"/>
      <c r="J5" s="180"/>
      <c r="K5" s="180"/>
      <c r="L5" s="183"/>
      <c r="M5" s="180"/>
      <c r="N5" s="180"/>
      <c r="O5" s="183"/>
      <c r="P5" s="180"/>
      <c r="Q5" s="183"/>
      <c r="R5" s="180"/>
      <c r="S5" s="180"/>
      <c r="T5" s="180"/>
      <c r="U5" s="174"/>
      <c r="V5" s="180"/>
      <c r="W5" s="174"/>
      <c r="X5" s="174"/>
      <c r="Y5" s="174"/>
      <c r="Z5" s="174"/>
      <c r="AA5" s="174"/>
      <c r="AB5" s="177"/>
      <c r="AC5" s="135" t="s">
        <v>1</v>
      </c>
      <c r="AD5" s="104" t="s">
        <v>558</v>
      </c>
      <c r="AE5" s="104" t="s">
        <v>559</v>
      </c>
      <c r="AF5" s="104" t="s">
        <v>579</v>
      </c>
      <c r="AG5" s="104" t="s">
        <v>579</v>
      </c>
      <c r="AH5" s="104" t="s">
        <v>579</v>
      </c>
      <c r="AI5" s="104" t="s">
        <v>579</v>
      </c>
      <c r="AJ5" s="104" t="s">
        <v>579</v>
      </c>
      <c r="AK5" s="104" t="s">
        <v>579</v>
      </c>
      <c r="AL5" s="104" t="s">
        <v>579</v>
      </c>
      <c r="AM5" s="104" t="s">
        <v>600</v>
      </c>
      <c r="AN5" s="104" t="s">
        <v>601</v>
      </c>
      <c r="AO5" s="104" t="s">
        <v>405</v>
      </c>
      <c r="AP5" s="104" t="s">
        <v>480</v>
      </c>
      <c r="AQ5" s="104" t="s">
        <v>627</v>
      </c>
      <c r="AR5" s="104" t="s">
        <v>630</v>
      </c>
      <c r="AS5" s="104" t="s">
        <v>633</v>
      </c>
      <c r="AT5" s="104" t="s">
        <v>653</v>
      </c>
      <c r="AU5" s="104" t="s">
        <v>558</v>
      </c>
      <c r="AV5" s="104" t="s">
        <v>630</v>
      </c>
      <c r="AW5" s="104" t="s">
        <v>679</v>
      </c>
      <c r="AX5" s="104" t="s">
        <v>680</v>
      </c>
      <c r="AY5" s="104" t="s">
        <v>558</v>
      </c>
      <c r="AZ5" s="104" t="s">
        <v>718</v>
      </c>
      <c r="BA5" s="104" t="s">
        <v>781</v>
      </c>
      <c r="BB5" s="104" t="s">
        <v>782</v>
      </c>
      <c r="BC5" s="104" t="s">
        <v>783</v>
      </c>
      <c r="BD5" s="104" t="s">
        <v>783</v>
      </c>
      <c r="BE5" s="104" t="s">
        <v>783</v>
      </c>
      <c r="BF5" s="104" t="s">
        <v>810</v>
      </c>
      <c r="BG5" s="104" t="s">
        <v>810</v>
      </c>
      <c r="BH5" s="104" t="s">
        <v>815</v>
      </c>
      <c r="BI5" s="104" t="s">
        <v>816</v>
      </c>
      <c r="BJ5" s="104" t="s">
        <v>784</v>
      </c>
      <c r="BK5" s="104" t="s">
        <v>680</v>
      </c>
      <c r="BL5" s="104" t="s">
        <v>857</v>
      </c>
      <c r="BM5" s="104" t="s">
        <v>858</v>
      </c>
      <c r="BN5" s="104" t="s">
        <v>859</v>
      </c>
      <c r="BO5" s="104" t="s">
        <v>862</v>
      </c>
      <c r="BP5" s="104" t="s">
        <v>863</v>
      </c>
    </row>
    <row r="6" spans="2:77" ht="15" customHeight="1">
      <c r="B6" s="188"/>
      <c r="C6" s="174"/>
      <c r="D6" s="174"/>
      <c r="E6" s="174"/>
      <c r="F6" s="174"/>
      <c r="G6" s="174"/>
      <c r="H6" s="180"/>
      <c r="I6" s="183"/>
      <c r="J6" s="180"/>
      <c r="K6" s="180"/>
      <c r="L6" s="183"/>
      <c r="M6" s="180"/>
      <c r="N6" s="180"/>
      <c r="O6" s="183"/>
      <c r="P6" s="180"/>
      <c r="Q6" s="183"/>
      <c r="R6" s="180"/>
      <c r="S6" s="180"/>
      <c r="T6" s="180"/>
      <c r="U6" s="174"/>
      <c r="V6" s="180"/>
      <c r="W6" s="174"/>
      <c r="X6" s="174"/>
      <c r="Y6" s="174"/>
      <c r="Z6" s="174"/>
      <c r="AA6" s="174"/>
      <c r="AB6" s="177"/>
      <c r="AC6" s="58" t="s">
        <v>2</v>
      </c>
      <c r="AD6" s="17" t="str">
        <f>IFERROR(INDEX($C$13:$C$346,MATCH(SUM(AD$13:AD$346),AD$13:AD$346,0),1),"")</f>
        <v>KMTCLCH5557026</v>
      </c>
      <c r="AE6" s="17" t="str">
        <f t="shared" ref="AE6:BU6" si="0">IFERROR(INDEX($C$13:$C$346,MATCH(SUM(AE$13:AE$346),AE$13:AE$346,0),1),"")</f>
        <v>HASLS22260401559</v>
      </c>
      <c r="AF6" s="17" t="str">
        <f t="shared" si="0"/>
        <v>KMTCLCH5557026</v>
      </c>
      <c r="AG6" s="17" t="str">
        <f t="shared" si="0"/>
        <v>KMTCLCH5557026</v>
      </c>
      <c r="AH6" s="17" t="str">
        <f t="shared" si="0"/>
        <v>KMTCLCH5353069</v>
      </c>
      <c r="AI6" s="17" t="str">
        <f t="shared" si="0"/>
        <v>KMTCLCH5353069</v>
      </c>
      <c r="AJ6" s="17" t="str">
        <f t="shared" si="0"/>
        <v>F2-KMTCLCH5325092</v>
      </c>
      <c r="AK6" s="17" t="str">
        <f t="shared" si="0"/>
        <v>F2-KMTCLCH5485485</v>
      </c>
      <c r="AL6" s="17" t="str">
        <f t="shared" si="0"/>
        <v>F2-HASLS22251001006</v>
      </c>
      <c r="AM6" s="17" t="str">
        <f t="shared" si="0"/>
        <v>KMTCLCH5550845</v>
      </c>
      <c r="AN6" s="17" t="str">
        <f t="shared" si="0"/>
        <v>KMTCLCH5550845</v>
      </c>
      <c r="AO6" s="17" t="str">
        <f t="shared" si="0"/>
        <v>KMTCBKK3857878</v>
      </c>
      <c r="AP6" s="17" t="str">
        <f t="shared" si="0"/>
        <v>KMTCLCH5629344</v>
      </c>
      <c r="AQ6" s="17" t="str">
        <f t="shared" si="0"/>
        <v>HASLS22260401559</v>
      </c>
      <c r="AR6" s="17" t="str">
        <f t="shared" si="0"/>
        <v>HASLS22260401559</v>
      </c>
      <c r="AS6" s="17" t="str">
        <f t="shared" si="0"/>
        <v>HASLS22260401559</v>
      </c>
      <c r="AT6" s="17" t="str">
        <f t="shared" si="0"/>
        <v>HASLS22260401559</v>
      </c>
      <c r="AU6" s="17" t="str">
        <f t="shared" si="0"/>
        <v>KMTCLCH5557026</v>
      </c>
      <c r="AV6" s="17" t="str">
        <f t="shared" si="0"/>
        <v>HASLS22260401559</v>
      </c>
      <c r="AW6" s="17" t="str">
        <f t="shared" si="0"/>
        <v>HASLS22260401559</v>
      </c>
      <c r="AX6" s="17" t="str">
        <f t="shared" si="0"/>
        <v>KMTCLCH5557026</v>
      </c>
      <c r="AY6" s="17" t="str">
        <f t="shared" si="0"/>
        <v>KMTCLCH5557026</v>
      </c>
      <c r="AZ6" s="17" t="str">
        <f t="shared" si="0"/>
        <v>HASLS22260401559</v>
      </c>
      <c r="BA6" s="17" t="str">
        <f t="shared" si="0"/>
        <v>KMTCLCH5629344</v>
      </c>
      <c r="BB6" s="17" t="str">
        <f t="shared" si="0"/>
        <v>HASLS22260401559</v>
      </c>
      <c r="BC6" s="17" t="str">
        <f t="shared" si="0"/>
        <v>KMTCLCH5629344</v>
      </c>
      <c r="BD6" s="17" t="str">
        <f t="shared" si="0"/>
        <v>KMTCLCH5629344</v>
      </c>
      <c r="BE6" s="17" t="str">
        <f t="shared" si="0"/>
        <v>DJSCLCH260001546(HFIBKO266013)</v>
      </c>
      <c r="BF6" s="17" t="str">
        <f t="shared" si="0"/>
        <v>KMTCBKK3857878</v>
      </c>
      <c r="BG6" s="17" t="str">
        <f t="shared" si="0"/>
        <v>HASLS22260401559</v>
      </c>
      <c r="BH6" s="17" t="str">
        <f t="shared" si="0"/>
        <v>HASLS22260401559</v>
      </c>
      <c r="BI6" s="17" t="str">
        <f t="shared" si="0"/>
        <v>HASLS22260401559</v>
      </c>
      <c r="BJ6" s="17" t="str">
        <f t="shared" si="0"/>
        <v>HASLS22260401559</v>
      </c>
      <c r="BK6" s="17" t="str">
        <f t="shared" si="0"/>
        <v>KMTCLCH5557026</v>
      </c>
      <c r="BL6" s="17" t="str">
        <f t="shared" si="0"/>
        <v>KMTCLCH5678809</v>
      </c>
      <c r="BM6" s="17" t="str">
        <f t="shared" si="0"/>
        <v>HASLS22260401559</v>
      </c>
      <c r="BN6" s="17" t="str">
        <f t="shared" si="0"/>
        <v>KMTCLCH5678809</v>
      </c>
      <c r="BO6" s="17" t="str">
        <f t="shared" si="0"/>
        <v>KMTCBKK3857878</v>
      </c>
      <c r="BP6" s="17" t="str">
        <f t="shared" si="0"/>
        <v>DJSCLCH260001546(HFIBKO266013)</v>
      </c>
      <c r="BQ6" s="17" t="str">
        <f t="shared" si="0"/>
        <v/>
      </c>
      <c r="BR6" s="17" t="str">
        <f t="shared" si="0"/>
        <v/>
      </c>
      <c r="BS6" s="17" t="str">
        <f t="shared" si="0"/>
        <v/>
      </c>
      <c r="BT6" s="17" t="str">
        <f t="shared" si="0"/>
        <v/>
      </c>
      <c r="BU6" s="17" t="str">
        <f t="shared" si="0"/>
        <v/>
      </c>
      <c r="BV6" s="17" t="str">
        <f t="shared" ref="BV6:BY6" si="1">IFERROR(INDEX($C$13:$C$346,MATCH(SUM(BV$13:BV$346),BV$13:BV$346,0),1),"")</f>
        <v/>
      </c>
      <c r="BW6" s="17" t="str">
        <f t="shared" si="1"/>
        <v/>
      </c>
      <c r="BX6" s="17" t="str">
        <f t="shared" si="1"/>
        <v/>
      </c>
      <c r="BY6" s="17" t="str">
        <f t="shared" si="1"/>
        <v/>
      </c>
    </row>
    <row r="7" spans="2:77" ht="15" customHeight="1">
      <c r="B7" s="188"/>
      <c r="C7" s="174"/>
      <c r="D7" s="174"/>
      <c r="E7" s="174"/>
      <c r="F7" s="174"/>
      <c r="G7" s="174"/>
      <c r="H7" s="180"/>
      <c r="I7" s="183"/>
      <c r="J7" s="180"/>
      <c r="K7" s="180"/>
      <c r="L7" s="183"/>
      <c r="M7" s="180"/>
      <c r="N7" s="180"/>
      <c r="O7" s="183"/>
      <c r="P7" s="180"/>
      <c r="Q7" s="183"/>
      <c r="R7" s="180"/>
      <c r="S7" s="180"/>
      <c r="T7" s="180"/>
      <c r="U7" s="174"/>
      <c r="V7" s="180"/>
      <c r="W7" s="174"/>
      <c r="X7" s="174"/>
      <c r="Y7" s="174"/>
      <c r="Z7" s="174"/>
      <c r="AA7" s="174"/>
      <c r="AB7" s="177"/>
      <c r="AC7" s="58" t="s">
        <v>3</v>
      </c>
      <c r="AD7" s="101" t="str">
        <f t="shared" ref="AD7:AF7" si="2">IFERROR(INDEX($F$13:$F$346,MATCH(SUM(AD$13:AD$346),AD$13:AD$346,0),1),"")</f>
        <v>25KG설탕(엘리트티앤에스)</v>
      </c>
      <c r="AE7" s="101" t="str">
        <f t="shared" si="2"/>
        <v>15KG설탕(화인비)</v>
      </c>
      <c r="AF7" s="101" t="str">
        <f t="shared" si="2"/>
        <v>25KG설탕(엘리트티앤에스)</v>
      </c>
      <c r="AG7" s="101" t="str">
        <f t="shared" ref="AG7:BC7" si="3">IFERROR(INDEX($F$13:$F$346,MATCH(SUM(AG$13:AG$346),AG$13:AG$346,0),1),"")</f>
        <v>25KG설탕(엘리트티앤에스)</v>
      </c>
      <c r="AH7" s="101" t="str">
        <f t="shared" si="3"/>
        <v>25KG설탕(엠에스에프원)</v>
      </c>
      <c r="AI7" s="101" t="str">
        <f t="shared" si="3"/>
        <v>25KG설탕(엠에스에프원)</v>
      </c>
      <c r="AJ7" s="101" t="str">
        <f t="shared" si="3"/>
        <v>25KG설탕</v>
      </c>
      <c r="AK7" s="101" t="str">
        <f t="shared" si="3"/>
        <v>25KG설탕</v>
      </c>
      <c r="AL7" s="101" t="str">
        <f t="shared" si="3"/>
        <v>25KG설탕</v>
      </c>
      <c r="AM7" s="101" t="str">
        <f t="shared" si="3"/>
        <v>톤백설탕</v>
      </c>
      <c r="AN7" s="101" t="str">
        <f t="shared" si="3"/>
        <v>톤백설탕</v>
      </c>
      <c r="AO7" s="101" t="str">
        <f t="shared" si="3"/>
        <v>톤백설탕(애이투지엠)</v>
      </c>
      <c r="AP7" s="101" t="str">
        <f t="shared" si="3"/>
        <v>15KG설탕(원물산)</v>
      </c>
      <c r="AQ7" s="101" t="str">
        <f t="shared" si="3"/>
        <v>15KG설탕(화인비)</v>
      </c>
      <c r="AR7" s="101" t="str">
        <f t="shared" si="3"/>
        <v>15KG설탕(화인비)</v>
      </c>
      <c r="AS7" s="101" t="str">
        <f t="shared" si="3"/>
        <v>15KG설탕(화인비)</v>
      </c>
      <c r="AT7" s="101" t="str">
        <f t="shared" si="3"/>
        <v>15KG설탕(화인비)</v>
      </c>
      <c r="AU7" s="101" t="str">
        <f t="shared" si="3"/>
        <v>25KG설탕(엘리트티앤에스)</v>
      </c>
      <c r="AV7" s="101" t="str">
        <f t="shared" si="3"/>
        <v>15KG설탕(화인비)</v>
      </c>
      <c r="AW7" s="101" t="str">
        <f t="shared" si="3"/>
        <v>15KG설탕(화인비)</v>
      </c>
      <c r="AX7" s="101" t="str">
        <f t="shared" si="3"/>
        <v>25KG설탕(엘리트티앤에스)</v>
      </c>
      <c r="AY7" s="101" t="str">
        <f t="shared" si="3"/>
        <v>25KG설탕(엘리트티앤에스)</v>
      </c>
      <c r="AZ7" s="101" t="str">
        <f t="shared" si="3"/>
        <v>15KG설탕(화인비)</v>
      </c>
      <c r="BA7" s="101" t="str">
        <f t="shared" si="3"/>
        <v>15KG설탕(원물산)</v>
      </c>
      <c r="BB7" s="101" t="str">
        <f t="shared" si="3"/>
        <v>15KG설탕(화인비)</v>
      </c>
      <c r="BC7" s="101" t="str">
        <f t="shared" si="3"/>
        <v>15KG설탕(원물산)</v>
      </c>
      <c r="BD7" s="101" t="str">
        <f t="shared" ref="BD7:BY7" si="4">IFERROR(INDEX($F$13:$F$346,MATCH(SUM(BD$13:BD$346),BD$13:BD$346,0),1),"")</f>
        <v>15KG설탕(원물산)</v>
      </c>
      <c r="BE7" s="101" t="str">
        <f t="shared" si="4"/>
        <v>15KG설탕(우리에프엠)</v>
      </c>
      <c r="BF7" s="101" t="str">
        <f t="shared" si="4"/>
        <v>톤백설탕(애이투지엠)</v>
      </c>
      <c r="BG7" s="101" t="str">
        <f t="shared" si="4"/>
        <v>15KG설탕(화인비)</v>
      </c>
      <c r="BH7" s="101" t="str">
        <f t="shared" si="4"/>
        <v>15KG설탕(화인비)</v>
      </c>
      <c r="BI7" s="101" t="str">
        <f t="shared" si="4"/>
        <v>15KG설탕(화인비)</v>
      </c>
      <c r="BJ7" s="101" t="str">
        <f>IFERROR(INDEX($F$13:$F$346,MATCH(SUM(BJ$13:BJ$346),BJ$13:BJ$346,0),1),"")</f>
        <v>15KG설탕(화인비)</v>
      </c>
      <c r="BK7" s="101" t="str">
        <f t="shared" si="4"/>
        <v>25KG설탕(엘리트티앤에스)</v>
      </c>
      <c r="BL7" s="101" t="str">
        <f t="shared" si="4"/>
        <v>톤백설탕(선플러스)</v>
      </c>
      <c r="BM7" s="101" t="str">
        <f t="shared" si="4"/>
        <v>15KG설탕(화인비)</v>
      </c>
      <c r="BN7" s="101" t="str">
        <f t="shared" si="4"/>
        <v>톤백설탕(선플러스)</v>
      </c>
      <c r="BO7" s="101" t="str">
        <f t="shared" si="4"/>
        <v>톤백설탕(애이투지엠)</v>
      </c>
      <c r="BP7" s="101" t="str">
        <f t="shared" si="4"/>
        <v>15KG설탕(우리에프엠)</v>
      </c>
      <c r="BQ7" s="101" t="str">
        <f t="shared" si="4"/>
        <v/>
      </c>
      <c r="BR7" s="101" t="str">
        <f t="shared" si="4"/>
        <v/>
      </c>
      <c r="BS7" s="101" t="str">
        <f t="shared" si="4"/>
        <v/>
      </c>
      <c r="BT7" s="101" t="str">
        <f t="shared" si="4"/>
        <v/>
      </c>
      <c r="BU7" s="101" t="str">
        <f t="shared" si="4"/>
        <v/>
      </c>
      <c r="BV7" s="101" t="str">
        <f t="shared" si="4"/>
        <v/>
      </c>
      <c r="BW7" s="101" t="str">
        <f t="shared" si="4"/>
        <v/>
      </c>
      <c r="BX7" s="101" t="str">
        <f t="shared" si="4"/>
        <v/>
      </c>
      <c r="BY7" s="101" t="str">
        <f t="shared" si="4"/>
        <v/>
      </c>
    </row>
    <row r="8" spans="2:77" ht="15" customHeight="1">
      <c r="B8" s="188"/>
      <c r="C8" s="174"/>
      <c r="D8" s="174"/>
      <c r="E8" s="174"/>
      <c r="F8" s="174"/>
      <c r="G8" s="174"/>
      <c r="H8" s="180"/>
      <c r="I8" s="183"/>
      <c r="J8" s="180"/>
      <c r="K8" s="180"/>
      <c r="L8" s="183"/>
      <c r="M8" s="180"/>
      <c r="N8" s="180"/>
      <c r="O8" s="183"/>
      <c r="P8" s="180"/>
      <c r="Q8" s="183"/>
      <c r="R8" s="180"/>
      <c r="S8" s="180"/>
      <c r="T8" s="180"/>
      <c r="U8" s="174"/>
      <c r="V8" s="180"/>
      <c r="W8" s="174"/>
      <c r="X8" s="174"/>
      <c r="Y8" s="174"/>
      <c r="Z8" s="174"/>
      <c r="AA8" s="174"/>
      <c r="AB8" s="177"/>
      <c r="AC8" s="59" t="s">
        <v>4</v>
      </c>
      <c r="AD8" s="48">
        <f t="shared" ref="AD8:AF8" si="5">IFERROR(SUM(AD$13:AD$346),"")</f>
        <v>480</v>
      </c>
      <c r="AE8" s="48">
        <f t="shared" si="5"/>
        <v>840</v>
      </c>
      <c r="AF8" s="48">
        <f t="shared" si="5"/>
        <v>680</v>
      </c>
      <c r="AG8" s="48">
        <f t="shared" ref="AG8:BC8" si="6">IFERROR(SUM(AG$13:AG$346),"")</f>
        <v>13</v>
      </c>
      <c r="AH8" s="48">
        <f t="shared" si="6"/>
        <v>40</v>
      </c>
      <c r="AI8" s="48">
        <f t="shared" si="6"/>
        <v>11</v>
      </c>
      <c r="AJ8" s="48">
        <f t="shared" si="6"/>
        <v>13</v>
      </c>
      <c r="AK8" s="48">
        <f t="shared" si="6"/>
        <v>8</v>
      </c>
      <c r="AL8" s="48">
        <f t="shared" si="6"/>
        <v>35</v>
      </c>
      <c r="AM8" s="48">
        <f t="shared" si="6"/>
        <v>14</v>
      </c>
      <c r="AN8" s="48">
        <f t="shared" si="6"/>
        <v>14</v>
      </c>
      <c r="AO8" s="48">
        <f t="shared" si="6"/>
        <v>13</v>
      </c>
      <c r="AP8" s="48">
        <f t="shared" si="6"/>
        <v>1008</v>
      </c>
      <c r="AQ8" s="48">
        <f t="shared" si="6"/>
        <v>672</v>
      </c>
      <c r="AR8" s="48">
        <f t="shared" si="6"/>
        <v>168</v>
      </c>
      <c r="AS8" s="48">
        <f t="shared" si="6"/>
        <v>840</v>
      </c>
      <c r="AT8" s="48">
        <f t="shared" si="6"/>
        <v>1176</v>
      </c>
      <c r="AU8" s="48">
        <f t="shared" si="6"/>
        <v>480</v>
      </c>
      <c r="AV8" s="48">
        <f t="shared" si="6"/>
        <v>168</v>
      </c>
      <c r="AW8" s="48">
        <f t="shared" si="6"/>
        <v>1008</v>
      </c>
      <c r="AX8" s="48">
        <f t="shared" si="6"/>
        <v>600</v>
      </c>
      <c r="AY8" s="48">
        <f t="shared" si="6"/>
        <v>480</v>
      </c>
      <c r="AZ8" s="48">
        <f t="shared" si="6"/>
        <v>924</v>
      </c>
      <c r="BA8" s="48">
        <f t="shared" si="6"/>
        <v>840</v>
      </c>
      <c r="BB8" s="48">
        <f t="shared" si="6"/>
        <v>1008</v>
      </c>
      <c r="BC8" s="48">
        <f t="shared" si="6"/>
        <v>756</v>
      </c>
      <c r="BD8" s="48">
        <f t="shared" ref="BD8:BY8" si="7">IFERROR(SUM(BD$13:BD$346),"")</f>
        <v>9</v>
      </c>
      <c r="BE8" s="48">
        <f t="shared" si="7"/>
        <v>75</v>
      </c>
      <c r="BF8" s="48">
        <f t="shared" si="7"/>
        <v>13</v>
      </c>
      <c r="BG8" s="48">
        <f t="shared" si="7"/>
        <v>84</v>
      </c>
      <c r="BH8" s="48">
        <f t="shared" si="7"/>
        <v>840</v>
      </c>
      <c r="BI8" s="48">
        <f t="shared" si="7"/>
        <v>1344</v>
      </c>
      <c r="BJ8" s="48">
        <f>IFERROR(SUM(BJ$13:BJ$346),"")</f>
        <v>168</v>
      </c>
      <c r="BK8" s="48">
        <f t="shared" si="7"/>
        <v>600</v>
      </c>
      <c r="BL8" s="48">
        <f t="shared" si="7"/>
        <v>10</v>
      </c>
      <c r="BM8" s="48">
        <f t="shared" si="7"/>
        <v>840</v>
      </c>
      <c r="BN8" s="48">
        <f t="shared" si="7"/>
        <v>14</v>
      </c>
      <c r="BO8" s="48">
        <f t="shared" si="7"/>
        <v>13</v>
      </c>
      <c r="BP8" s="48">
        <f t="shared" si="7"/>
        <v>840</v>
      </c>
      <c r="BQ8" s="48">
        <f t="shared" si="7"/>
        <v>0</v>
      </c>
      <c r="BR8" s="48">
        <f t="shared" si="7"/>
        <v>0</v>
      </c>
      <c r="BS8" s="48">
        <f t="shared" si="7"/>
        <v>0</v>
      </c>
      <c r="BT8" s="48">
        <f t="shared" si="7"/>
        <v>0</v>
      </c>
      <c r="BU8" s="48">
        <f t="shared" si="7"/>
        <v>0</v>
      </c>
      <c r="BV8" s="48">
        <f t="shared" si="7"/>
        <v>0</v>
      </c>
      <c r="BW8" s="48">
        <f t="shared" si="7"/>
        <v>0</v>
      </c>
      <c r="BX8" s="48">
        <f t="shared" si="7"/>
        <v>0</v>
      </c>
      <c r="BY8" s="48">
        <f t="shared" si="7"/>
        <v>0</v>
      </c>
    </row>
    <row r="9" spans="2:77" ht="15" customHeight="1">
      <c r="B9" s="188"/>
      <c r="C9" s="174"/>
      <c r="D9" s="174"/>
      <c r="E9" s="174"/>
      <c r="F9" s="174"/>
      <c r="G9" s="174"/>
      <c r="H9" s="180"/>
      <c r="I9" s="183"/>
      <c r="J9" s="180"/>
      <c r="K9" s="180"/>
      <c r="L9" s="183"/>
      <c r="M9" s="180"/>
      <c r="N9" s="180"/>
      <c r="O9" s="183"/>
      <c r="P9" s="180"/>
      <c r="Q9" s="183"/>
      <c r="R9" s="180"/>
      <c r="S9" s="180"/>
      <c r="T9" s="180"/>
      <c r="U9" s="174"/>
      <c r="V9" s="180"/>
      <c r="W9" s="174"/>
      <c r="X9" s="174"/>
      <c r="Y9" s="174"/>
      <c r="Z9" s="174"/>
      <c r="AA9" s="174"/>
      <c r="AB9" s="177"/>
      <c r="AC9" s="58" t="s">
        <v>5</v>
      </c>
      <c r="AD9" s="20">
        <f t="shared" ref="AD9:AP9" si="8">IFERROR(ROUNDUP((SUM(AD13:AD346)/IFERROR(INDEX($V$13:$V$346,MATCH(SUM(AD$13:AD$346),AD$13:AD$346,0),1),"")),0),"")</f>
        <v>12</v>
      </c>
      <c r="AE9" s="20">
        <f t="shared" si="8"/>
        <v>10</v>
      </c>
      <c r="AF9" s="20">
        <f t="shared" si="8"/>
        <v>17</v>
      </c>
      <c r="AG9" s="20">
        <v>0</v>
      </c>
      <c r="AH9" s="20">
        <f t="shared" si="8"/>
        <v>1</v>
      </c>
      <c r="AI9" s="20">
        <f t="shared" si="8"/>
        <v>1</v>
      </c>
      <c r="AJ9" s="20">
        <f t="shared" si="8"/>
        <v>1</v>
      </c>
      <c r="AK9" s="20">
        <f t="shared" si="8"/>
        <v>1</v>
      </c>
      <c r="AL9" s="20">
        <f t="shared" si="8"/>
        <v>1</v>
      </c>
      <c r="AM9" s="20">
        <f t="shared" si="8"/>
        <v>14</v>
      </c>
      <c r="AN9" s="20">
        <f t="shared" si="8"/>
        <v>14</v>
      </c>
      <c r="AO9" s="20">
        <f t="shared" si="8"/>
        <v>13</v>
      </c>
      <c r="AP9" s="20">
        <f t="shared" si="8"/>
        <v>12</v>
      </c>
      <c r="AQ9" s="20">
        <f t="shared" ref="AQ9:BR9" si="9">IFERROR(ROUNDUP((SUM(AQ13:AQ346)/IFERROR(INDEX($V$13:$V$346,MATCH(SUM(AQ$13:AQ$346),AQ$13:AQ$346,0),1),"")),0),"")</f>
        <v>8</v>
      </c>
      <c r="AR9" s="20">
        <f t="shared" si="9"/>
        <v>2</v>
      </c>
      <c r="AS9" s="20">
        <f t="shared" si="9"/>
        <v>10</v>
      </c>
      <c r="AT9" s="20">
        <f t="shared" si="9"/>
        <v>14</v>
      </c>
      <c r="AU9" s="20">
        <f t="shared" si="9"/>
        <v>12</v>
      </c>
      <c r="AV9" s="20">
        <f t="shared" si="9"/>
        <v>2</v>
      </c>
      <c r="AW9" s="20">
        <f t="shared" si="9"/>
        <v>12</v>
      </c>
      <c r="AX9" s="20">
        <f t="shared" si="9"/>
        <v>15</v>
      </c>
      <c r="AY9" s="20">
        <f t="shared" si="9"/>
        <v>12</v>
      </c>
      <c r="AZ9" s="20">
        <f t="shared" si="9"/>
        <v>11</v>
      </c>
      <c r="BA9" s="20">
        <f t="shared" si="9"/>
        <v>10</v>
      </c>
      <c r="BB9" s="20">
        <f t="shared" si="9"/>
        <v>12</v>
      </c>
      <c r="BC9" s="20">
        <f t="shared" si="9"/>
        <v>9</v>
      </c>
      <c r="BD9" s="20">
        <f t="shared" si="9"/>
        <v>1</v>
      </c>
      <c r="BE9" s="20">
        <f t="shared" si="9"/>
        <v>1</v>
      </c>
      <c r="BF9" s="20">
        <f t="shared" si="9"/>
        <v>13</v>
      </c>
      <c r="BG9" s="20">
        <f t="shared" si="9"/>
        <v>1</v>
      </c>
      <c r="BH9" s="20">
        <f t="shared" si="9"/>
        <v>10</v>
      </c>
      <c r="BI9" s="20">
        <f t="shared" si="9"/>
        <v>16</v>
      </c>
      <c r="BJ9" s="20">
        <f>IFERROR(ROUNDUP((SUM(BJ13:BJ346)/IFERROR(INDEX($V$13:$V$346,MATCH(SUM(BJ$13:BJ$346),BJ$13:BJ$346,0),1),"")),0),"")</f>
        <v>2</v>
      </c>
      <c r="BK9" s="20">
        <f t="shared" si="9"/>
        <v>15</v>
      </c>
      <c r="BL9" s="20">
        <f t="shared" si="9"/>
        <v>10</v>
      </c>
      <c r="BM9" s="20">
        <f t="shared" si="9"/>
        <v>10</v>
      </c>
      <c r="BN9" s="20">
        <f t="shared" si="9"/>
        <v>14</v>
      </c>
      <c r="BO9" s="20">
        <f t="shared" si="9"/>
        <v>13</v>
      </c>
      <c r="BP9" s="20">
        <f t="shared" si="9"/>
        <v>10</v>
      </c>
      <c r="BQ9" s="20" t="str">
        <f t="shared" si="9"/>
        <v/>
      </c>
      <c r="BR9" s="20" t="str">
        <f t="shared" si="9"/>
        <v/>
      </c>
      <c r="BS9" s="20" t="str">
        <f t="shared" ref="BS9:BY9" si="10">IFERROR(ROUNDUP((SUM(BS13:BS346)/IFERROR(INDEX($V$13:$V$346,MATCH(SUM(BS$13:BS$346),BS$13:BS$346,0),1),"")),0),"")</f>
        <v/>
      </c>
      <c r="BT9" s="20" t="str">
        <f t="shared" si="10"/>
        <v/>
      </c>
      <c r="BU9" s="20" t="str">
        <f t="shared" si="10"/>
        <v/>
      </c>
      <c r="BV9" s="20" t="str">
        <f t="shared" si="10"/>
        <v/>
      </c>
      <c r="BW9" s="20" t="str">
        <f t="shared" si="10"/>
        <v/>
      </c>
      <c r="BX9" s="20" t="str">
        <f t="shared" si="10"/>
        <v/>
      </c>
      <c r="BY9" s="20" t="str">
        <f t="shared" si="10"/>
        <v/>
      </c>
    </row>
    <row r="10" spans="2:77" ht="15" customHeight="1">
      <c r="B10" s="188"/>
      <c r="C10" s="174"/>
      <c r="D10" s="174"/>
      <c r="E10" s="174"/>
      <c r="F10" s="174"/>
      <c r="G10" s="174"/>
      <c r="H10" s="180"/>
      <c r="I10" s="183"/>
      <c r="J10" s="180"/>
      <c r="K10" s="180"/>
      <c r="L10" s="183"/>
      <c r="M10" s="180"/>
      <c r="N10" s="180"/>
      <c r="O10" s="183"/>
      <c r="P10" s="180"/>
      <c r="Q10" s="183"/>
      <c r="R10" s="180"/>
      <c r="S10" s="180"/>
      <c r="T10" s="180"/>
      <c r="U10" s="174"/>
      <c r="V10" s="180"/>
      <c r="W10" s="174"/>
      <c r="X10" s="174"/>
      <c r="Y10" s="174"/>
      <c r="Z10" s="174"/>
      <c r="AA10" s="174"/>
      <c r="AB10" s="177"/>
      <c r="AC10" s="58" t="s">
        <v>6</v>
      </c>
      <c r="AD10" s="17">
        <f t="shared" ref="AD10:AF10" si="11">IFERROR(INDEX($W$13:$W$346,MATCH(SUM(AD$13:AD$346),AD$13:AD$346,0),1),"")</f>
        <v>46131</v>
      </c>
      <c r="AE10" s="17">
        <f t="shared" si="11"/>
        <v>46215</v>
      </c>
      <c r="AF10" s="17">
        <f t="shared" si="11"/>
        <v>46131</v>
      </c>
      <c r="AG10" s="17">
        <f t="shared" ref="AG10:BC10" si="12">IFERROR(INDEX($W$13:$W$346,MATCH(SUM(AG$13:AG$346),AG$13:AG$346,0),1),"")</f>
        <v>46131</v>
      </c>
      <c r="AH10" s="17">
        <f t="shared" si="12"/>
        <v>45960</v>
      </c>
      <c r="AI10" s="17">
        <f t="shared" si="12"/>
        <v>45960</v>
      </c>
      <c r="AJ10" s="17">
        <f t="shared" si="12"/>
        <v>46223</v>
      </c>
      <c r="AK10" s="17">
        <f t="shared" si="12"/>
        <v>46223</v>
      </c>
      <c r="AL10" s="17">
        <f t="shared" si="12"/>
        <v>46223</v>
      </c>
      <c r="AM10" s="17">
        <f t="shared" si="12"/>
        <v>46139</v>
      </c>
      <c r="AN10" s="17">
        <f t="shared" si="12"/>
        <v>46139</v>
      </c>
      <c r="AO10" s="17">
        <f t="shared" si="12"/>
        <v>46183</v>
      </c>
      <c r="AP10" s="17">
        <f t="shared" si="12"/>
        <v>46184</v>
      </c>
      <c r="AQ10" s="17">
        <f t="shared" si="12"/>
        <v>46215</v>
      </c>
      <c r="AR10" s="17">
        <f t="shared" si="12"/>
        <v>46215</v>
      </c>
      <c r="AS10" s="17">
        <f t="shared" si="12"/>
        <v>46215</v>
      </c>
      <c r="AT10" s="17">
        <f t="shared" si="12"/>
        <v>46215</v>
      </c>
      <c r="AU10" s="17">
        <f t="shared" si="12"/>
        <v>46131</v>
      </c>
      <c r="AV10" s="17">
        <f t="shared" si="12"/>
        <v>46215</v>
      </c>
      <c r="AW10" s="17">
        <f t="shared" si="12"/>
        <v>46215</v>
      </c>
      <c r="AX10" s="17">
        <f t="shared" si="12"/>
        <v>46131</v>
      </c>
      <c r="AY10" s="17">
        <f t="shared" si="12"/>
        <v>46131</v>
      </c>
      <c r="AZ10" s="17">
        <f t="shared" si="12"/>
        <v>46215</v>
      </c>
      <c r="BA10" s="17">
        <f t="shared" si="12"/>
        <v>46184</v>
      </c>
      <c r="BB10" s="17">
        <f t="shared" si="12"/>
        <v>46215</v>
      </c>
      <c r="BC10" s="17">
        <f t="shared" si="12"/>
        <v>46184</v>
      </c>
      <c r="BD10" s="17">
        <f t="shared" ref="BD10:BY10" si="13">IFERROR(INDEX($W$13:$W$346,MATCH(SUM(BD$13:BD$346),BD$13:BD$346,0),1),"")</f>
        <v>46184</v>
      </c>
      <c r="BE10" s="17">
        <f t="shared" si="13"/>
        <v>46222</v>
      </c>
      <c r="BF10" s="17">
        <f t="shared" si="13"/>
        <v>46183</v>
      </c>
      <c r="BG10" s="17">
        <f t="shared" si="13"/>
        <v>46215</v>
      </c>
      <c r="BH10" s="17">
        <f t="shared" si="13"/>
        <v>46215</v>
      </c>
      <c r="BI10" s="17">
        <f t="shared" si="13"/>
        <v>46215</v>
      </c>
      <c r="BJ10" s="17">
        <f>IFERROR(INDEX($W$13:$W$346,MATCH(SUM(BJ$13:BJ$346),BJ$13:BJ$346,0),1),"")</f>
        <v>46215</v>
      </c>
      <c r="BK10" s="17">
        <f t="shared" si="13"/>
        <v>46131</v>
      </c>
      <c r="BL10" s="17">
        <f t="shared" si="13"/>
        <v>46229</v>
      </c>
      <c r="BM10" s="17">
        <f t="shared" si="13"/>
        <v>46215</v>
      </c>
      <c r="BN10" s="17">
        <f t="shared" si="13"/>
        <v>46229</v>
      </c>
      <c r="BO10" s="17">
        <f t="shared" si="13"/>
        <v>46183</v>
      </c>
      <c r="BP10" s="17">
        <f t="shared" si="13"/>
        <v>46222</v>
      </c>
      <c r="BQ10" s="17" t="str">
        <f t="shared" si="13"/>
        <v/>
      </c>
      <c r="BR10" s="17" t="str">
        <f t="shared" si="13"/>
        <v/>
      </c>
      <c r="BS10" s="17" t="str">
        <f t="shared" si="13"/>
        <v/>
      </c>
      <c r="BT10" s="17" t="str">
        <f t="shared" si="13"/>
        <v/>
      </c>
      <c r="BU10" s="17" t="str">
        <f t="shared" si="13"/>
        <v/>
      </c>
      <c r="BV10" s="17" t="str">
        <f t="shared" si="13"/>
        <v/>
      </c>
      <c r="BW10" s="17" t="str">
        <f t="shared" si="13"/>
        <v/>
      </c>
      <c r="BX10" s="17" t="str">
        <f t="shared" si="13"/>
        <v/>
      </c>
      <c r="BY10" s="17" t="str">
        <f t="shared" si="13"/>
        <v/>
      </c>
    </row>
    <row r="11" spans="2:77" ht="15" customHeight="1">
      <c r="B11" s="188"/>
      <c r="C11" s="174"/>
      <c r="D11" s="174"/>
      <c r="E11" s="174"/>
      <c r="F11" s="174"/>
      <c r="G11" s="174"/>
      <c r="H11" s="180"/>
      <c r="I11" s="183"/>
      <c r="J11" s="180"/>
      <c r="K11" s="180"/>
      <c r="L11" s="183"/>
      <c r="M11" s="180"/>
      <c r="N11" s="180"/>
      <c r="O11" s="183"/>
      <c r="P11" s="180"/>
      <c r="Q11" s="183"/>
      <c r="R11" s="180"/>
      <c r="S11" s="180"/>
      <c r="T11" s="180"/>
      <c r="U11" s="174"/>
      <c r="V11" s="180"/>
      <c r="W11" s="174"/>
      <c r="X11" s="174"/>
      <c r="Y11" s="174"/>
      <c r="Z11" s="174"/>
      <c r="AA11" s="174"/>
      <c r="AB11" s="177"/>
      <c r="AC11" s="58" t="s">
        <v>7</v>
      </c>
      <c r="AD11" s="20">
        <f t="shared" ref="AD11:AZ11" ca="1" si="14">IF(AD5="","",IF(AD10&gt;AD4,"프리타임 기간내 출고",IF(DATE(YEAR(AD4),MONTH(AD4),1)&gt;DATE(YEAR(AD10),MONTH(AD10),1),DATEDIF(DATE(YEAR(NOW()),MONTH(NOW()),1),(AD4)+1,"D"),DATEDIF(AD10,AD4+1,"D"))))</f>
        <v>1</v>
      </c>
      <c r="AE11" s="20" t="str">
        <f t="shared" ca="1" si="14"/>
        <v>프리타임 기간내 출고</v>
      </c>
      <c r="AF11" s="20">
        <f t="shared" ca="1" si="14"/>
        <v>2</v>
      </c>
      <c r="AG11" s="20">
        <f t="shared" ca="1" si="14"/>
        <v>2</v>
      </c>
      <c r="AH11" s="20">
        <f t="shared" ca="1" si="14"/>
        <v>2</v>
      </c>
      <c r="AI11" s="20">
        <f t="shared" ca="1" si="14"/>
        <v>2</v>
      </c>
      <c r="AJ11" s="20" t="str">
        <f t="shared" ca="1" si="14"/>
        <v>프리타임 기간내 출고</v>
      </c>
      <c r="AK11" s="20" t="str">
        <f t="shared" ca="1" si="14"/>
        <v>프리타임 기간내 출고</v>
      </c>
      <c r="AL11" s="20" t="str">
        <f t="shared" ca="1" si="14"/>
        <v>프리타임 기간내 출고</v>
      </c>
      <c r="AM11" s="20">
        <f t="shared" ca="1" si="14"/>
        <v>3</v>
      </c>
      <c r="AN11" s="20">
        <f t="shared" ca="1" si="14"/>
        <v>3</v>
      </c>
      <c r="AO11" s="20">
        <f t="shared" ca="1" si="14"/>
        <v>3</v>
      </c>
      <c r="AP11" s="20">
        <f t="shared" ca="1" si="14"/>
        <v>6</v>
      </c>
      <c r="AQ11" s="20" t="str">
        <f t="shared" ca="1" si="14"/>
        <v>프리타임 기간내 출고</v>
      </c>
      <c r="AR11" s="20" t="str">
        <f t="shared" ca="1" si="14"/>
        <v>프리타임 기간내 출고</v>
      </c>
      <c r="AS11" s="20" t="str">
        <f t="shared" ca="1" si="14"/>
        <v>프리타임 기간내 출고</v>
      </c>
      <c r="AT11" s="20" t="str">
        <f t="shared" ca="1" si="14"/>
        <v>프리타임 기간내 출고</v>
      </c>
      <c r="AU11" s="20">
        <f t="shared" ca="1" si="14"/>
        <v>10</v>
      </c>
      <c r="AV11" s="20">
        <f t="shared" ca="1" si="14"/>
        <v>3</v>
      </c>
      <c r="AW11" s="20" t="str">
        <f t="shared" ca="1" si="14"/>
        <v>프리타임 기간내 출고</v>
      </c>
      <c r="AX11" s="20">
        <f t="shared" ca="1" si="14"/>
        <v>14</v>
      </c>
      <c r="AY11" s="20">
        <f t="shared" ca="1" si="14"/>
        <v>15</v>
      </c>
      <c r="AZ11" s="20">
        <f t="shared" ca="1" si="14"/>
        <v>5</v>
      </c>
      <c r="BA11" s="20">
        <f t="shared" ref="BA11:BY11" ca="1" si="15">IF(BA5="","",IF(BA10&gt;BA4,"프리타임 기간내 출고",IF(DATE(YEAR(BA4),MONTH(BA4),1)&gt;DATE(YEAR(BA10),MONTH(BA10),1),DATEDIF(DATE(YEAR(NOW()),MONTH(NOW()),1),(BA4)+1,"D"),DATEDIF(BA10,BA4+1,"D"))))</f>
        <v>20</v>
      </c>
      <c r="BB11" s="20">
        <f t="shared" ca="1" si="15"/>
        <v>10</v>
      </c>
      <c r="BC11" s="20">
        <f t="shared" ca="1" si="15"/>
        <v>21</v>
      </c>
      <c r="BD11" s="20">
        <f t="shared" ca="1" si="15"/>
        <v>21</v>
      </c>
      <c r="BE11" s="20">
        <f t="shared" ca="1" si="15"/>
        <v>3</v>
      </c>
      <c r="BF11" s="20">
        <f t="shared" ca="1" si="15"/>
        <v>22</v>
      </c>
      <c r="BG11" s="20">
        <f t="shared" ca="1" si="15"/>
        <v>11</v>
      </c>
      <c r="BH11" s="20">
        <f t="shared" ca="1" si="15"/>
        <v>13</v>
      </c>
      <c r="BI11" s="20">
        <f t="shared" ca="1" si="15"/>
        <v>12</v>
      </c>
      <c r="BJ11" s="20">
        <f ca="1">IF(BJ5="","",IF(BJ10&gt;BJ4,"프리타임 기간내 출고",IF(DATE(YEAR(BJ4),MONTH(BJ4),1)&gt;DATE(YEAR(BJ10),MONTH(BJ10),1),DATEDIF(DATE(YEAR(NOW()),MONTH(NOW()),1),(BJ4)+1,"D"),DATEDIF(BJ10,BJ4+1,"D"))))</f>
        <v>17</v>
      </c>
      <c r="BK11" s="20">
        <f t="shared" ca="1" si="15"/>
        <v>28</v>
      </c>
      <c r="BL11" s="20">
        <f t="shared" ca="1" si="15"/>
        <v>3</v>
      </c>
      <c r="BM11" s="20">
        <f t="shared" ca="1" si="15"/>
        <v>18</v>
      </c>
      <c r="BN11" s="20">
        <f t="shared" ca="1" si="15"/>
        <v>4</v>
      </c>
      <c r="BO11" s="20">
        <f t="shared" ca="1" si="15"/>
        <v>30</v>
      </c>
      <c r="BP11" s="20">
        <f t="shared" ca="1" si="15"/>
        <v>12</v>
      </c>
      <c r="BQ11" s="20" t="str">
        <f t="shared" ca="1" si="15"/>
        <v/>
      </c>
      <c r="BR11" s="20" t="str">
        <f t="shared" ca="1" si="15"/>
        <v/>
      </c>
      <c r="BS11" s="20" t="str">
        <f t="shared" ca="1" si="15"/>
        <v/>
      </c>
      <c r="BT11" s="20" t="str">
        <f t="shared" ca="1" si="15"/>
        <v/>
      </c>
      <c r="BU11" s="20" t="str">
        <f t="shared" ca="1" si="15"/>
        <v/>
      </c>
      <c r="BV11" s="20" t="str">
        <f t="shared" ca="1" si="15"/>
        <v/>
      </c>
      <c r="BW11" s="20" t="str">
        <f t="shared" ca="1" si="15"/>
        <v/>
      </c>
      <c r="BX11" s="20" t="str">
        <f t="shared" ca="1" si="15"/>
        <v/>
      </c>
      <c r="BY11" s="20" t="str">
        <f t="shared" ca="1" si="15"/>
        <v/>
      </c>
    </row>
    <row r="12" spans="2:77" ht="15" customHeight="1" thickBot="1">
      <c r="B12" s="189"/>
      <c r="C12" s="175"/>
      <c r="D12" s="175"/>
      <c r="E12" s="175"/>
      <c r="F12" s="175"/>
      <c r="G12" s="175"/>
      <c r="H12" s="181"/>
      <c r="I12" s="184"/>
      <c r="J12" s="181"/>
      <c r="K12" s="181"/>
      <c r="L12" s="184"/>
      <c r="M12" s="181"/>
      <c r="N12" s="181"/>
      <c r="O12" s="184"/>
      <c r="P12" s="181"/>
      <c r="Q12" s="184"/>
      <c r="R12" s="181"/>
      <c r="S12" s="181"/>
      <c r="T12" s="181"/>
      <c r="U12" s="175"/>
      <c r="V12" s="181"/>
      <c r="W12" s="175"/>
      <c r="X12" s="175"/>
      <c r="Y12" s="175"/>
      <c r="Z12" s="175"/>
      <c r="AA12" s="175"/>
      <c r="AB12" s="178"/>
      <c r="AC12" s="100" t="s">
        <v>8</v>
      </c>
      <c r="AD12" s="19">
        <f t="shared" ref="AD12:AF12" ca="1" si="16">IFERROR(AD11*AD9*(INDEX($Y$13:$Y$346,MATCH(SUM(AD$13:AD$346),AD$13:AD$346,0),1)),"")</f>
        <v>3960</v>
      </c>
      <c r="AE12" s="19" t="str">
        <f t="shared" ca="1" si="16"/>
        <v/>
      </c>
      <c r="AF12" s="19">
        <f t="shared" ca="1" si="16"/>
        <v>11220</v>
      </c>
      <c r="AG12" s="19">
        <f t="shared" ref="AG12:BC12" ca="1" si="17">IFERROR(AG11*AG9*(INDEX($Y$13:$Y$346,MATCH(SUM(AG$13:AG$346),AG$13:AG$346,0),1)),"")</f>
        <v>0</v>
      </c>
      <c r="AH12" s="19">
        <f t="shared" ca="1" si="17"/>
        <v>860</v>
      </c>
      <c r="AI12" s="19">
        <f t="shared" ca="1" si="17"/>
        <v>860</v>
      </c>
      <c r="AJ12" s="19" t="str">
        <f t="shared" ca="1" si="17"/>
        <v/>
      </c>
      <c r="AK12" s="19" t="str">
        <f t="shared" ca="1" si="17"/>
        <v/>
      </c>
      <c r="AL12" s="19" t="str">
        <f t="shared" ca="1" si="17"/>
        <v/>
      </c>
      <c r="AM12" s="19">
        <f t="shared" ca="1" si="17"/>
        <v>13860</v>
      </c>
      <c r="AN12" s="19">
        <f t="shared" ca="1" si="17"/>
        <v>13860</v>
      </c>
      <c r="AO12" s="19">
        <f t="shared" ca="1" si="17"/>
        <v>12870</v>
      </c>
      <c r="AP12" s="19">
        <f t="shared" ca="1" si="17"/>
        <v>23760</v>
      </c>
      <c r="AQ12" s="19" t="str">
        <f t="shared" ca="1" si="17"/>
        <v/>
      </c>
      <c r="AR12" s="19" t="str">
        <f t="shared" ca="1" si="17"/>
        <v/>
      </c>
      <c r="AS12" s="19" t="str">
        <f t="shared" ca="1" si="17"/>
        <v/>
      </c>
      <c r="AT12" s="19" t="str">
        <f t="shared" ca="1" si="17"/>
        <v/>
      </c>
      <c r="AU12" s="19">
        <f t="shared" ca="1" si="17"/>
        <v>39600</v>
      </c>
      <c r="AV12" s="19">
        <f t="shared" ca="1" si="17"/>
        <v>1980</v>
      </c>
      <c r="AW12" s="19" t="str">
        <f t="shared" ca="1" si="17"/>
        <v/>
      </c>
      <c r="AX12" s="19">
        <f t="shared" ca="1" si="17"/>
        <v>69300</v>
      </c>
      <c r="AY12" s="19">
        <f t="shared" ca="1" si="17"/>
        <v>59400</v>
      </c>
      <c r="AZ12" s="19">
        <f t="shared" ca="1" si="17"/>
        <v>18150</v>
      </c>
      <c r="BA12" s="19">
        <f t="shared" ca="1" si="17"/>
        <v>66000</v>
      </c>
      <c r="BB12" s="19">
        <f t="shared" ca="1" si="17"/>
        <v>39600</v>
      </c>
      <c r="BC12" s="19">
        <f t="shared" ca="1" si="17"/>
        <v>62370</v>
      </c>
      <c r="BD12" s="19">
        <f t="shared" ref="BD12:BY12" ca="1" si="18">IFERROR(BD11*BD9*(INDEX($Y$13:$Y$346,MATCH(SUM(BD$13:BD$346),BD$13:BD$346,0),1)),"")</f>
        <v>6930</v>
      </c>
      <c r="BE12" s="19">
        <f t="shared" ca="1" si="18"/>
        <v>990</v>
      </c>
      <c r="BF12" s="19">
        <f t="shared" ca="1" si="18"/>
        <v>94380</v>
      </c>
      <c r="BG12" s="19">
        <f t="shared" ca="1" si="18"/>
        <v>3630</v>
      </c>
      <c r="BH12" s="19">
        <f t="shared" ca="1" si="18"/>
        <v>42900</v>
      </c>
      <c r="BI12" s="19">
        <f t="shared" ca="1" si="18"/>
        <v>63360</v>
      </c>
      <c r="BJ12" s="19">
        <f ca="1">IFERROR(BJ11*BJ9*(INDEX($Y$13:$Y$346,MATCH(SUM(BJ$13:BJ$346),BJ$13:BJ$346,0),1)),"")</f>
        <v>11220</v>
      </c>
      <c r="BK12" s="19">
        <f t="shared" ca="1" si="18"/>
        <v>138600</v>
      </c>
      <c r="BL12" s="19">
        <f t="shared" ca="1" si="18"/>
        <v>9900</v>
      </c>
      <c r="BM12" s="19">
        <f t="shared" ca="1" si="18"/>
        <v>59400</v>
      </c>
      <c r="BN12" s="19">
        <f t="shared" ca="1" si="18"/>
        <v>18480</v>
      </c>
      <c r="BO12" s="19">
        <f t="shared" ca="1" si="18"/>
        <v>128700</v>
      </c>
      <c r="BP12" s="19">
        <f t="shared" ca="1" si="18"/>
        <v>39600</v>
      </c>
      <c r="BQ12" s="19" t="str">
        <f t="shared" ca="1" si="18"/>
        <v/>
      </c>
      <c r="BR12" s="19" t="str">
        <f t="shared" ca="1" si="18"/>
        <v/>
      </c>
      <c r="BS12" s="19" t="str">
        <f t="shared" ca="1" si="18"/>
        <v/>
      </c>
      <c r="BT12" s="19" t="str">
        <f t="shared" ca="1" si="18"/>
        <v/>
      </c>
      <c r="BU12" s="19" t="str">
        <f t="shared" ca="1" si="18"/>
        <v/>
      </c>
      <c r="BV12" s="19" t="str">
        <f t="shared" ca="1" si="18"/>
        <v/>
      </c>
      <c r="BW12" s="19" t="str">
        <f t="shared" ca="1" si="18"/>
        <v/>
      </c>
      <c r="BX12" s="19" t="str">
        <f t="shared" ca="1" si="18"/>
        <v/>
      </c>
      <c r="BY12" s="19" t="str">
        <f t="shared" ca="1" si="18"/>
        <v/>
      </c>
    </row>
    <row r="13" spans="2:77" s="2" customFormat="1" ht="20.100000000000001" customHeight="1" thickTop="1">
      <c r="B13" s="122">
        <v>45945</v>
      </c>
      <c r="C13" s="123" t="s">
        <v>248</v>
      </c>
      <c r="D13" s="124" t="s">
        <v>258</v>
      </c>
      <c r="E13" s="125"/>
      <c r="F13" s="126" t="s">
        <v>249</v>
      </c>
      <c r="G13" s="8" t="str">
        <f t="shared" ref="G13" si="19">C13&amp;F13</f>
        <v>KMTCLCH535306925KG설탕(엠에스에프원)</v>
      </c>
      <c r="H13" s="28">
        <v>4600</v>
      </c>
      <c r="I13" s="41">
        <f t="shared" ref="I13" si="20">ROUNDUP((H13/V13),0)</f>
        <v>115</v>
      </c>
      <c r="J13" s="29">
        <v>0</v>
      </c>
      <c r="K13" s="29">
        <v>1</v>
      </c>
      <c r="L13" s="41">
        <f>ROUNDUP((K13/V13),0)-1</f>
        <v>0</v>
      </c>
      <c r="M13" s="29">
        <v>0</v>
      </c>
      <c r="N13" s="31">
        <f t="shared" ref="N13" si="21">P13-K13+M13</f>
        <v>0</v>
      </c>
      <c r="O13" s="42">
        <f t="shared" ref="O13" si="22">ROUNDUP((N13/V13),0)</f>
        <v>0</v>
      </c>
      <c r="P13" s="31">
        <f t="shared" ref="P13" si="23">H13-T13</f>
        <v>1</v>
      </c>
      <c r="Q13" s="42">
        <f t="shared" ref="Q13" si="24">L13+O13</f>
        <v>0</v>
      </c>
      <c r="R13" s="28">
        <v>4548</v>
      </c>
      <c r="S13" s="97">
        <f t="shared" ref="S13:S38" si="25">SUM(AD13:IF13)</f>
        <v>51</v>
      </c>
      <c r="T13" s="97">
        <f t="shared" ref="T13" si="26">R13+S13+J13+M13</f>
        <v>4599</v>
      </c>
      <c r="U13" s="96"/>
      <c r="V13" s="28">
        <v>40</v>
      </c>
      <c r="W13" s="95">
        <f t="shared" ref="W13" si="27">B13+X13</f>
        <v>45960</v>
      </c>
      <c r="X13" s="79">
        <v>15</v>
      </c>
      <c r="Y13" s="79">
        <v>430</v>
      </c>
      <c r="Z13" s="2">
        <f t="shared" ref="Z13:Z38" si="28">SUMIF($AD$6:$LE$6,G13,$AD$12:$LE$12)</f>
        <v>0</v>
      </c>
      <c r="AA13" s="2">
        <f t="shared" ref="AA13" ca="1" si="29">IF(W13&gt;TODAY(),"프리타임기간중",Q13*Y13*IF(DATE(YEAR(W13),MONTH(W13),1)&lt;DATE(YEAR($AA$2),MONTH($AA$2),1),DATEDIF($AA$2,$AA$3,"D")+1,DATEDIF(W13,$AA$3+1,"d")))</f>
        <v>0</v>
      </c>
      <c r="AB13" s="2">
        <f t="shared" ref="AB13" ca="1" si="30">IFERROR(Z13+AA13,"")</f>
        <v>0</v>
      </c>
      <c r="AC13" s="103"/>
      <c r="AH13" s="142">
        <v>40</v>
      </c>
      <c r="AI13" s="142">
        <v>11</v>
      </c>
    </row>
    <row r="14" spans="2:77" s="2" customFormat="1" ht="20.100000000000001" customHeight="1">
      <c r="B14" s="122">
        <v>46056</v>
      </c>
      <c r="C14" s="123" t="s">
        <v>287</v>
      </c>
      <c r="D14" s="124"/>
      <c r="E14" s="125"/>
      <c r="F14" s="126" t="s">
        <v>285</v>
      </c>
      <c r="G14" s="8" t="str">
        <f t="shared" ref="G14:G15" si="31">C14&amp;F14</f>
        <v>HASLS22251201299(HFIBKO25C0B4)15KG설탕(씨에치홀딩스)</v>
      </c>
      <c r="H14" s="28">
        <v>15400</v>
      </c>
      <c r="I14" s="41">
        <f t="shared" ref="I14:I15" si="32">ROUNDUP((H14/V14),0)</f>
        <v>184</v>
      </c>
      <c r="J14" s="29">
        <v>0</v>
      </c>
      <c r="K14" s="29">
        <v>60</v>
      </c>
      <c r="L14" s="41">
        <f t="shared" ref="L14:L15" si="33">ROUNDUP((K14/V14),0)</f>
        <v>1</v>
      </c>
      <c r="M14" s="29">
        <v>0</v>
      </c>
      <c r="N14" s="31">
        <f t="shared" ref="N14:N15" si="34">P14-K14+M14</f>
        <v>0</v>
      </c>
      <c r="O14" s="42">
        <f t="shared" ref="O14:O15" si="35">ROUNDUP((N14/V14),0)</f>
        <v>0</v>
      </c>
      <c r="P14" s="31">
        <f t="shared" ref="P14:P15" si="36">H14-T14</f>
        <v>60</v>
      </c>
      <c r="Q14" s="42">
        <f t="shared" ref="Q14:Q15" si="37">L14+O14</f>
        <v>1</v>
      </c>
      <c r="R14" s="28">
        <v>15340</v>
      </c>
      <c r="S14" s="97">
        <f t="shared" si="25"/>
        <v>0</v>
      </c>
      <c r="T14" s="97">
        <f t="shared" ref="T14:T15" si="38">R14+S14+J14+M14</f>
        <v>15340</v>
      </c>
      <c r="U14" s="96"/>
      <c r="V14" s="28">
        <v>84</v>
      </c>
      <c r="W14" s="95">
        <f t="shared" ref="W14:W15" si="39">B14+X14</f>
        <v>46076</v>
      </c>
      <c r="X14" s="79">
        <v>20</v>
      </c>
      <c r="Y14" s="79">
        <v>330</v>
      </c>
      <c r="Z14" s="2">
        <f t="shared" si="28"/>
        <v>0</v>
      </c>
      <c r="AA14" s="2">
        <f t="shared" ref="AA14:AA15" ca="1" si="40">IF(W14&gt;TODAY(),"프리타임기간중",Q14*Y14*IF(DATE(YEAR(W14),MONTH(W14),1)&lt;DATE(YEAR($AA$2),MONTH($AA$2),1),DATEDIF($AA$2,$AA$3,"D")+1,DATEDIF(W14,$AA$3+1,"d")))</f>
        <v>10230</v>
      </c>
      <c r="AB14" s="2">
        <f t="shared" ref="AB14:AB15" ca="1" si="41">IFERROR(Z14+AA14,"")</f>
        <v>10230</v>
      </c>
      <c r="AC14" s="103"/>
    </row>
    <row r="15" spans="2:77" s="2" customFormat="1" ht="20.100000000000001" customHeight="1">
      <c r="B15" s="122">
        <v>46078</v>
      </c>
      <c r="C15" s="123" t="s">
        <v>302</v>
      </c>
      <c r="D15" s="124"/>
      <c r="E15" s="125"/>
      <c r="F15" s="126" t="s">
        <v>285</v>
      </c>
      <c r="G15" s="8" t="str">
        <f t="shared" si="31"/>
        <v>HASLS2225120165915KG설탕(씨에치홀딩스)</v>
      </c>
      <c r="H15" s="28">
        <f>23100+3</f>
        <v>23103</v>
      </c>
      <c r="I15" s="41">
        <f t="shared" si="32"/>
        <v>276</v>
      </c>
      <c r="J15" s="29">
        <v>0</v>
      </c>
      <c r="K15" s="29">
        <f>96+10-4-3</f>
        <v>99</v>
      </c>
      <c r="L15" s="41">
        <f t="shared" si="33"/>
        <v>2</v>
      </c>
      <c r="M15" s="29">
        <v>0</v>
      </c>
      <c r="N15" s="31">
        <f t="shared" si="34"/>
        <v>0</v>
      </c>
      <c r="O15" s="42">
        <f t="shared" si="35"/>
        <v>0</v>
      </c>
      <c r="P15" s="31">
        <f t="shared" si="36"/>
        <v>99</v>
      </c>
      <c r="Q15" s="42">
        <f t="shared" si="37"/>
        <v>2</v>
      </c>
      <c r="R15" s="28">
        <v>23004</v>
      </c>
      <c r="S15" s="97">
        <f t="shared" si="25"/>
        <v>0</v>
      </c>
      <c r="T15" s="97">
        <f t="shared" si="38"/>
        <v>23004</v>
      </c>
      <c r="U15" s="96" t="s">
        <v>305</v>
      </c>
      <c r="V15" s="28">
        <v>84</v>
      </c>
      <c r="W15" s="95">
        <f t="shared" si="39"/>
        <v>46098</v>
      </c>
      <c r="X15" s="79">
        <v>20</v>
      </c>
      <c r="Y15" s="79">
        <v>330</v>
      </c>
      <c r="Z15" s="2">
        <f t="shared" si="28"/>
        <v>0</v>
      </c>
      <c r="AA15" s="2">
        <f t="shared" ca="1" si="40"/>
        <v>20460</v>
      </c>
      <c r="AB15" s="2">
        <f t="shared" ca="1" si="41"/>
        <v>20460</v>
      </c>
      <c r="AC15" s="103"/>
    </row>
    <row r="16" spans="2:77" s="2" customFormat="1" ht="20.100000000000001" customHeight="1">
      <c r="B16" s="122">
        <v>46085</v>
      </c>
      <c r="C16" s="123" t="s">
        <v>313</v>
      </c>
      <c r="D16" s="124"/>
      <c r="E16" s="125"/>
      <c r="F16" s="126" t="s">
        <v>310</v>
      </c>
      <c r="G16" s="8" t="str">
        <f t="shared" ref="G16" si="42">C16&amp;F16</f>
        <v>HASLS2226010047315KG설탕(엠에스에프원)</v>
      </c>
      <c r="H16" s="28">
        <v>15400</v>
      </c>
      <c r="I16" s="41">
        <f t="shared" ref="I16" si="43">ROUNDUP((H16/V16),0)</f>
        <v>184</v>
      </c>
      <c r="J16" s="29">
        <v>0</v>
      </c>
      <c r="K16" s="29">
        <f>114+10-5</f>
        <v>119</v>
      </c>
      <c r="L16" s="41">
        <f t="shared" ref="L16" si="44">ROUNDUP((K16/V16),0)</f>
        <v>2</v>
      </c>
      <c r="M16" s="29">
        <v>0</v>
      </c>
      <c r="N16" s="31">
        <f t="shared" ref="N16" si="45">P16-K16+M16</f>
        <v>0</v>
      </c>
      <c r="O16" s="42">
        <f t="shared" ref="O16" si="46">ROUNDUP((N16/V16),0)</f>
        <v>0</v>
      </c>
      <c r="P16" s="31">
        <f t="shared" ref="P16" si="47">H16-T16</f>
        <v>119</v>
      </c>
      <c r="Q16" s="42">
        <f t="shared" ref="Q16" si="48">L16+O16</f>
        <v>2</v>
      </c>
      <c r="R16" s="28">
        <v>15281</v>
      </c>
      <c r="S16" s="97">
        <f t="shared" si="25"/>
        <v>0</v>
      </c>
      <c r="T16" s="97">
        <f t="shared" ref="T16" si="49">R16+S16+J16+M16</f>
        <v>15281</v>
      </c>
      <c r="U16" s="96" t="s">
        <v>314</v>
      </c>
      <c r="V16" s="28">
        <v>84</v>
      </c>
      <c r="W16" s="95">
        <f t="shared" ref="W16" si="50">B16+X16</f>
        <v>46105</v>
      </c>
      <c r="X16" s="79">
        <v>20</v>
      </c>
      <c r="Y16" s="79">
        <v>330</v>
      </c>
      <c r="Z16" s="2">
        <f t="shared" si="28"/>
        <v>0</v>
      </c>
      <c r="AA16" s="2">
        <f t="shared" ref="AA16" ca="1" si="51">IF(W16&gt;TODAY(),"프리타임기간중",Q16*Y16*IF(DATE(YEAR(W16),MONTH(W16),1)&lt;DATE(YEAR($AA$2),MONTH($AA$2),1),DATEDIF($AA$2,$AA$3,"D")+1,DATEDIF(W16,$AA$3+1,"d")))</f>
        <v>20460</v>
      </c>
      <c r="AB16" s="2">
        <f t="shared" ref="AB16" ca="1" si="52">IFERROR(Z16+AA16,"")</f>
        <v>20460</v>
      </c>
      <c r="AC16" s="103"/>
    </row>
    <row r="17" spans="2:68" s="2" customFormat="1" ht="20.100000000000001" customHeight="1">
      <c r="B17" s="122">
        <v>46111</v>
      </c>
      <c r="C17" s="123" t="s">
        <v>326</v>
      </c>
      <c r="D17" s="124"/>
      <c r="E17" s="125" t="s">
        <v>328</v>
      </c>
      <c r="F17" s="126" t="s">
        <v>327</v>
      </c>
      <c r="G17" s="8" t="str">
        <f t="shared" ref="G17" si="53">C17&amp;F17</f>
        <v>KMTCLCH555702625KG설탕(엘리트티앤에스)</v>
      </c>
      <c r="H17" s="28">
        <v>9200</v>
      </c>
      <c r="I17" s="41">
        <f t="shared" ref="I17" si="54">ROUNDUP((H17/V17),0)</f>
        <v>230</v>
      </c>
      <c r="J17" s="29">
        <v>0</v>
      </c>
      <c r="K17" s="29">
        <f>60-2</f>
        <v>58</v>
      </c>
      <c r="L17" s="41">
        <f t="shared" ref="L17" si="55">ROUNDUP((K17/V17),0)</f>
        <v>2</v>
      </c>
      <c r="M17" s="29">
        <v>0</v>
      </c>
      <c r="N17" s="31">
        <f t="shared" ref="N17" si="56">P17-K17+M17</f>
        <v>527</v>
      </c>
      <c r="O17" s="42">
        <f t="shared" ref="O17" si="57">ROUNDUP((N17/V17),0)</f>
        <v>14</v>
      </c>
      <c r="P17" s="31">
        <f t="shared" ref="P17" si="58">H17-T17</f>
        <v>585</v>
      </c>
      <c r="Q17" s="42">
        <f t="shared" ref="Q17" si="59">L17+O17</f>
        <v>16</v>
      </c>
      <c r="R17" s="28">
        <v>5282</v>
      </c>
      <c r="S17" s="97">
        <f t="shared" si="25"/>
        <v>3333</v>
      </c>
      <c r="T17" s="97">
        <f t="shared" ref="T17" si="60">R17+S17+J17+M17</f>
        <v>8615</v>
      </c>
      <c r="U17" s="96"/>
      <c r="V17" s="28">
        <v>40</v>
      </c>
      <c r="W17" s="95">
        <f t="shared" ref="W17" si="61">B17+X17</f>
        <v>46131</v>
      </c>
      <c r="X17" s="79">
        <v>20</v>
      </c>
      <c r="Y17" s="79">
        <v>330</v>
      </c>
      <c r="Z17" s="2">
        <f t="shared" si="28"/>
        <v>0</v>
      </c>
      <c r="AA17" s="2">
        <f t="shared" ref="AA17" ca="1" si="62">IF(W17&gt;TODAY(),"프리타임기간중",Q17*Y17*IF(DATE(YEAR(W17),MONTH(W17),1)&lt;DATE(YEAR($AA$2),MONTH($AA$2),1),DATEDIF($AA$2,$AA$3,"D")+1,DATEDIF(W17,$AA$3+1,"d")))</f>
        <v>163680</v>
      </c>
      <c r="AB17" s="2">
        <f t="shared" ref="AB17" ca="1" si="63">IFERROR(Z17+AA17,"")</f>
        <v>163680</v>
      </c>
      <c r="AC17" s="103"/>
      <c r="AD17" s="142">
        <v>480</v>
      </c>
      <c r="AF17" s="142">
        <v>680</v>
      </c>
      <c r="AG17" s="142">
        <v>13</v>
      </c>
      <c r="AU17" s="142">
        <v>480</v>
      </c>
      <c r="AX17" s="142">
        <v>600</v>
      </c>
      <c r="AY17" s="142">
        <v>480</v>
      </c>
      <c r="BK17" s="142">
        <v>600</v>
      </c>
    </row>
    <row r="18" spans="2:68" s="2" customFormat="1" ht="20.100000000000001" customHeight="1">
      <c r="B18" s="122">
        <v>46113</v>
      </c>
      <c r="C18" s="123" t="s">
        <v>330</v>
      </c>
      <c r="D18" s="124"/>
      <c r="E18" s="125" t="s">
        <v>332</v>
      </c>
      <c r="F18" s="126" t="s">
        <v>331</v>
      </c>
      <c r="G18" s="8" t="str">
        <f t="shared" ref="G18" si="64">C18&amp;F18</f>
        <v>KMTCLCH555003115KG설탕(카이신)</v>
      </c>
      <c r="H18" s="28">
        <v>15400</v>
      </c>
      <c r="I18" s="41">
        <f t="shared" ref="I18" si="65">ROUNDUP((H18/V18),0)</f>
        <v>184</v>
      </c>
      <c r="J18" s="29">
        <v>0</v>
      </c>
      <c r="K18" s="29">
        <f>84+38+8</f>
        <v>130</v>
      </c>
      <c r="L18" s="41">
        <f t="shared" ref="L18" si="66">ROUNDUP((K18/V18),0)</f>
        <v>2</v>
      </c>
      <c r="M18" s="29">
        <v>0</v>
      </c>
      <c r="N18" s="31">
        <f t="shared" ref="N18" si="67">P18-K18+M18</f>
        <v>0</v>
      </c>
      <c r="O18" s="42">
        <f t="shared" ref="O18" si="68">ROUNDUP((N18/V18),0)</f>
        <v>0</v>
      </c>
      <c r="P18" s="31">
        <f t="shared" ref="P18" si="69">H18-T18</f>
        <v>130</v>
      </c>
      <c r="Q18" s="42">
        <f t="shared" ref="Q18" si="70">L18+O18</f>
        <v>2</v>
      </c>
      <c r="R18" s="28">
        <v>15270</v>
      </c>
      <c r="S18" s="97">
        <f t="shared" si="25"/>
        <v>0</v>
      </c>
      <c r="T18" s="97">
        <f t="shared" ref="T18" si="71">R18+S18+J18+M18</f>
        <v>15270</v>
      </c>
      <c r="U18" s="96" t="s">
        <v>335</v>
      </c>
      <c r="V18" s="28">
        <v>84</v>
      </c>
      <c r="W18" s="95">
        <f t="shared" ref="W18" si="72">B18+X18</f>
        <v>46133</v>
      </c>
      <c r="X18" s="79">
        <v>20</v>
      </c>
      <c r="Y18" s="79">
        <v>330</v>
      </c>
      <c r="Z18" s="2">
        <f t="shared" si="28"/>
        <v>0</v>
      </c>
      <c r="AA18" s="2">
        <f t="shared" ref="AA18" ca="1" si="73">IF(W18&gt;TODAY(),"프리타임기간중",Q18*Y18*IF(DATE(YEAR(W18),MONTH(W18),1)&lt;DATE(YEAR($AA$2),MONTH($AA$2),1),DATEDIF($AA$2,$AA$3,"D")+1,DATEDIF(W18,$AA$3+1,"d")))</f>
        <v>20460</v>
      </c>
      <c r="AB18" s="2">
        <f t="shared" ref="AB18" ca="1" si="74">IFERROR(Z18+AA18,"")</f>
        <v>20460</v>
      </c>
      <c r="AC18" s="103"/>
    </row>
    <row r="19" spans="2:68" s="2" customFormat="1" ht="20.100000000000001" customHeight="1">
      <c r="B19" s="122">
        <v>46119</v>
      </c>
      <c r="C19" s="123" t="s">
        <v>343</v>
      </c>
      <c r="D19" s="124"/>
      <c r="E19" s="125" t="s">
        <v>344</v>
      </c>
      <c r="F19" s="126" t="s">
        <v>150</v>
      </c>
      <c r="G19" s="8" t="str">
        <f t="shared" ref="G19" si="75">C19&amp;F19</f>
        <v>KMTCLCH5550845톤백설탕</v>
      </c>
      <c r="H19" s="28">
        <v>200</v>
      </c>
      <c r="I19" s="41">
        <f t="shared" ref="I19" si="76">ROUNDUP((H19/V19),0)</f>
        <v>200</v>
      </c>
      <c r="J19" s="29">
        <v>0</v>
      </c>
      <c r="K19" s="29">
        <v>0</v>
      </c>
      <c r="L19" s="41">
        <f t="shared" ref="L19" si="77">ROUNDUP((K19/V19),0)</f>
        <v>0</v>
      </c>
      <c r="M19" s="29">
        <v>0</v>
      </c>
      <c r="N19" s="31">
        <f t="shared" ref="N19" si="78">P19-K19+M19</f>
        <v>0</v>
      </c>
      <c r="O19" s="42">
        <f t="shared" ref="O19" si="79">ROUNDUP((N19/V19),0)</f>
        <v>0</v>
      </c>
      <c r="P19" s="31">
        <f t="shared" ref="P19" si="80">H19-T19</f>
        <v>0</v>
      </c>
      <c r="Q19" s="42">
        <f t="shared" ref="Q19" si="81">L19+O19</f>
        <v>0</v>
      </c>
      <c r="R19" s="28">
        <v>172</v>
      </c>
      <c r="S19" s="97">
        <f t="shared" si="25"/>
        <v>28</v>
      </c>
      <c r="T19" s="97">
        <f t="shared" ref="T19" si="82">R19+S19+J19+M19</f>
        <v>200</v>
      </c>
      <c r="U19" s="96"/>
      <c r="V19" s="28">
        <v>1</v>
      </c>
      <c r="W19" s="95">
        <f t="shared" ref="W19" si="83">B19+X19</f>
        <v>46139</v>
      </c>
      <c r="X19" s="79">
        <v>20</v>
      </c>
      <c r="Y19" s="79">
        <v>330</v>
      </c>
      <c r="Z19" s="2">
        <f t="shared" si="28"/>
        <v>0</v>
      </c>
      <c r="AA19" s="2">
        <f t="shared" ref="AA19" ca="1" si="84">IF(W19&gt;TODAY(),"프리타임기간중",Q19*Y19*IF(DATE(YEAR(W19),MONTH(W19),1)&lt;DATE(YEAR($AA$2),MONTH($AA$2),1),DATEDIF($AA$2,$AA$3,"D")+1,DATEDIF(W19,$AA$3+1,"d")))</f>
        <v>0</v>
      </c>
      <c r="AB19" s="2">
        <f t="shared" ref="AB19" ca="1" si="85">IFERROR(Z19+AA19,"")</f>
        <v>0</v>
      </c>
      <c r="AC19" s="103"/>
      <c r="AM19" s="142">
        <v>14</v>
      </c>
      <c r="AN19" s="142">
        <v>14</v>
      </c>
    </row>
    <row r="20" spans="2:68" s="2" customFormat="1" ht="20.100000000000001" customHeight="1">
      <c r="B20" s="110">
        <v>46134</v>
      </c>
      <c r="C20" s="111" t="s">
        <v>357</v>
      </c>
      <c r="D20" s="112"/>
      <c r="E20" s="113"/>
      <c r="F20" s="114" t="s">
        <v>310</v>
      </c>
      <c r="G20" s="8" t="str">
        <f t="shared" ref="G20" si="86">C20&amp;F20</f>
        <v>HASLS2226020213015KG설탕(엠에스에프원)</v>
      </c>
      <c r="H20" s="28">
        <v>15400</v>
      </c>
      <c r="I20" s="41">
        <f t="shared" ref="I20" si="87">ROUNDUP((H20/V20),0)</f>
        <v>184</v>
      </c>
      <c r="J20" s="29">
        <v>2</v>
      </c>
      <c r="K20" s="29">
        <v>44</v>
      </c>
      <c r="L20" s="41">
        <f t="shared" ref="L20" si="88">ROUNDUP((K20/V20),0)</f>
        <v>1</v>
      </c>
      <c r="M20" s="29">
        <v>0</v>
      </c>
      <c r="N20" s="31">
        <f t="shared" ref="N20" si="89">P20-K20+M20</f>
        <v>0</v>
      </c>
      <c r="O20" s="42">
        <f t="shared" ref="O20" si="90">ROUNDUP((N20/V20),0)</f>
        <v>0</v>
      </c>
      <c r="P20" s="31">
        <f t="shared" ref="P20" si="91">H20-T20</f>
        <v>44</v>
      </c>
      <c r="Q20" s="42">
        <f t="shared" ref="Q20" si="92">L20+O20</f>
        <v>1</v>
      </c>
      <c r="R20" s="28">
        <v>15354</v>
      </c>
      <c r="S20" s="97">
        <f t="shared" si="25"/>
        <v>0</v>
      </c>
      <c r="T20" s="97">
        <f t="shared" ref="T20" si="93">R20+S20+J20+M20</f>
        <v>15356</v>
      </c>
      <c r="U20" s="96"/>
      <c r="V20" s="28">
        <v>84</v>
      </c>
      <c r="W20" s="95">
        <f t="shared" ref="W20" si="94">B20+X20</f>
        <v>46154</v>
      </c>
      <c r="X20" s="79">
        <v>20</v>
      </c>
      <c r="Y20" s="79">
        <v>330</v>
      </c>
      <c r="Z20" s="2">
        <f t="shared" si="28"/>
        <v>0</v>
      </c>
      <c r="AA20" s="2">
        <f t="shared" ref="AA20" ca="1" si="95">IF(W20&gt;TODAY(),"프리타임기간중",Q20*Y20*IF(DATE(YEAR(W20),MONTH(W20),1)&lt;DATE(YEAR($AA$2),MONTH($AA$2),1),DATEDIF($AA$2,$AA$3,"D")+1,DATEDIF(W20,$AA$3+1,"d")))</f>
        <v>10230</v>
      </c>
      <c r="AB20" s="2">
        <f t="shared" ref="AB20" ca="1" si="96">IFERROR(Z20+AA20,"")</f>
        <v>10230</v>
      </c>
      <c r="AC20" s="103"/>
    </row>
    <row r="21" spans="2:68" s="2" customFormat="1" ht="20.100000000000001" customHeight="1">
      <c r="B21" s="110">
        <v>46136</v>
      </c>
      <c r="C21" s="111" t="s">
        <v>361</v>
      </c>
      <c r="D21" s="112"/>
      <c r="E21" s="113"/>
      <c r="F21" s="114" t="s">
        <v>362</v>
      </c>
      <c r="G21" s="8" t="str">
        <f t="shared" ref="G21" si="97">C21&amp;F21</f>
        <v>HASLS22260201971(HFIBKO264002)15KG설탕(화인비)</v>
      </c>
      <c r="H21" s="28">
        <v>15400</v>
      </c>
      <c r="I21" s="41">
        <f t="shared" ref="I21" si="98">ROUNDUP((H21/V21),0)</f>
        <v>184</v>
      </c>
      <c r="J21" s="29">
        <v>0</v>
      </c>
      <c r="K21" s="29">
        <f>59+10</f>
        <v>69</v>
      </c>
      <c r="L21" s="41">
        <f t="shared" ref="L21" si="99">ROUNDUP((K21/V21),0)</f>
        <v>1</v>
      </c>
      <c r="M21" s="29">
        <v>0</v>
      </c>
      <c r="N21" s="31">
        <f t="shared" ref="N21" si="100">P21-K21+M21</f>
        <v>0</v>
      </c>
      <c r="O21" s="42">
        <f t="shared" ref="O21" si="101">ROUNDUP((N21/V21),0)</f>
        <v>0</v>
      </c>
      <c r="P21" s="31">
        <f t="shared" ref="P21" si="102">H21-T21</f>
        <v>69</v>
      </c>
      <c r="Q21" s="42">
        <f t="shared" ref="Q21" si="103">L21+O21</f>
        <v>1</v>
      </c>
      <c r="R21" s="28">
        <v>15331</v>
      </c>
      <c r="S21" s="97">
        <f t="shared" si="25"/>
        <v>0</v>
      </c>
      <c r="T21" s="97">
        <f t="shared" ref="T21" si="104">R21+S21+J21+M21</f>
        <v>15331</v>
      </c>
      <c r="U21" s="96" t="s">
        <v>365</v>
      </c>
      <c r="V21" s="28">
        <v>84</v>
      </c>
      <c r="W21" s="95">
        <f t="shared" ref="W21" si="105">B21+X21</f>
        <v>46156</v>
      </c>
      <c r="X21" s="79">
        <v>20</v>
      </c>
      <c r="Y21" s="79">
        <v>330</v>
      </c>
      <c r="Z21" s="2">
        <f t="shared" si="28"/>
        <v>0</v>
      </c>
      <c r="AA21" s="2">
        <f t="shared" ref="AA21" ca="1" si="106">IF(W21&gt;TODAY(),"프리타임기간중",Q21*Y21*IF(DATE(YEAR(W21),MONTH(W21),1)&lt;DATE(YEAR($AA$2),MONTH($AA$2),1),DATEDIF($AA$2,$AA$3,"D")+1,DATEDIF(W21,$AA$3+1,"d")))</f>
        <v>10230</v>
      </c>
      <c r="AB21" s="2">
        <f t="shared" ref="AB21" ca="1" si="107">IFERROR(Z21+AA21,"")</f>
        <v>10230</v>
      </c>
      <c r="AC21" s="103"/>
    </row>
    <row r="22" spans="2:68" s="2" customFormat="1" ht="20.100000000000001" customHeight="1">
      <c r="B22" s="110">
        <v>46155</v>
      </c>
      <c r="C22" s="111" t="s">
        <v>382</v>
      </c>
      <c r="D22" s="112"/>
      <c r="E22" s="113"/>
      <c r="F22" s="114" t="s">
        <v>383</v>
      </c>
      <c r="G22" s="8" t="str">
        <f t="shared" ref="G22:G23" si="108">C22&amp;F22</f>
        <v>KMTCLCH560764915KG설탕(원물산)</v>
      </c>
      <c r="H22" s="28">
        <v>15400</v>
      </c>
      <c r="I22" s="41">
        <f t="shared" ref="I22:I23" si="109">ROUNDUP((H22/V22),0)</f>
        <v>184</v>
      </c>
      <c r="J22" s="29">
        <v>0</v>
      </c>
      <c r="K22" s="29">
        <f>84+8+24</f>
        <v>116</v>
      </c>
      <c r="L22" s="41">
        <f>ROUNDUP((K22/V22),0)+1</f>
        <v>3</v>
      </c>
      <c r="M22" s="29">
        <v>0</v>
      </c>
      <c r="N22" s="31">
        <f t="shared" ref="N22:N23" si="110">P22-K22+M22</f>
        <v>0</v>
      </c>
      <c r="O22" s="42">
        <f t="shared" ref="O22:O23" si="111">ROUNDUP((N22/V22),0)</f>
        <v>0</v>
      </c>
      <c r="P22" s="31">
        <f t="shared" ref="P22:P23" si="112">H22-T22</f>
        <v>116</v>
      </c>
      <c r="Q22" s="42">
        <f t="shared" ref="Q22:Q23" si="113">L22+O22</f>
        <v>3</v>
      </c>
      <c r="R22" s="28">
        <v>15284</v>
      </c>
      <c r="S22" s="97">
        <f t="shared" si="25"/>
        <v>0</v>
      </c>
      <c r="T22" s="97">
        <f t="shared" ref="T22:T23" si="114">R22+S22+J22+M22</f>
        <v>15284</v>
      </c>
      <c r="U22" s="96"/>
      <c r="V22" s="28">
        <v>84</v>
      </c>
      <c r="W22" s="95">
        <f t="shared" ref="W22:W23" si="115">B22+X22</f>
        <v>46175</v>
      </c>
      <c r="X22" s="79">
        <v>20</v>
      </c>
      <c r="Y22" s="79">
        <v>330</v>
      </c>
      <c r="Z22" s="2">
        <f t="shared" si="28"/>
        <v>0</v>
      </c>
      <c r="AA22" s="2">
        <f t="shared" ref="AA22:AA23" ca="1" si="116">IF(W22&gt;TODAY(),"프리타임기간중",Q22*Y22*IF(DATE(YEAR(W22),MONTH(W22),1)&lt;DATE(YEAR($AA$2),MONTH($AA$2),1),DATEDIF($AA$2,$AA$3,"D")+1,DATEDIF(W22,$AA$3+1,"d")))</f>
        <v>30690</v>
      </c>
      <c r="AB22" s="2">
        <f t="shared" ref="AB22:AB23" ca="1" si="117">IFERROR(Z22+AA22,"")</f>
        <v>30690</v>
      </c>
      <c r="AC22" s="103"/>
    </row>
    <row r="23" spans="2:68" s="2" customFormat="1" ht="20.100000000000001" customHeight="1">
      <c r="B23" s="110">
        <v>46157</v>
      </c>
      <c r="C23" s="111" t="s">
        <v>388</v>
      </c>
      <c r="D23" s="112"/>
      <c r="E23" s="113"/>
      <c r="F23" s="114" t="s">
        <v>389</v>
      </c>
      <c r="G23" s="8" t="str">
        <f t="shared" si="108"/>
        <v>KMTCLCH560344115KG설탕(우리에프엠)</v>
      </c>
      <c r="H23" s="28">
        <v>15400</v>
      </c>
      <c r="I23" s="41">
        <f t="shared" si="109"/>
        <v>184</v>
      </c>
      <c r="J23" s="29">
        <v>0</v>
      </c>
      <c r="K23" s="29">
        <f>90-6</f>
        <v>84</v>
      </c>
      <c r="L23" s="41">
        <f t="shared" ref="L23" si="118">ROUNDUP((K23/V23),0)</f>
        <v>1</v>
      </c>
      <c r="M23" s="29">
        <v>0</v>
      </c>
      <c r="N23" s="31">
        <f t="shared" si="110"/>
        <v>0</v>
      </c>
      <c r="O23" s="42">
        <f t="shared" si="111"/>
        <v>0</v>
      </c>
      <c r="P23" s="31">
        <f t="shared" si="112"/>
        <v>84</v>
      </c>
      <c r="Q23" s="42">
        <f t="shared" si="113"/>
        <v>1</v>
      </c>
      <c r="R23" s="28">
        <v>15316</v>
      </c>
      <c r="S23" s="97">
        <f t="shared" si="25"/>
        <v>0</v>
      </c>
      <c r="T23" s="97">
        <f t="shared" si="114"/>
        <v>15316</v>
      </c>
      <c r="U23" s="96"/>
      <c r="V23" s="28">
        <v>84</v>
      </c>
      <c r="W23" s="95">
        <f t="shared" si="115"/>
        <v>46177</v>
      </c>
      <c r="X23" s="79">
        <v>20</v>
      </c>
      <c r="Y23" s="79">
        <v>330</v>
      </c>
      <c r="Z23" s="2">
        <f t="shared" si="28"/>
        <v>0</v>
      </c>
      <c r="AA23" s="2">
        <f t="shared" ca="1" si="116"/>
        <v>10230</v>
      </c>
      <c r="AB23" s="2">
        <f t="shared" ca="1" si="117"/>
        <v>10230</v>
      </c>
      <c r="AC23" s="103"/>
    </row>
    <row r="24" spans="2:68" s="2" customFormat="1" ht="20.100000000000001" customHeight="1">
      <c r="B24" s="110">
        <v>46163</v>
      </c>
      <c r="C24" s="111" t="s">
        <v>403</v>
      </c>
      <c r="D24" s="112"/>
      <c r="E24" s="113"/>
      <c r="F24" s="114" t="s">
        <v>404</v>
      </c>
      <c r="G24" s="8" t="str">
        <f t="shared" ref="G24" si="119">C24&amp;F24</f>
        <v>KMTCBKK3857878톤백설탕(애이투지엠)</v>
      </c>
      <c r="H24" s="28">
        <v>200</v>
      </c>
      <c r="I24" s="41">
        <f t="shared" ref="I24" si="120">ROUNDUP((H24/V24),0)</f>
        <v>200</v>
      </c>
      <c r="J24" s="29">
        <v>0</v>
      </c>
      <c r="K24" s="29">
        <v>0</v>
      </c>
      <c r="L24" s="41">
        <f t="shared" ref="L24" si="121">ROUNDUP((K24/V24),0)</f>
        <v>0</v>
      </c>
      <c r="M24" s="29">
        <v>0</v>
      </c>
      <c r="N24" s="31">
        <f t="shared" ref="N24" si="122">P24-K24+M24</f>
        <v>18</v>
      </c>
      <c r="O24" s="42">
        <f t="shared" ref="O24" si="123">ROUNDUP((N24/V24),0)</f>
        <v>18</v>
      </c>
      <c r="P24" s="31">
        <f t="shared" ref="P24" si="124">H24-T24</f>
        <v>18</v>
      </c>
      <c r="Q24" s="42">
        <f t="shared" ref="Q24" si="125">L24+O24</f>
        <v>18</v>
      </c>
      <c r="R24" s="28">
        <v>143</v>
      </c>
      <c r="S24" s="97">
        <f t="shared" si="25"/>
        <v>39</v>
      </c>
      <c r="T24" s="97">
        <f t="shared" ref="T24" si="126">R24+S24+J24+M24</f>
        <v>182</v>
      </c>
      <c r="U24" s="96"/>
      <c r="V24" s="28">
        <v>1</v>
      </c>
      <c r="W24" s="95">
        <f t="shared" ref="W24" si="127">B24+X24</f>
        <v>46183</v>
      </c>
      <c r="X24" s="79">
        <v>20</v>
      </c>
      <c r="Y24" s="79">
        <v>330</v>
      </c>
      <c r="Z24" s="2">
        <f t="shared" si="28"/>
        <v>0</v>
      </c>
      <c r="AA24" s="2">
        <f t="shared" ref="AA24" ca="1" si="128">IF(W24&gt;TODAY(),"프리타임기간중",Q24*Y24*IF(DATE(YEAR(W24),MONTH(W24),1)&lt;DATE(YEAR($AA$2),MONTH($AA$2),1),DATEDIF($AA$2,$AA$3,"D")+1,DATEDIF(W24,$AA$3+1,"d")))</f>
        <v>184140</v>
      </c>
      <c r="AB24" s="2">
        <f t="shared" ref="AB24" ca="1" si="129">IFERROR(Z24+AA24,"")</f>
        <v>184140</v>
      </c>
      <c r="AC24" s="103"/>
      <c r="AO24" s="142">
        <v>13</v>
      </c>
      <c r="BF24" s="142">
        <v>13</v>
      </c>
      <c r="BO24" s="142">
        <v>13</v>
      </c>
    </row>
    <row r="25" spans="2:68" s="2" customFormat="1" ht="20.100000000000001" customHeight="1">
      <c r="B25" s="110">
        <v>46164</v>
      </c>
      <c r="C25" s="111" t="s">
        <v>406</v>
      </c>
      <c r="D25" s="112" t="s">
        <v>448</v>
      </c>
      <c r="E25" s="113"/>
      <c r="F25" s="114" t="s">
        <v>383</v>
      </c>
      <c r="G25" s="8" t="str">
        <f t="shared" ref="G25" si="130">C25&amp;F25</f>
        <v>KMTCLCH562934415KG설탕(원물산)</v>
      </c>
      <c r="H25" s="28">
        <v>9400</v>
      </c>
      <c r="I25" s="41">
        <f t="shared" ref="I25" si="131">ROUNDUP((H25/V25),0)</f>
        <v>112</v>
      </c>
      <c r="J25" s="29">
        <v>0</v>
      </c>
      <c r="K25" s="29">
        <v>0</v>
      </c>
      <c r="L25" s="41">
        <f t="shared" ref="L25" si="132">ROUNDUP((K25/V25),0)</f>
        <v>0</v>
      </c>
      <c r="M25" s="29">
        <v>0</v>
      </c>
      <c r="N25" s="31">
        <f t="shared" ref="N25" si="133">P25-K25+M25</f>
        <v>0</v>
      </c>
      <c r="O25" s="42">
        <f t="shared" ref="O25" si="134">ROUNDUP((N25/V25),0)</f>
        <v>0</v>
      </c>
      <c r="P25" s="31">
        <f t="shared" ref="P25" si="135">H25-T25</f>
        <v>0</v>
      </c>
      <c r="Q25" s="42">
        <f t="shared" ref="Q25" si="136">L25+O25</f>
        <v>0</v>
      </c>
      <c r="R25" s="28">
        <v>6787</v>
      </c>
      <c r="S25" s="97">
        <f t="shared" si="25"/>
        <v>2613</v>
      </c>
      <c r="T25" s="97">
        <f t="shared" ref="T25" si="137">R25+S25+J25+M25</f>
        <v>9400</v>
      </c>
      <c r="U25" s="96"/>
      <c r="V25" s="28">
        <v>84</v>
      </c>
      <c r="W25" s="95">
        <f t="shared" ref="W25" si="138">B25+X25</f>
        <v>46184</v>
      </c>
      <c r="X25" s="79">
        <v>20</v>
      </c>
      <c r="Y25" s="79">
        <v>330</v>
      </c>
      <c r="Z25" s="2">
        <f t="shared" si="28"/>
        <v>0</v>
      </c>
      <c r="AA25" s="2">
        <f t="shared" ref="AA25" ca="1" si="139">IF(W25&gt;TODAY(),"프리타임기간중",Q25*Y25*IF(DATE(YEAR(W25),MONTH(W25),1)&lt;DATE(YEAR($AA$2),MONTH($AA$2),1),DATEDIF($AA$2,$AA$3,"D")+1,DATEDIF(W25,$AA$3+1,"d")))</f>
        <v>0</v>
      </c>
      <c r="AB25" s="2">
        <f t="shared" ref="AB25" ca="1" si="140">IFERROR(Z25+AA25,"")</f>
        <v>0</v>
      </c>
      <c r="AC25" s="103"/>
      <c r="AP25" s="142">
        <v>1008</v>
      </c>
      <c r="BA25" s="142">
        <v>840</v>
      </c>
      <c r="BC25" s="142">
        <v>756</v>
      </c>
      <c r="BD25" s="142">
        <v>9</v>
      </c>
    </row>
    <row r="26" spans="2:68" s="2" customFormat="1" ht="20.100000000000001" customHeight="1">
      <c r="B26" s="110">
        <v>46164</v>
      </c>
      <c r="C26" s="111" t="s">
        <v>406</v>
      </c>
      <c r="D26" s="112" t="s">
        <v>410</v>
      </c>
      <c r="E26" s="113"/>
      <c r="F26" s="114" t="s">
        <v>407</v>
      </c>
      <c r="G26" s="8" t="str">
        <f t="shared" ref="G26" si="141">C26&amp;F26</f>
        <v>KMTCLCH562934415KG설탕(씨엔)</v>
      </c>
      <c r="H26" s="28">
        <v>6000</v>
      </c>
      <c r="I26" s="41">
        <f t="shared" ref="I26" si="142">ROUNDUP((H26/V26),0)</f>
        <v>72</v>
      </c>
      <c r="J26" s="29">
        <v>0</v>
      </c>
      <c r="K26" s="29">
        <f>40+84+84</f>
        <v>208</v>
      </c>
      <c r="L26" s="41">
        <f t="shared" ref="L26" si="143">ROUNDUP((K26/V26),0)</f>
        <v>3</v>
      </c>
      <c r="M26" s="29">
        <v>0</v>
      </c>
      <c r="N26" s="31">
        <f t="shared" ref="N26" si="144">P26-K26+M26</f>
        <v>0</v>
      </c>
      <c r="O26" s="42">
        <f t="shared" ref="O26" si="145">ROUNDUP((N26/V26),0)</f>
        <v>0</v>
      </c>
      <c r="P26" s="31">
        <f t="shared" ref="P26" si="146">H26-T26</f>
        <v>208</v>
      </c>
      <c r="Q26" s="42">
        <f t="shared" ref="Q26" si="147">L26+O26</f>
        <v>3</v>
      </c>
      <c r="R26" s="28">
        <v>5792</v>
      </c>
      <c r="S26" s="97">
        <f t="shared" si="25"/>
        <v>0</v>
      </c>
      <c r="T26" s="97">
        <f t="shared" ref="T26" si="148">R26+S26+J26+M26</f>
        <v>5792</v>
      </c>
      <c r="U26" s="96"/>
      <c r="V26" s="28">
        <v>84</v>
      </c>
      <c r="W26" s="95">
        <f t="shared" ref="W26" si="149">B26+X26</f>
        <v>46184</v>
      </c>
      <c r="X26" s="79">
        <v>20</v>
      </c>
      <c r="Y26" s="79">
        <v>330</v>
      </c>
      <c r="Z26" s="2">
        <f t="shared" si="28"/>
        <v>0</v>
      </c>
      <c r="AA26" s="2">
        <f t="shared" ref="AA26" ca="1" si="150">IF(W26&gt;TODAY(),"프리타임기간중",Q26*Y26*IF(DATE(YEAR(W26),MONTH(W26),1)&lt;DATE(YEAR($AA$2),MONTH($AA$2),1),DATEDIF($AA$2,$AA$3,"D")+1,DATEDIF(W26,$AA$3+1,"d")))</f>
        <v>30690</v>
      </c>
      <c r="AB26" s="2">
        <f t="shared" ref="AB26" ca="1" si="151">IFERROR(Z26+AA26,"")</f>
        <v>30690</v>
      </c>
      <c r="AC26" s="103"/>
    </row>
    <row r="27" spans="2:68" s="2" customFormat="1" ht="20.100000000000001" customHeight="1">
      <c r="B27" s="110">
        <v>46195</v>
      </c>
      <c r="C27" s="111" t="s">
        <v>495</v>
      </c>
      <c r="D27" s="112" t="s">
        <v>502</v>
      </c>
      <c r="E27" s="113"/>
      <c r="F27" s="114" t="s">
        <v>496</v>
      </c>
      <c r="G27" s="8" t="str">
        <f>C27&amp;F27</f>
        <v>HASLS2226040155915KG설탕(엘앤엘)</v>
      </c>
      <c r="H27" s="28">
        <v>3800</v>
      </c>
      <c r="I27" s="41">
        <f>ROUNDUP((H27/V27),0)</f>
        <v>46</v>
      </c>
      <c r="J27" s="29">
        <v>0</v>
      </c>
      <c r="K27" s="29">
        <v>74</v>
      </c>
      <c r="L27" s="41">
        <f>ROUNDUP((K27/V27),0)</f>
        <v>1</v>
      </c>
      <c r="M27" s="29">
        <v>0</v>
      </c>
      <c r="N27" s="31">
        <f>P27-K27+M27</f>
        <v>0</v>
      </c>
      <c r="O27" s="42">
        <f>ROUNDUP((N27/V27),0)</f>
        <v>0</v>
      </c>
      <c r="P27" s="31">
        <f>H27-T27</f>
        <v>74</v>
      </c>
      <c r="Q27" s="42">
        <f>L27+O27</f>
        <v>1</v>
      </c>
      <c r="R27" s="28">
        <v>3726</v>
      </c>
      <c r="S27" s="97">
        <f t="shared" si="25"/>
        <v>0</v>
      </c>
      <c r="T27" s="97">
        <f>R27+S27+J27+M27</f>
        <v>3726</v>
      </c>
      <c r="U27" s="96"/>
      <c r="V27" s="28">
        <v>84</v>
      </c>
      <c r="W27" s="95">
        <f>B27+X27</f>
        <v>46215</v>
      </c>
      <c r="X27" s="79">
        <v>20</v>
      </c>
      <c r="Y27" s="79">
        <v>330</v>
      </c>
      <c r="Z27" s="2">
        <f t="shared" si="28"/>
        <v>0</v>
      </c>
      <c r="AA27" s="2">
        <f ca="1">IF(W27&gt;TODAY(),"프리타임기간중",Q27*Y27*IF(DATE(YEAR(W27),MONTH(W27),1)&lt;DATE(YEAR($AA$2),MONTH($AA$2),1),DATEDIF($AA$2,$AA$3,"D")+1,DATEDIF(W27,$AA$3+1,"d")))</f>
        <v>6600</v>
      </c>
      <c r="AB27" s="2">
        <f ca="1">IFERROR(Z27+AA27,"")</f>
        <v>6600</v>
      </c>
      <c r="AC27" s="103"/>
    </row>
    <row r="28" spans="2:68" s="2" customFormat="1" ht="20.100000000000001" customHeight="1">
      <c r="B28" s="110">
        <v>46195</v>
      </c>
      <c r="C28" s="111" t="s">
        <v>495</v>
      </c>
      <c r="D28" s="112" t="s">
        <v>544</v>
      </c>
      <c r="E28" s="113"/>
      <c r="F28" s="114" t="s">
        <v>362</v>
      </c>
      <c r="G28" s="8" t="str">
        <f t="shared" ref="G28" si="152">C28&amp;F28</f>
        <v>HASLS2226040155915KG설탕(화인비)</v>
      </c>
      <c r="H28" s="28">
        <v>11600</v>
      </c>
      <c r="I28" s="41">
        <f t="shared" ref="I28" si="153">ROUNDUP((H28/V28),0)</f>
        <v>139</v>
      </c>
      <c r="J28" s="29">
        <v>0</v>
      </c>
      <c r="K28" s="29">
        <v>0</v>
      </c>
      <c r="L28" s="41">
        <f t="shared" ref="L28" si="154">ROUNDUP((K28/V28),0)</f>
        <v>0</v>
      </c>
      <c r="M28" s="29">
        <v>0</v>
      </c>
      <c r="N28" s="31">
        <f t="shared" ref="N28" si="155">P28-K28+M28</f>
        <v>794</v>
      </c>
      <c r="O28" s="42">
        <f t="shared" ref="O28" si="156">ROUNDUP((N28/V28),0)</f>
        <v>10</v>
      </c>
      <c r="P28" s="31">
        <f t="shared" ref="P28" si="157">H28-T28</f>
        <v>794</v>
      </c>
      <c r="Q28" s="42">
        <f t="shared" ref="Q28" si="158">L28+O28</f>
        <v>10</v>
      </c>
      <c r="R28" s="28">
        <v>726</v>
      </c>
      <c r="S28" s="97">
        <f t="shared" si="25"/>
        <v>10080</v>
      </c>
      <c r="T28" s="97">
        <f t="shared" ref="T28" si="159">R28+S28+J28+M28</f>
        <v>10806</v>
      </c>
      <c r="U28" s="96"/>
      <c r="V28" s="28">
        <v>84</v>
      </c>
      <c r="W28" s="95">
        <f t="shared" ref="W28" si="160">B28+X28</f>
        <v>46215</v>
      </c>
      <c r="X28" s="79">
        <v>20</v>
      </c>
      <c r="Y28" s="79">
        <v>330</v>
      </c>
      <c r="Z28" s="2">
        <f t="shared" si="28"/>
        <v>0</v>
      </c>
      <c r="AA28" s="2">
        <f t="shared" ref="AA28" ca="1" si="161">IF(W28&gt;TODAY(),"프리타임기간중",Q28*Y28*IF(DATE(YEAR(W28),MONTH(W28),1)&lt;DATE(YEAR($AA$2),MONTH($AA$2),1),DATEDIF($AA$2,$AA$3,"D")+1,DATEDIF(W28,$AA$3+1,"d")))</f>
        <v>66000</v>
      </c>
      <c r="AB28" s="2">
        <f t="shared" ref="AB28" ca="1" si="162">IFERROR(Z28+AA28,"")</f>
        <v>66000</v>
      </c>
      <c r="AC28" s="103"/>
      <c r="AE28" s="2">
        <v>840</v>
      </c>
      <c r="AQ28" s="172">
        <v>672</v>
      </c>
      <c r="AR28" s="2">
        <f>84*2</f>
        <v>168</v>
      </c>
      <c r="AS28" s="2">
        <v>840</v>
      </c>
      <c r="AT28" s="2">
        <f>84*14</f>
        <v>1176</v>
      </c>
      <c r="AV28" s="2">
        <f>84*2</f>
        <v>168</v>
      </c>
      <c r="AW28" s="2">
        <f>84*12</f>
        <v>1008</v>
      </c>
      <c r="AZ28" s="2">
        <f>84*11</f>
        <v>924</v>
      </c>
      <c r="BB28" s="2">
        <f>84*12</f>
        <v>1008</v>
      </c>
      <c r="BG28" s="2">
        <v>84</v>
      </c>
      <c r="BH28" s="2">
        <v>840</v>
      </c>
      <c r="BI28" s="2">
        <f>84*16</f>
        <v>1344</v>
      </c>
      <c r="BJ28" s="2">
        <v>168</v>
      </c>
      <c r="BM28" s="2">
        <v>840</v>
      </c>
    </row>
    <row r="29" spans="2:68" s="2" customFormat="1" ht="20.100000000000001" customHeight="1">
      <c r="B29" s="110">
        <v>46202</v>
      </c>
      <c r="C29" s="112" t="s">
        <v>800</v>
      </c>
      <c r="D29" s="111" t="s">
        <v>802</v>
      </c>
      <c r="E29" s="113"/>
      <c r="F29" s="114" t="s">
        <v>389</v>
      </c>
      <c r="G29" s="8" t="str">
        <f t="shared" ref="G29" si="163">C29&amp;F29</f>
        <v>DJSCLCH260001546(HFIBKO266013)15KG설탕(우리에프엠)</v>
      </c>
      <c r="H29" s="28">
        <v>3400</v>
      </c>
      <c r="I29" s="41">
        <f t="shared" ref="I29" si="164">ROUNDUP((H29/V29),0)</f>
        <v>41</v>
      </c>
      <c r="J29" s="29">
        <v>0</v>
      </c>
      <c r="K29" s="29">
        <f>84+28</f>
        <v>112</v>
      </c>
      <c r="L29" s="41">
        <f t="shared" ref="L29" si="165">ROUNDUP((K29/V29),0)</f>
        <v>2</v>
      </c>
      <c r="M29" s="29">
        <v>0</v>
      </c>
      <c r="N29" s="31">
        <f t="shared" ref="N29" si="166">P29-K29+M29</f>
        <v>2373</v>
      </c>
      <c r="O29" s="42">
        <f t="shared" ref="O29" si="167">ROUNDUP((N29/V29),0)</f>
        <v>29</v>
      </c>
      <c r="P29" s="31">
        <f t="shared" ref="P29" si="168">H29-T29</f>
        <v>2485</v>
      </c>
      <c r="Q29" s="42">
        <f t="shared" ref="Q29" si="169">L29+O29</f>
        <v>31</v>
      </c>
      <c r="R29" s="28">
        <v>0</v>
      </c>
      <c r="S29" s="97">
        <f t="shared" si="25"/>
        <v>915</v>
      </c>
      <c r="T29" s="97">
        <f t="shared" ref="T29" si="170">R29+S29+J29+M29</f>
        <v>915</v>
      </c>
      <c r="U29" s="96"/>
      <c r="V29" s="28">
        <v>84</v>
      </c>
      <c r="W29" s="95">
        <f t="shared" ref="W29" si="171">B29+X29</f>
        <v>46222</v>
      </c>
      <c r="X29" s="79">
        <v>20</v>
      </c>
      <c r="Y29" s="79">
        <v>330</v>
      </c>
      <c r="Z29" s="2">
        <f t="shared" si="28"/>
        <v>0</v>
      </c>
      <c r="AA29" s="2">
        <f t="shared" ref="AA29" ca="1" si="172">IF(W29&gt;TODAY(),"프리타임기간중",Q29*Y29*IF(DATE(YEAR(W29),MONTH(W29),1)&lt;DATE(YEAR($AA$2),MONTH($AA$2),1),DATEDIF($AA$2,$AA$3,"D")+1,DATEDIF(W29,$AA$3+1,"d")))</f>
        <v>132990</v>
      </c>
      <c r="AB29" s="2">
        <f t="shared" ref="AB29" ca="1" si="173">IFERROR(Z29+AA29,"")</f>
        <v>132990</v>
      </c>
      <c r="AC29" s="103"/>
      <c r="BE29" s="142">
        <v>75</v>
      </c>
      <c r="BP29" s="142">
        <v>840</v>
      </c>
    </row>
    <row r="30" spans="2:68" s="2" customFormat="1" ht="20.100000000000001" customHeight="1">
      <c r="B30" s="110">
        <v>46202</v>
      </c>
      <c r="C30" s="112" t="s">
        <v>800</v>
      </c>
      <c r="D30" s="111" t="s">
        <v>801</v>
      </c>
      <c r="E30" s="113"/>
      <c r="F30" s="114" t="s">
        <v>551</v>
      </c>
      <c r="G30" s="8" t="str">
        <f t="shared" ref="G30" si="174">C30&amp;F30</f>
        <v>DJSCLCH260001546(HFIBKO266013)15KG설탕(명진)</v>
      </c>
      <c r="H30" s="28">
        <v>12000</v>
      </c>
      <c r="I30" s="41">
        <f t="shared" ref="I30" si="175">ROUNDUP((H30/V30),0)</f>
        <v>143</v>
      </c>
      <c r="J30" s="29">
        <v>0</v>
      </c>
      <c r="K30" s="29">
        <v>0</v>
      </c>
      <c r="L30" s="41">
        <f t="shared" ref="L30" si="176">ROUNDUP((K30/V30),0)</f>
        <v>0</v>
      </c>
      <c r="M30" s="29">
        <v>0</v>
      </c>
      <c r="N30" s="31">
        <f t="shared" ref="N30" si="177">P30-K30+M30</f>
        <v>12000</v>
      </c>
      <c r="O30" s="42">
        <f t="shared" ref="O30" si="178">ROUNDUP((N30/V30),0)</f>
        <v>143</v>
      </c>
      <c r="P30" s="31">
        <f t="shared" ref="P30" si="179">H30-T30</f>
        <v>12000</v>
      </c>
      <c r="Q30" s="42">
        <f t="shared" ref="Q30" si="180">L30+O30</f>
        <v>143</v>
      </c>
      <c r="R30" s="28">
        <v>0</v>
      </c>
      <c r="S30" s="97">
        <f t="shared" si="25"/>
        <v>0</v>
      </c>
      <c r="T30" s="97">
        <f t="shared" ref="T30" si="181">R30+S30+J30+M30</f>
        <v>0</v>
      </c>
      <c r="U30" s="96"/>
      <c r="V30" s="28">
        <v>84</v>
      </c>
      <c r="W30" s="95">
        <f t="shared" ref="W30" si="182">B30+X30</f>
        <v>46222</v>
      </c>
      <c r="X30" s="79">
        <v>20</v>
      </c>
      <c r="Y30" s="79">
        <v>330</v>
      </c>
      <c r="Z30" s="2">
        <f t="shared" si="28"/>
        <v>0</v>
      </c>
      <c r="AA30" s="2">
        <f t="shared" ref="AA30" ca="1" si="183">IF(W30&gt;TODAY(),"프리타임기간중",Q30*Y30*IF(DATE(YEAR(W30),MONTH(W30),1)&lt;DATE(YEAR($AA$2),MONTH($AA$2),1),DATEDIF($AA$2,$AA$3,"D")+1,DATEDIF(W30,$AA$3+1,"d")))</f>
        <v>613470</v>
      </c>
      <c r="AB30" s="2">
        <f t="shared" ref="AB30" ca="1" si="184">IFERROR(Z30+AA30,"")</f>
        <v>613470</v>
      </c>
      <c r="AC30" s="103"/>
    </row>
    <row r="31" spans="2:68" s="2" customFormat="1" ht="20.100000000000001" customHeight="1">
      <c r="B31" s="122">
        <v>46203</v>
      </c>
      <c r="C31" s="123" t="s">
        <v>564</v>
      </c>
      <c r="D31" s="124"/>
      <c r="E31" s="125"/>
      <c r="F31" s="126" t="s">
        <v>206</v>
      </c>
      <c r="G31" s="8" t="str">
        <f t="shared" ref="G31" si="185">C31&amp;F31</f>
        <v>F2-KMTCLCH532509225KG설탕</v>
      </c>
      <c r="H31" s="28">
        <v>13</v>
      </c>
      <c r="I31" s="41">
        <f t="shared" ref="I31" si="186">ROUNDUP((H31/V31),0)</f>
        <v>1</v>
      </c>
      <c r="J31" s="29">
        <v>0</v>
      </c>
      <c r="K31" s="29">
        <v>0</v>
      </c>
      <c r="L31" s="41">
        <f t="shared" ref="L31" si="187">ROUNDUP((K31/V31),0)</f>
        <v>0</v>
      </c>
      <c r="M31" s="29">
        <v>0</v>
      </c>
      <c r="N31" s="31">
        <f t="shared" ref="N31" si="188">P31-K31+M31</f>
        <v>0</v>
      </c>
      <c r="O31" s="42">
        <f t="shared" ref="O31" si="189">ROUNDUP((N31/V31),0)</f>
        <v>0</v>
      </c>
      <c r="P31" s="31">
        <f t="shared" ref="P31" si="190">H31-T31</f>
        <v>0</v>
      </c>
      <c r="Q31" s="42">
        <f t="shared" ref="Q31" si="191">L31+O31</f>
        <v>0</v>
      </c>
      <c r="R31" s="28">
        <v>0</v>
      </c>
      <c r="S31" s="97">
        <f t="shared" si="25"/>
        <v>13</v>
      </c>
      <c r="T31" s="97">
        <f t="shared" ref="T31" si="192">R31+S31+J31+M31</f>
        <v>13</v>
      </c>
      <c r="U31" s="96" t="s">
        <v>567</v>
      </c>
      <c r="V31" s="28">
        <v>13</v>
      </c>
      <c r="W31" s="95">
        <f t="shared" ref="W31" si="193">B31+X31</f>
        <v>46223</v>
      </c>
      <c r="X31" s="79">
        <v>20</v>
      </c>
      <c r="Y31" s="79">
        <v>330</v>
      </c>
      <c r="Z31" s="2">
        <f t="shared" si="28"/>
        <v>0</v>
      </c>
      <c r="AA31" s="2">
        <f t="shared" ref="AA31" ca="1" si="194">IF(W31&gt;TODAY(),"프리타임기간중",Q31*Y31*IF(DATE(YEAR(W31),MONTH(W31),1)&lt;DATE(YEAR($AA$2),MONTH($AA$2),1),DATEDIF($AA$2,$AA$3,"D")+1,DATEDIF(W31,$AA$3+1,"d")))</f>
        <v>0</v>
      </c>
      <c r="AB31" s="2">
        <f t="shared" ref="AB31" ca="1" si="195">IFERROR(Z31+AA31,"")</f>
        <v>0</v>
      </c>
      <c r="AC31" s="103"/>
      <c r="AJ31" s="142">
        <v>13</v>
      </c>
    </row>
    <row r="32" spans="2:68" s="2" customFormat="1" ht="20.100000000000001" customHeight="1">
      <c r="B32" s="122">
        <v>46203</v>
      </c>
      <c r="C32" s="123" t="s">
        <v>565</v>
      </c>
      <c r="D32" s="124"/>
      <c r="E32" s="125"/>
      <c r="F32" s="126" t="s">
        <v>206</v>
      </c>
      <c r="G32" s="8" t="str">
        <f t="shared" ref="G32:G33" si="196">C32&amp;F32</f>
        <v>F2-KMTCLCH548548525KG설탕</v>
      </c>
      <c r="H32" s="28">
        <v>8</v>
      </c>
      <c r="I32" s="41">
        <f t="shared" ref="I32:I33" si="197">ROUNDUP((H32/V32),0)</f>
        <v>1</v>
      </c>
      <c r="J32" s="29">
        <v>0</v>
      </c>
      <c r="K32" s="29">
        <v>0</v>
      </c>
      <c r="L32" s="41">
        <f t="shared" ref="L32:L33" si="198">ROUNDUP((K32/V32),0)</f>
        <v>0</v>
      </c>
      <c r="M32" s="29">
        <v>0</v>
      </c>
      <c r="N32" s="31">
        <f t="shared" ref="N32:N33" si="199">P32-K32+M32</f>
        <v>0</v>
      </c>
      <c r="O32" s="42">
        <f t="shared" ref="O32:O33" si="200">ROUNDUP((N32/V32),0)</f>
        <v>0</v>
      </c>
      <c r="P32" s="31">
        <f t="shared" ref="P32:P33" si="201">H32-T32</f>
        <v>0</v>
      </c>
      <c r="Q32" s="42">
        <f t="shared" ref="Q32:Q33" si="202">L32+O32</f>
        <v>0</v>
      </c>
      <c r="R32" s="28">
        <v>0</v>
      </c>
      <c r="S32" s="97">
        <f t="shared" si="25"/>
        <v>8</v>
      </c>
      <c r="T32" s="97">
        <f t="shared" ref="T32:T33" si="203">R32+S32+J32+M32</f>
        <v>8</v>
      </c>
      <c r="U32" s="96" t="s">
        <v>567</v>
      </c>
      <c r="V32" s="28">
        <v>8</v>
      </c>
      <c r="W32" s="95">
        <f t="shared" ref="W32:W33" si="204">B32+X32</f>
        <v>46223</v>
      </c>
      <c r="X32" s="79">
        <v>20</v>
      </c>
      <c r="Y32" s="79">
        <v>330</v>
      </c>
      <c r="Z32" s="2">
        <f t="shared" si="28"/>
        <v>0</v>
      </c>
      <c r="AA32" s="2">
        <f t="shared" ref="AA32:AA33" ca="1" si="205">IF(W32&gt;TODAY(),"프리타임기간중",Q32*Y32*IF(DATE(YEAR(W32),MONTH(W32),1)&lt;DATE(YEAR($AA$2),MONTH($AA$2),1),DATEDIF($AA$2,$AA$3,"D")+1,DATEDIF(W32,$AA$3+1,"d")))</f>
        <v>0</v>
      </c>
      <c r="AB32" s="2">
        <f t="shared" ref="AB32:AB33" ca="1" si="206">IFERROR(Z32+AA32,"")</f>
        <v>0</v>
      </c>
      <c r="AC32" s="103"/>
      <c r="AK32" s="142">
        <v>8</v>
      </c>
    </row>
    <row r="33" spans="2:66" s="2" customFormat="1" ht="20.100000000000001" customHeight="1">
      <c r="B33" s="122">
        <v>46203</v>
      </c>
      <c r="C33" s="123" t="s">
        <v>566</v>
      </c>
      <c r="D33" s="124"/>
      <c r="E33" s="125"/>
      <c r="F33" s="126" t="s">
        <v>206</v>
      </c>
      <c r="G33" s="8" t="str">
        <f t="shared" si="196"/>
        <v>F2-HASLS2225100100625KG설탕</v>
      </c>
      <c r="H33" s="28">
        <v>35</v>
      </c>
      <c r="I33" s="41">
        <f t="shared" si="197"/>
        <v>1</v>
      </c>
      <c r="J33" s="29">
        <v>0</v>
      </c>
      <c r="K33" s="29">
        <v>0</v>
      </c>
      <c r="L33" s="41">
        <f t="shared" si="198"/>
        <v>0</v>
      </c>
      <c r="M33" s="29">
        <v>0</v>
      </c>
      <c r="N33" s="31">
        <f t="shared" si="199"/>
        <v>0</v>
      </c>
      <c r="O33" s="42">
        <f t="shared" si="200"/>
        <v>0</v>
      </c>
      <c r="P33" s="31">
        <f t="shared" si="201"/>
        <v>0</v>
      </c>
      <c r="Q33" s="42">
        <f t="shared" si="202"/>
        <v>0</v>
      </c>
      <c r="R33" s="28">
        <v>0</v>
      </c>
      <c r="S33" s="97">
        <f t="shared" si="25"/>
        <v>35</v>
      </c>
      <c r="T33" s="97">
        <f t="shared" si="203"/>
        <v>35</v>
      </c>
      <c r="U33" s="96" t="s">
        <v>567</v>
      </c>
      <c r="V33" s="28">
        <v>35</v>
      </c>
      <c r="W33" s="95">
        <f t="shared" si="204"/>
        <v>46223</v>
      </c>
      <c r="X33" s="79">
        <v>20</v>
      </c>
      <c r="Y33" s="79">
        <v>330</v>
      </c>
      <c r="Z33" s="2">
        <f t="shared" si="28"/>
        <v>0</v>
      </c>
      <c r="AA33" s="2">
        <f t="shared" ca="1" si="205"/>
        <v>0</v>
      </c>
      <c r="AB33" s="2">
        <f t="shared" ca="1" si="206"/>
        <v>0</v>
      </c>
      <c r="AC33" s="103"/>
      <c r="AL33" s="142">
        <v>35</v>
      </c>
    </row>
    <row r="34" spans="2:66" s="2" customFormat="1" ht="20.100000000000001" customHeight="1">
      <c r="B34" s="81">
        <v>46206</v>
      </c>
      <c r="C34" s="99" t="s">
        <v>617</v>
      </c>
      <c r="D34" s="98"/>
      <c r="E34" s="79"/>
      <c r="F34" s="8" t="s">
        <v>618</v>
      </c>
      <c r="G34" s="8" t="str">
        <f t="shared" ref="G34" si="207">C34&amp;F34</f>
        <v>KMTCLCH567732215KG설탕(지제이)</v>
      </c>
      <c r="H34" s="28">
        <v>12200</v>
      </c>
      <c r="I34" s="41">
        <f t="shared" ref="I34" si="208">ROUNDUP((H34/V34),0)</f>
        <v>146</v>
      </c>
      <c r="J34" s="29">
        <v>0</v>
      </c>
      <c r="K34" s="29">
        <v>0</v>
      </c>
      <c r="L34" s="41">
        <f t="shared" ref="L34" si="209">ROUNDUP((K34/V34),0)</f>
        <v>0</v>
      </c>
      <c r="M34" s="29">
        <v>0</v>
      </c>
      <c r="N34" s="31">
        <f t="shared" ref="N34" si="210">P34-K34+M34</f>
        <v>12200</v>
      </c>
      <c r="O34" s="42">
        <f t="shared" ref="O34" si="211">ROUNDUP((N34/V34),0)</f>
        <v>146</v>
      </c>
      <c r="P34" s="31">
        <f t="shared" ref="P34" si="212">H34-T34</f>
        <v>12200</v>
      </c>
      <c r="Q34" s="42">
        <f t="shared" ref="Q34" si="213">L34+O34</f>
        <v>146</v>
      </c>
      <c r="R34" s="28">
        <v>0</v>
      </c>
      <c r="S34" s="97">
        <f t="shared" si="25"/>
        <v>0</v>
      </c>
      <c r="T34" s="97">
        <f t="shared" ref="T34" si="214">R34+S34+J34+M34</f>
        <v>0</v>
      </c>
      <c r="U34" s="96"/>
      <c r="V34" s="28">
        <v>84</v>
      </c>
      <c r="W34" s="95">
        <f t="shared" ref="W34" si="215">B34+X34</f>
        <v>46226</v>
      </c>
      <c r="X34" s="79">
        <v>20</v>
      </c>
      <c r="Y34" s="79">
        <v>330</v>
      </c>
      <c r="Z34" s="2">
        <f t="shared" si="28"/>
        <v>0</v>
      </c>
      <c r="AA34" s="2">
        <f t="shared" ref="AA34" ca="1" si="216">IF(W34&gt;TODAY(),"프리타임기간중",Q34*Y34*IF(DATE(YEAR(W34),MONTH(W34),1)&lt;DATE(YEAR($AA$2),MONTH($AA$2),1),DATEDIF($AA$2,$AA$3,"D")+1,DATEDIF(W34,$AA$3+1,"d")))</f>
        <v>433620</v>
      </c>
      <c r="AB34" s="2">
        <f t="shared" ref="AB34" ca="1" si="217">IFERROR(Z34+AA34,"")</f>
        <v>433620</v>
      </c>
      <c r="AC34" s="103"/>
    </row>
    <row r="35" spans="2:66" s="2" customFormat="1" ht="20.100000000000001" customHeight="1">
      <c r="B35" s="81">
        <v>46206</v>
      </c>
      <c r="C35" s="99" t="s">
        <v>617</v>
      </c>
      <c r="D35" s="98"/>
      <c r="E35" s="79"/>
      <c r="F35" s="8" t="s">
        <v>619</v>
      </c>
      <c r="G35" s="8" t="str">
        <f t="shared" ref="G35:G36" si="218">C35&amp;F35</f>
        <v>KMTCLCH567732215KG설탕(씨에치홀딩스)</v>
      </c>
      <c r="H35" s="28">
        <v>3200</v>
      </c>
      <c r="I35" s="41">
        <f t="shared" ref="I35:I36" si="219">ROUNDUP((H35/V35),0)</f>
        <v>39</v>
      </c>
      <c r="J35" s="29">
        <v>0</v>
      </c>
      <c r="K35" s="29">
        <v>80</v>
      </c>
      <c r="L35" s="41">
        <f t="shared" ref="L35:L36" si="220">ROUNDUP((K35/V35),0)</f>
        <v>1</v>
      </c>
      <c r="M35" s="29">
        <v>0</v>
      </c>
      <c r="N35" s="31">
        <f t="shared" ref="N35:N36" si="221">P35-K35+M35</f>
        <v>3120</v>
      </c>
      <c r="O35" s="42">
        <f t="shared" ref="O35:O36" si="222">ROUNDUP((N35/V35),0)</f>
        <v>38</v>
      </c>
      <c r="P35" s="31">
        <f t="shared" ref="P35:P36" si="223">H35-T35</f>
        <v>3200</v>
      </c>
      <c r="Q35" s="42">
        <f t="shared" ref="Q35:Q36" si="224">L35+O35</f>
        <v>39</v>
      </c>
      <c r="R35" s="28">
        <v>0</v>
      </c>
      <c r="S35" s="97">
        <f t="shared" si="25"/>
        <v>0</v>
      </c>
      <c r="T35" s="97">
        <f t="shared" ref="T35:T36" si="225">R35+S35+J35+M35</f>
        <v>0</v>
      </c>
      <c r="U35" s="96"/>
      <c r="V35" s="28">
        <v>84</v>
      </c>
      <c r="W35" s="95">
        <f t="shared" ref="W35:W36" si="226">B35+X35</f>
        <v>46226</v>
      </c>
      <c r="X35" s="79">
        <v>20</v>
      </c>
      <c r="Y35" s="79">
        <v>330</v>
      </c>
      <c r="Z35" s="2">
        <f t="shared" si="28"/>
        <v>0</v>
      </c>
      <c r="AA35" s="2">
        <f t="shared" ref="AA35:AA36" ca="1" si="227">IF(W35&gt;TODAY(),"프리타임기간중",Q35*Y35*IF(DATE(YEAR(W35),MONTH(W35),1)&lt;DATE(YEAR($AA$2),MONTH($AA$2),1),DATEDIF($AA$2,$AA$3,"D")+1,DATEDIF(W35,$AA$3+1,"d")))</f>
        <v>115830</v>
      </c>
      <c r="AB35" s="2">
        <f t="shared" ref="AB35:AB36" ca="1" si="228">IFERROR(Z35+AA35,"")</f>
        <v>115830</v>
      </c>
      <c r="AC35" s="103"/>
    </row>
    <row r="36" spans="2:66" s="2" customFormat="1" ht="20.100000000000001" customHeight="1">
      <c r="B36" s="110">
        <v>46209</v>
      </c>
      <c r="C36" s="111" t="s">
        <v>621</v>
      </c>
      <c r="D36" s="112"/>
      <c r="E36" s="113" t="s">
        <v>631</v>
      </c>
      <c r="F36" s="114" t="s">
        <v>622</v>
      </c>
      <c r="G36" s="8" t="str">
        <f t="shared" si="218"/>
        <v>KMTCLCH5678809톤백설탕(선플러스)</v>
      </c>
      <c r="H36" s="28">
        <v>200</v>
      </c>
      <c r="I36" s="41">
        <f t="shared" si="219"/>
        <v>200</v>
      </c>
      <c r="J36" s="29">
        <v>0</v>
      </c>
      <c r="K36" s="29">
        <v>0</v>
      </c>
      <c r="L36" s="41">
        <f t="shared" si="220"/>
        <v>0</v>
      </c>
      <c r="M36" s="29">
        <v>0</v>
      </c>
      <c r="N36" s="31">
        <f t="shared" si="221"/>
        <v>176</v>
      </c>
      <c r="O36" s="42">
        <f t="shared" si="222"/>
        <v>176</v>
      </c>
      <c r="P36" s="31">
        <f t="shared" si="223"/>
        <v>176</v>
      </c>
      <c r="Q36" s="42">
        <f t="shared" si="224"/>
        <v>176</v>
      </c>
      <c r="R36" s="28">
        <v>0</v>
      </c>
      <c r="S36" s="97">
        <f t="shared" si="25"/>
        <v>24</v>
      </c>
      <c r="T36" s="97">
        <f t="shared" si="225"/>
        <v>24</v>
      </c>
      <c r="U36" s="96"/>
      <c r="V36" s="28">
        <v>1</v>
      </c>
      <c r="W36" s="95">
        <f t="shared" si="226"/>
        <v>46229</v>
      </c>
      <c r="X36" s="79">
        <v>20</v>
      </c>
      <c r="Y36" s="79">
        <v>330</v>
      </c>
      <c r="Z36" s="2">
        <f t="shared" si="28"/>
        <v>0</v>
      </c>
      <c r="AA36" s="2">
        <f t="shared" ca="1" si="227"/>
        <v>348480</v>
      </c>
      <c r="AB36" s="2">
        <f t="shared" ca="1" si="228"/>
        <v>348480</v>
      </c>
      <c r="AC36" s="103"/>
      <c r="BL36" s="142">
        <v>10</v>
      </c>
      <c r="BN36" s="142">
        <v>14</v>
      </c>
    </row>
    <row r="37" spans="2:66" s="2" customFormat="1" ht="20.100000000000001" customHeight="1">
      <c r="B37" s="81">
        <v>46219</v>
      </c>
      <c r="C37" s="99" t="s">
        <v>769</v>
      </c>
      <c r="D37" s="98"/>
      <c r="E37" s="79"/>
      <c r="F37" s="8" t="s">
        <v>770</v>
      </c>
      <c r="G37" s="8" t="str">
        <f t="shared" ref="G37" si="229">C37&amp;F37</f>
        <v>HASLS2226060007925KG설탕</v>
      </c>
      <c r="H37" s="28">
        <v>9200</v>
      </c>
      <c r="I37" s="41">
        <f t="shared" ref="I37" si="230">ROUNDUP((H37/V37),0)</f>
        <v>230</v>
      </c>
      <c r="J37" s="29">
        <v>0</v>
      </c>
      <c r="K37" s="29">
        <f>40+19</f>
        <v>59</v>
      </c>
      <c r="L37" s="41">
        <f t="shared" ref="L37" si="231">ROUNDUP((K37/V37),0)</f>
        <v>2</v>
      </c>
      <c r="M37" s="29">
        <v>0</v>
      </c>
      <c r="N37" s="31">
        <f t="shared" ref="N37" si="232">P37-K37+M37</f>
        <v>9141</v>
      </c>
      <c r="O37" s="42">
        <f t="shared" ref="O37" si="233">ROUNDUP((N37/V37),0)</f>
        <v>229</v>
      </c>
      <c r="P37" s="31">
        <f t="shared" ref="P37" si="234">H37-T37</f>
        <v>9200</v>
      </c>
      <c r="Q37" s="42">
        <f t="shared" ref="Q37" si="235">L37+O37</f>
        <v>231</v>
      </c>
      <c r="R37" s="28">
        <v>0</v>
      </c>
      <c r="S37" s="97">
        <f t="shared" si="25"/>
        <v>0</v>
      </c>
      <c r="T37" s="97">
        <f t="shared" ref="T37" si="236">R37+S37+J37+M37</f>
        <v>0</v>
      </c>
      <c r="U37" s="96"/>
      <c r="V37" s="28">
        <v>40</v>
      </c>
      <c r="W37" s="95">
        <f t="shared" ref="W37" si="237">B37+X37</f>
        <v>46239</v>
      </c>
      <c r="X37" s="79">
        <v>20</v>
      </c>
      <c r="Y37" s="79">
        <v>330</v>
      </c>
      <c r="Z37" s="2">
        <f t="shared" si="28"/>
        <v>0</v>
      </c>
      <c r="AA37" s="2" t="str">
        <f t="shared" ref="AA37" ca="1" si="238">IF(W37&gt;TODAY(),"프리타임기간중",Q37*Y37*IF(DATE(YEAR(W37),MONTH(W37),1)&lt;DATE(YEAR($AA$2),MONTH($AA$2),1),DATEDIF($AA$2,$AA$3,"D")+1,DATEDIF(W37,$AA$3+1,"d")))</f>
        <v>프리타임기간중</v>
      </c>
      <c r="AB37" s="2" t="str">
        <f t="shared" ref="AB37" ca="1" si="239">IFERROR(Z37+AA37,"")</f>
        <v/>
      </c>
      <c r="AC37" s="103"/>
    </row>
    <row r="38" spans="2:66" s="2" customFormat="1" ht="20.100000000000001" customHeight="1">
      <c r="B38" s="81">
        <v>46232</v>
      </c>
      <c r="C38" s="99" t="s">
        <v>864</v>
      </c>
      <c r="D38" s="98"/>
      <c r="E38" s="79"/>
      <c r="F38" s="8" t="s">
        <v>865</v>
      </c>
      <c r="G38" s="8" t="str">
        <f t="shared" ref="G38" si="240">C38&amp;F38</f>
        <v>KMTCLCH5702874톤백설탕</v>
      </c>
      <c r="H38" s="28">
        <v>200</v>
      </c>
      <c r="I38" s="41">
        <f t="shared" ref="I38" si="241">ROUNDUP((H38/V38),0)</f>
        <v>200</v>
      </c>
      <c r="J38" s="29">
        <v>0</v>
      </c>
      <c r="K38" s="29">
        <v>0</v>
      </c>
      <c r="L38" s="41">
        <f t="shared" ref="L38" si="242">ROUNDUP((K38/V38),0)</f>
        <v>0</v>
      </c>
      <c r="M38" s="29">
        <v>0</v>
      </c>
      <c r="N38" s="31">
        <f t="shared" ref="N38" si="243">P38-K38+M38</f>
        <v>200</v>
      </c>
      <c r="O38" s="42">
        <f t="shared" ref="O38" si="244">ROUNDUP((N38/V38),0)</f>
        <v>200</v>
      </c>
      <c r="P38" s="31">
        <f t="shared" ref="P38" si="245">H38-T38</f>
        <v>200</v>
      </c>
      <c r="Q38" s="42">
        <f t="shared" ref="Q38" si="246">L38+O38</f>
        <v>200</v>
      </c>
      <c r="R38" s="28">
        <v>0</v>
      </c>
      <c r="S38" s="97">
        <f t="shared" si="25"/>
        <v>0</v>
      </c>
      <c r="T38" s="97">
        <f t="shared" ref="T38" si="247">R38+S38+J38+M38</f>
        <v>0</v>
      </c>
      <c r="U38" s="96"/>
      <c r="V38" s="28">
        <v>1</v>
      </c>
      <c r="W38" s="95">
        <f t="shared" ref="W38" si="248">B38+X38</f>
        <v>46252</v>
      </c>
      <c r="X38" s="79">
        <v>20</v>
      </c>
      <c r="Y38" s="79">
        <v>330</v>
      </c>
      <c r="Z38" s="2">
        <f t="shared" si="28"/>
        <v>0</v>
      </c>
      <c r="AA38" s="2" t="str">
        <f t="shared" ref="AA38" ca="1" si="249">IF(W38&gt;TODAY(),"프리타임기간중",Q38*Y38*IF(DATE(YEAR(W38),MONTH(W38),1)&lt;DATE(YEAR($AA$2),MONTH($AA$2),1),DATEDIF($AA$2,$AA$3,"D")+1,DATEDIF(W38,$AA$3+1,"d")))</f>
        <v>프리타임기간중</v>
      </c>
      <c r="AB38" s="2" t="str">
        <f t="shared" ref="AB38" ca="1" si="250">IFERROR(Z38+AA38,"")</f>
        <v/>
      </c>
      <c r="AC38" s="103"/>
    </row>
    <row r="39" spans="2:66" s="2" customFormat="1" ht="20.100000000000001" customHeight="1">
      <c r="B39" s="81"/>
      <c r="C39" s="99"/>
      <c r="D39" s="98"/>
      <c r="E39" s="79"/>
      <c r="F39" s="8"/>
      <c r="G39" s="8" t="str">
        <f t="shared" ref="G39" si="251">C39&amp;F39</f>
        <v/>
      </c>
      <c r="H39" s="28"/>
      <c r="I39" s="41">
        <f t="shared" ref="I39" si="252">ROUNDUP((H39/V39),0)</f>
        <v>0</v>
      </c>
      <c r="J39" s="29">
        <v>0</v>
      </c>
      <c r="K39" s="29">
        <v>0</v>
      </c>
      <c r="L39" s="41">
        <f t="shared" ref="L39" si="253">ROUNDUP((K39/V39),0)</f>
        <v>0</v>
      </c>
      <c r="M39" s="29">
        <v>0</v>
      </c>
      <c r="N39" s="31">
        <f t="shared" ref="N39" si="254">P39-K39+M39</f>
        <v>0</v>
      </c>
      <c r="O39" s="42">
        <f t="shared" ref="O39" si="255">ROUNDUP((N39/V39),0)</f>
        <v>0</v>
      </c>
      <c r="P39" s="31">
        <f t="shared" ref="P39" si="256">H39-T39</f>
        <v>0</v>
      </c>
      <c r="Q39" s="42">
        <f t="shared" ref="Q39" si="257">L39+O39</f>
        <v>0</v>
      </c>
      <c r="R39" s="28">
        <v>0</v>
      </c>
      <c r="S39" s="97">
        <f t="shared" ref="S39" si="258">SUM(AD39:IF39)</f>
        <v>0</v>
      </c>
      <c r="T39" s="97">
        <f t="shared" ref="T39" si="259">R39+S39+J39+M39</f>
        <v>0</v>
      </c>
      <c r="U39" s="96"/>
      <c r="V39" s="28">
        <v>84</v>
      </c>
      <c r="W39" s="95">
        <f t="shared" ref="W39" si="260">B39+X39</f>
        <v>20</v>
      </c>
      <c r="X39" s="79">
        <v>20</v>
      </c>
      <c r="Y39" s="79">
        <v>330</v>
      </c>
      <c r="Z39" s="2">
        <f t="shared" ref="Z39" ca="1" si="261">SUMIF($AD$6:$LE$6,G39,$AD$12:$LE$12)</f>
        <v>0</v>
      </c>
      <c r="AA39" s="2">
        <f t="shared" ref="AA39" ca="1" si="262">IF(W39&gt;TODAY(),"프리타임기간중",Q39*Y39*IF(DATE(YEAR(W39),MONTH(W39),1)&lt;DATE(YEAR($AA$2),MONTH($AA$2),1),DATEDIF($AA$2,$AA$3,"D")+1,DATEDIF(W39,$AA$3+1,"d")))</f>
        <v>0</v>
      </c>
      <c r="AB39" s="2">
        <f t="shared" ref="AB39" ca="1" si="263">IFERROR(Z39+AA39,"")</f>
        <v>0</v>
      </c>
      <c r="AC39" s="103"/>
    </row>
    <row r="40" spans="2:66" s="2" customFormat="1" ht="20.100000000000001" customHeight="1">
      <c r="B40" s="81"/>
      <c r="C40" s="99"/>
      <c r="D40" s="98"/>
      <c r="E40" s="79"/>
      <c r="F40" s="8"/>
      <c r="G40" s="8"/>
      <c r="H40" s="28"/>
      <c r="I40" s="41"/>
      <c r="J40" s="29"/>
      <c r="K40" s="29"/>
      <c r="L40" s="41"/>
      <c r="M40" s="29"/>
      <c r="N40" s="31"/>
      <c r="O40" s="42"/>
      <c r="P40" s="31"/>
      <c r="Q40" s="42"/>
      <c r="R40" s="28"/>
      <c r="S40" s="97"/>
      <c r="T40" s="97"/>
      <c r="U40" s="96"/>
      <c r="V40" s="28"/>
      <c r="W40" s="95"/>
      <c r="X40" s="79"/>
      <c r="Y40" s="79"/>
      <c r="AC40" s="103"/>
    </row>
    <row r="41" spans="2:66" s="1" customFormat="1" ht="15" customHeight="1">
      <c r="B41" s="6"/>
      <c r="C41" s="7"/>
      <c r="D41" s="7"/>
      <c r="E41" s="6"/>
      <c r="F41" s="6"/>
      <c r="G41" s="6"/>
      <c r="H41" s="16"/>
      <c r="I41" s="40"/>
      <c r="J41" s="16"/>
      <c r="K41" s="16"/>
      <c r="L41" s="40"/>
      <c r="M41" s="16"/>
      <c r="N41" s="16"/>
      <c r="O41" s="40"/>
      <c r="P41" s="21"/>
      <c r="Q41" s="22"/>
      <c r="R41" s="16">
        <v>0</v>
      </c>
      <c r="S41" s="30"/>
      <c r="T41" s="30"/>
      <c r="U41" s="94"/>
      <c r="V41" s="21"/>
      <c r="W41" s="7"/>
      <c r="X41" s="7"/>
      <c r="Y41" s="7"/>
      <c r="AC41" s="60"/>
    </row>
    <row r="42" spans="2:66" ht="15" customHeight="1">
      <c r="E42" s="115"/>
      <c r="F42" s="115"/>
      <c r="G42" s="115"/>
      <c r="H42" s="6"/>
    </row>
    <row r="43" spans="2:66" ht="15" customHeight="1">
      <c r="E43" s="115"/>
      <c r="F43" s="115"/>
      <c r="G43" s="115"/>
    </row>
    <row r="44" spans="2:66" ht="15" customHeight="1">
      <c r="B44" s="7"/>
      <c r="C44" s="7" t="s">
        <v>158</v>
      </c>
      <c r="D44" s="7" t="s">
        <v>141</v>
      </c>
      <c r="E44" s="115" t="s">
        <v>142</v>
      </c>
      <c r="F44" s="115" t="s">
        <v>143</v>
      </c>
      <c r="G44" s="116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Z44" s="7"/>
      <c r="AA44" s="7"/>
      <c r="AB44" s="7"/>
      <c r="AC44" s="7"/>
    </row>
    <row r="45" spans="2:66" ht="15" customHeight="1">
      <c r="B45" s="7"/>
      <c r="C45" s="104">
        <v>46153</v>
      </c>
      <c r="D45" s="7">
        <v>256</v>
      </c>
      <c r="E45" s="7"/>
      <c r="F45" s="116">
        <v>341</v>
      </c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Z45" s="7"/>
      <c r="AA45" s="7"/>
      <c r="AB45" s="7"/>
      <c r="AC45" s="7"/>
    </row>
    <row r="46" spans="2:66" ht="15" customHeight="1">
      <c r="B46" s="7"/>
      <c r="C46" s="104">
        <v>46156</v>
      </c>
      <c r="D46" s="7">
        <v>256</v>
      </c>
      <c r="E46" s="7">
        <v>185</v>
      </c>
      <c r="F46" s="116">
        <f t="shared" ref="F46:F68" si="264">F45+D46-E46</f>
        <v>412</v>
      </c>
      <c r="G46" s="7" t="s">
        <v>384</v>
      </c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Z46" s="7"/>
      <c r="AA46" s="7"/>
      <c r="AB46" s="7"/>
      <c r="AC46" s="7"/>
    </row>
    <row r="47" spans="2:66" ht="15" customHeight="1">
      <c r="B47" s="7"/>
      <c r="C47" s="104">
        <v>46157</v>
      </c>
      <c r="E47" s="7">
        <v>184</v>
      </c>
      <c r="F47" s="116">
        <f t="shared" si="264"/>
        <v>228</v>
      </c>
      <c r="G47" s="7" t="s">
        <v>388</v>
      </c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Z47" s="7"/>
      <c r="AA47" s="7"/>
      <c r="AB47" s="7"/>
      <c r="AC47" s="7"/>
    </row>
    <row r="48" spans="2:66" ht="15" customHeight="1">
      <c r="B48" s="7"/>
      <c r="C48" s="104">
        <v>46164</v>
      </c>
      <c r="D48" s="7">
        <v>192</v>
      </c>
      <c r="E48" s="7"/>
      <c r="F48" s="116">
        <f t="shared" si="264"/>
        <v>420</v>
      </c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Z48" s="7"/>
      <c r="AA48" s="7"/>
      <c r="AB48" s="7"/>
      <c r="AC48" s="7"/>
    </row>
    <row r="49" spans="2:29" ht="15" customHeight="1">
      <c r="B49" s="7"/>
      <c r="C49" s="120">
        <v>46163</v>
      </c>
      <c r="E49" s="7">
        <v>200</v>
      </c>
      <c r="F49" s="116">
        <f t="shared" si="264"/>
        <v>220</v>
      </c>
      <c r="G49" s="7" t="s">
        <v>408</v>
      </c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Z49" s="7"/>
      <c r="AA49" s="7"/>
      <c r="AB49" s="7"/>
      <c r="AC49" s="7"/>
    </row>
    <row r="50" spans="2:29" ht="15" customHeight="1">
      <c r="B50" s="7"/>
      <c r="C50" s="120">
        <v>46168</v>
      </c>
      <c r="E50" s="7">
        <v>184</v>
      </c>
      <c r="F50" s="116">
        <f t="shared" si="264"/>
        <v>36</v>
      </c>
      <c r="G50" s="7" t="s">
        <v>406</v>
      </c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Z50" s="7"/>
      <c r="AA50" s="7"/>
      <c r="AB50" s="7"/>
      <c r="AC50" s="7"/>
    </row>
    <row r="51" spans="2:29" ht="15" customHeight="1">
      <c r="B51" s="7"/>
      <c r="C51" s="104">
        <v>46190</v>
      </c>
      <c r="D51" s="7">
        <v>192</v>
      </c>
      <c r="E51" s="7"/>
      <c r="F51" s="116">
        <f t="shared" si="264"/>
        <v>228</v>
      </c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Z51" s="7"/>
      <c r="AA51" s="7"/>
      <c r="AB51" s="7"/>
      <c r="AC51" s="7"/>
    </row>
    <row r="52" spans="2:29" ht="15" customHeight="1">
      <c r="B52" s="7"/>
      <c r="C52" s="104">
        <v>46195</v>
      </c>
      <c r="D52" s="7">
        <v>192</v>
      </c>
      <c r="E52" s="7">
        <v>185</v>
      </c>
      <c r="F52" s="116">
        <f t="shared" si="264"/>
        <v>235</v>
      </c>
      <c r="G52" s="7" t="s">
        <v>543</v>
      </c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Z52" s="7"/>
      <c r="AA52" s="7"/>
      <c r="AB52" s="7"/>
      <c r="AC52" s="7"/>
    </row>
    <row r="53" spans="2:29" ht="15" customHeight="1">
      <c r="B53" s="7"/>
      <c r="C53" s="104">
        <v>46197</v>
      </c>
      <c r="D53" s="7">
        <v>192</v>
      </c>
      <c r="E53" s="7"/>
      <c r="F53" s="116">
        <f t="shared" si="264"/>
        <v>427</v>
      </c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Z53" s="7"/>
      <c r="AA53" s="7"/>
      <c r="AB53" s="7"/>
      <c r="AC53" s="7"/>
    </row>
    <row r="54" spans="2:29" ht="15" customHeight="1">
      <c r="B54" s="7"/>
      <c r="C54" s="104">
        <v>46198</v>
      </c>
      <c r="D54" s="7">
        <v>2</v>
      </c>
      <c r="E54" s="7"/>
      <c r="F54" s="116">
        <f t="shared" si="264"/>
        <v>429</v>
      </c>
      <c r="G54" s="7" t="s">
        <v>538</v>
      </c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Z54" s="7"/>
      <c r="AA54" s="7"/>
      <c r="AB54" s="7"/>
      <c r="AC54" s="7"/>
    </row>
    <row r="55" spans="2:29" ht="15" customHeight="1">
      <c r="B55" s="7"/>
      <c r="C55" s="104">
        <v>46199</v>
      </c>
      <c r="D55" s="7">
        <v>1</v>
      </c>
      <c r="E55" s="7"/>
      <c r="F55" s="116">
        <f t="shared" si="264"/>
        <v>430</v>
      </c>
      <c r="G55" s="7" t="s">
        <v>545</v>
      </c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Z55" s="7"/>
      <c r="AA55" s="7"/>
      <c r="AB55" s="7"/>
      <c r="AC55" s="7"/>
    </row>
    <row r="56" spans="2:29">
      <c r="C56" s="104">
        <v>46202</v>
      </c>
      <c r="D56" s="7">
        <v>200</v>
      </c>
      <c r="E56" s="6">
        <v>185</v>
      </c>
      <c r="F56" s="116">
        <f t="shared" si="264"/>
        <v>445</v>
      </c>
      <c r="G56" s="6" t="s">
        <v>550</v>
      </c>
    </row>
    <row r="57" spans="2:29">
      <c r="C57" s="104">
        <v>46203</v>
      </c>
      <c r="D57" s="7">
        <v>27</v>
      </c>
      <c r="F57" s="116">
        <f t="shared" si="264"/>
        <v>472</v>
      </c>
    </row>
    <row r="58" spans="2:29">
      <c r="C58" s="120">
        <v>46206</v>
      </c>
      <c r="D58" s="7">
        <v>2</v>
      </c>
      <c r="F58" s="116">
        <f t="shared" si="264"/>
        <v>474</v>
      </c>
      <c r="G58" s="6" t="s">
        <v>580</v>
      </c>
    </row>
    <row r="59" spans="2:29">
      <c r="C59" s="120">
        <v>46206</v>
      </c>
      <c r="E59" s="6">
        <v>185</v>
      </c>
      <c r="F59" s="116">
        <f t="shared" si="264"/>
        <v>289</v>
      </c>
      <c r="G59" s="6" t="s">
        <v>620</v>
      </c>
    </row>
    <row r="60" spans="2:29">
      <c r="C60" s="104">
        <v>46209</v>
      </c>
      <c r="E60" s="6">
        <v>200</v>
      </c>
      <c r="F60" s="116">
        <f t="shared" si="264"/>
        <v>89</v>
      </c>
      <c r="G60" s="6" t="s">
        <v>621</v>
      </c>
    </row>
    <row r="61" spans="2:29">
      <c r="C61" s="104">
        <v>46218</v>
      </c>
      <c r="D61" s="7">
        <v>200</v>
      </c>
      <c r="F61" s="116">
        <f t="shared" si="264"/>
        <v>289</v>
      </c>
    </row>
    <row r="62" spans="2:29">
      <c r="C62" s="120">
        <v>46224</v>
      </c>
      <c r="D62" s="7">
        <v>1</v>
      </c>
      <c r="F62" s="116">
        <f t="shared" si="264"/>
        <v>290</v>
      </c>
      <c r="G62" s="7" t="s">
        <v>803</v>
      </c>
    </row>
    <row r="63" spans="2:29">
      <c r="C63" s="120">
        <v>46219</v>
      </c>
      <c r="E63" s="6">
        <v>231</v>
      </c>
      <c r="F63" s="116">
        <f t="shared" si="264"/>
        <v>59</v>
      </c>
      <c r="G63" s="6" t="s">
        <v>814</v>
      </c>
    </row>
    <row r="64" spans="2:29">
      <c r="C64" s="104">
        <v>46231</v>
      </c>
      <c r="D64" s="7">
        <v>200</v>
      </c>
      <c r="F64" s="116">
        <f t="shared" si="264"/>
        <v>259</v>
      </c>
    </row>
    <row r="65" spans="3:7">
      <c r="C65" s="104">
        <v>46232</v>
      </c>
      <c r="E65" s="6">
        <v>200</v>
      </c>
      <c r="F65" s="116">
        <f t="shared" si="264"/>
        <v>59</v>
      </c>
      <c r="G65" s="6" t="s">
        <v>864</v>
      </c>
    </row>
    <row r="66" spans="3:7">
      <c r="F66" s="116">
        <f t="shared" si="264"/>
        <v>59</v>
      </c>
    </row>
    <row r="67" spans="3:7">
      <c r="F67" s="116">
        <f t="shared" si="264"/>
        <v>59</v>
      </c>
    </row>
    <row r="68" spans="3:7">
      <c r="F68" s="116">
        <f t="shared" si="264"/>
        <v>59</v>
      </c>
    </row>
  </sheetData>
  <autoFilter ref="A12:AC38" xr:uid="{C8087D7E-1910-4F5E-BCA1-EFE080BBE205}"/>
  <mergeCells count="27">
    <mergeCell ref="Z4:Z12"/>
    <mergeCell ref="AA4:AA12"/>
    <mergeCell ref="AB4:AB12"/>
    <mergeCell ref="T4:T12"/>
    <mergeCell ref="U4:U12"/>
    <mergeCell ref="V4:V12"/>
    <mergeCell ref="W4:W12"/>
    <mergeCell ref="X4:X12"/>
    <mergeCell ref="Y4:Y12"/>
    <mergeCell ref="S4:S12"/>
    <mergeCell ref="H4:H12"/>
    <mergeCell ref="I4:I12"/>
    <mergeCell ref="J4:J12"/>
    <mergeCell ref="K4:K12"/>
    <mergeCell ref="L4:L12"/>
    <mergeCell ref="M4:M12"/>
    <mergeCell ref="N4:N12"/>
    <mergeCell ref="O4:O12"/>
    <mergeCell ref="P4:P12"/>
    <mergeCell ref="Q4:Q12"/>
    <mergeCell ref="R4:R12"/>
    <mergeCell ref="G4:G12"/>
    <mergeCell ref="B4:B12"/>
    <mergeCell ref="C4:C12"/>
    <mergeCell ref="D4:D12"/>
    <mergeCell ref="E4:E12"/>
    <mergeCell ref="F4:F12"/>
  </mergeCells>
  <phoneticPr fontId="2" type="noConversion"/>
  <pageMargins left="0.70866141732283472" right="0.70866141732283472" top="0.74803149606299213" bottom="0.74803149606299213" header="0.31496062992125984" footer="0.31496062992125984"/>
  <pageSetup paperSize="9" orientation="landscape" horizontalDpi="200" verticalDpi="2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4BBAE-F7C0-49DB-900C-7908BCBCBF35}">
  <sheetPr codeName="Sheet31"/>
  <dimension ref="B1:BH41"/>
  <sheetViews>
    <sheetView workbookViewId="0">
      <pane xSplit="29" ySplit="12" topLeftCell="AD13" activePane="bottomRight" state="frozen"/>
      <selection activeCell="C17" sqref="C17"/>
      <selection pane="topRight" activeCell="C17" sqref="C17"/>
      <selection pane="bottomLeft" activeCell="C17" sqref="C17"/>
      <selection pane="bottomRight" activeCell="AC25" sqref="AC25"/>
    </sheetView>
  </sheetViews>
  <sheetFormatPr defaultColWidth="9" defaultRowHeight="11.25" outlineLevelCol="1"/>
  <cols>
    <col min="1" max="1" width="2" style="7" customWidth="1"/>
    <col min="2" max="2" width="7.75" style="6" bestFit="1" customWidth="1"/>
    <col min="3" max="3" width="14" style="7" customWidth="1"/>
    <col min="4" max="4" width="13" style="7" bestFit="1" customWidth="1"/>
    <col min="5" max="5" width="10.375" style="6" bestFit="1" customWidth="1"/>
    <col min="6" max="6" width="17.625" style="6" bestFit="1" customWidth="1"/>
    <col min="7" max="7" width="8.5" style="6" hidden="1" customWidth="1" outlineLevel="1"/>
    <col min="8" max="8" width="6.75" style="16" hidden="1" customWidth="1" outlineLevel="1"/>
    <col min="9" max="9" width="6.75" style="40" hidden="1" customWidth="1" outlineLevel="1"/>
    <col min="10" max="11" width="6.75" style="16" hidden="1" customWidth="1" outlineLevel="1"/>
    <col min="12" max="12" width="6.75" style="40" hidden="1" customWidth="1" outlineLevel="1"/>
    <col min="13" max="13" width="6.75" style="16" hidden="1" customWidth="1" outlineLevel="1"/>
    <col min="14" max="14" width="8.125" style="16" bestFit="1" customWidth="1" collapsed="1"/>
    <col min="15" max="15" width="6.75" style="40" customWidth="1"/>
    <col min="16" max="16" width="8.125" style="21" bestFit="1" customWidth="1"/>
    <col min="17" max="17" width="6.75" style="22" customWidth="1"/>
    <col min="18" max="18" width="6.75" style="16" hidden="1" customWidth="1" outlineLevel="1"/>
    <col min="19" max="20" width="6.75" style="30" hidden="1" customWidth="1" outlineLevel="1"/>
    <col min="21" max="21" width="17" style="94" hidden="1" customWidth="1" outlineLevel="1"/>
    <col min="22" max="22" width="6.75" style="30" hidden="1" customWidth="1" outlineLevel="1"/>
    <col min="23" max="23" width="9.25" style="7" hidden="1" customWidth="1" outlineLevel="1"/>
    <col min="24" max="24" width="5" style="7" hidden="1" customWidth="1" outlineLevel="1"/>
    <col min="25" max="25" width="4.5" style="7" hidden="1" customWidth="1" outlineLevel="1"/>
    <col min="26" max="28" width="7.25" style="1" hidden="1" customWidth="1" outlineLevel="1"/>
    <col min="29" max="29" width="14.25" style="60" customWidth="1" collapsed="1"/>
    <col min="30" max="44" width="20.625" style="7" hidden="1" customWidth="1"/>
    <col min="45" max="60" width="20.625" style="7" customWidth="1"/>
    <col min="61" max="16384" width="9" style="7"/>
  </cols>
  <sheetData>
    <row r="1" spans="2:60" s="23" customFormat="1" ht="20.100000000000001" customHeight="1">
      <c r="H1" s="25"/>
      <c r="I1" s="36"/>
      <c r="J1" s="25"/>
      <c r="K1" s="25"/>
      <c r="L1" s="36"/>
      <c r="M1" s="25"/>
      <c r="N1" s="25"/>
      <c r="O1" s="36"/>
      <c r="P1" s="25"/>
      <c r="Q1" s="36"/>
      <c r="R1" s="25"/>
      <c r="S1" s="25"/>
      <c r="T1" s="25"/>
      <c r="V1" s="25"/>
      <c r="AC1" s="54"/>
    </row>
    <row r="2" spans="2:60" s="23" customFormat="1" ht="20.100000000000001" customHeight="1">
      <c r="F2" s="63"/>
      <c r="H2" s="25"/>
      <c r="I2" s="36"/>
      <c r="J2" s="25"/>
      <c r="K2" s="25"/>
      <c r="L2" s="36"/>
      <c r="M2" s="25"/>
      <c r="N2" s="25"/>
      <c r="O2" s="36"/>
      <c r="P2" s="25"/>
      <c r="Q2" s="36"/>
      <c r="R2" s="25"/>
      <c r="S2" s="25"/>
      <c r="T2" s="25"/>
      <c r="V2" s="25"/>
      <c r="Z2" s="23" t="s">
        <v>87</v>
      </c>
      <c r="AA2" s="102">
        <v>46204</v>
      </c>
      <c r="AC2" s="54"/>
    </row>
    <row r="3" spans="2:60" s="23" customFormat="1" ht="20.100000000000001" customHeight="1" thickBot="1">
      <c r="H3" s="25"/>
      <c r="I3" s="36"/>
      <c r="J3" s="25"/>
      <c r="K3" s="25"/>
      <c r="L3" s="36"/>
      <c r="M3" s="25"/>
      <c r="N3" s="25"/>
      <c r="O3" s="36"/>
      <c r="P3" s="25"/>
      <c r="Q3" s="36"/>
      <c r="R3" s="25"/>
      <c r="S3" s="25"/>
      <c r="T3" s="25"/>
      <c r="V3" s="25"/>
      <c r="Z3" s="23" t="s">
        <v>86</v>
      </c>
      <c r="AA3" s="102">
        <v>46234</v>
      </c>
      <c r="AC3" s="54"/>
    </row>
    <row r="4" spans="2:60" s="104" customFormat="1" ht="22.5" customHeight="1">
      <c r="B4" s="187" t="s">
        <v>16</v>
      </c>
      <c r="C4" s="173" t="s">
        <v>17</v>
      </c>
      <c r="D4" s="173" t="s">
        <v>18</v>
      </c>
      <c r="E4" s="173" t="s">
        <v>19</v>
      </c>
      <c r="F4" s="173" t="s">
        <v>20</v>
      </c>
      <c r="G4" s="173" t="s">
        <v>49</v>
      </c>
      <c r="H4" s="179" t="s">
        <v>21</v>
      </c>
      <c r="I4" s="182" t="s">
        <v>22</v>
      </c>
      <c r="J4" s="185" t="s">
        <v>71</v>
      </c>
      <c r="K4" s="185" t="s">
        <v>23</v>
      </c>
      <c r="L4" s="186" t="s">
        <v>9</v>
      </c>
      <c r="M4" s="179" t="s">
        <v>24</v>
      </c>
      <c r="N4" s="179" t="s">
        <v>25</v>
      </c>
      <c r="O4" s="182" t="s">
        <v>26</v>
      </c>
      <c r="P4" s="179" t="s">
        <v>27</v>
      </c>
      <c r="Q4" s="182" t="s">
        <v>28</v>
      </c>
      <c r="R4" s="179" t="s">
        <v>29</v>
      </c>
      <c r="S4" s="179" t="s">
        <v>30</v>
      </c>
      <c r="T4" s="179" t="s">
        <v>31</v>
      </c>
      <c r="U4" s="173" t="s">
        <v>32</v>
      </c>
      <c r="V4" s="179" t="s">
        <v>33</v>
      </c>
      <c r="W4" s="173" t="s">
        <v>34</v>
      </c>
      <c r="X4" s="173" t="s">
        <v>35</v>
      </c>
      <c r="Y4" s="173" t="s">
        <v>36</v>
      </c>
      <c r="Z4" s="173" t="s">
        <v>37</v>
      </c>
      <c r="AA4" s="173" t="s">
        <v>38</v>
      </c>
      <c r="AB4" s="176" t="s">
        <v>39</v>
      </c>
      <c r="AC4" s="135" t="s">
        <v>0</v>
      </c>
      <c r="AD4" s="104">
        <v>46205</v>
      </c>
      <c r="AE4" s="104">
        <v>46209</v>
      </c>
      <c r="AF4" s="104">
        <v>46209</v>
      </c>
      <c r="AG4" s="104">
        <v>46209</v>
      </c>
      <c r="AH4" s="104">
        <v>46209</v>
      </c>
      <c r="AI4" s="104">
        <v>46209</v>
      </c>
      <c r="AJ4" s="104">
        <v>46213</v>
      </c>
      <c r="AK4" s="104">
        <v>46213</v>
      </c>
      <c r="AL4" s="104">
        <v>46217</v>
      </c>
      <c r="AM4" s="104">
        <v>46219</v>
      </c>
      <c r="AN4" s="104">
        <v>46223</v>
      </c>
      <c r="AO4" s="104">
        <v>46223</v>
      </c>
      <c r="AP4" s="104">
        <v>46226</v>
      </c>
      <c r="AQ4" s="104">
        <v>46226</v>
      </c>
      <c r="AR4" s="104">
        <v>46227</v>
      </c>
      <c r="AS4" s="104">
        <v>46227</v>
      </c>
      <c r="AT4" s="104">
        <v>46230</v>
      </c>
      <c r="AU4" s="104">
        <v>46230</v>
      </c>
      <c r="AV4" s="104">
        <v>46233</v>
      </c>
    </row>
    <row r="5" spans="2:60" s="104" customFormat="1" ht="20.100000000000001" customHeight="1">
      <c r="B5" s="188"/>
      <c r="C5" s="174"/>
      <c r="D5" s="174"/>
      <c r="E5" s="174"/>
      <c r="F5" s="174"/>
      <c r="G5" s="174"/>
      <c r="H5" s="180"/>
      <c r="I5" s="183"/>
      <c r="J5" s="180"/>
      <c r="K5" s="180"/>
      <c r="L5" s="183"/>
      <c r="M5" s="180"/>
      <c r="N5" s="180"/>
      <c r="O5" s="183"/>
      <c r="P5" s="180"/>
      <c r="Q5" s="183"/>
      <c r="R5" s="180"/>
      <c r="S5" s="180"/>
      <c r="T5" s="180"/>
      <c r="U5" s="174"/>
      <c r="V5" s="180"/>
      <c r="W5" s="174"/>
      <c r="X5" s="174"/>
      <c r="Y5" s="174"/>
      <c r="Z5" s="174"/>
      <c r="AA5" s="174"/>
      <c r="AB5" s="177"/>
      <c r="AC5" s="135" t="s">
        <v>1</v>
      </c>
      <c r="AD5" s="104" t="s">
        <v>291</v>
      </c>
      <c r="AE5" s="104" t="s">
        <v>291</v>
      </c>
      <c r="AF5" s="104" t="s">
        <v>291</v>
      </c>
      <c r="AG5" s="104" t="s">
        <v>291</v>
      </c>
      <c r="AH5" s="104" t="s">
        <v>291</v>
      </c>
      <c r="AI5" s="104" t="s">
        <v>291</v>
      </c>
      <c r="AJ5" s="104" t="s">
        <v>291</v>
      </c>
      <c r="AK5" s="104" t="s">
        <v>291</v>
      </c>
      <c r="AL5" s="104" t="s">
        <v>291</v>
      </c>
      <c r="AM5" s="104" t="s">
        <v>291</v>
      </c>
      <c r="AN5" s="104" t="s">
        <v>291</v>
      </c>
      <c r="AO5" s="104" t="s">
        <v>291</v>
      </c>
      <c r="AP5" s="104" t="s">
        <v>291</v>
      </c>
      <c r="AQ5" s="104" t="s">
        <v>291</v>
      </c>
      <c r="AR5" s="104" t="s">
        <v>291</v>
      </c>
      <c r="AS5" s="104" t="s">
        <v>291</v>
      </c>
      <c r="AT5" s="104" t="s">
        <v>291</v>
      </c>
      <c r="AU5" s="104" t="s">
        <v>291</v>
      </c>
      <c r="AV5" s="104" t="s">
        <v>291</v>
      </c>
    </row>
    <row r="6" spans="2:60" ht="15" customHeight="1">
      <c r="B6" s="188"/>
      <c r="C6" s="174"/>
      <c r="D6" s="174"/>
      <c r="E6" s="174"/>
      <c r="F6" s="174"/>
      <c r="G6" s="174"/>
      <c r="H6" s="180"/>
      <c r="I6" s="183"/>
      <c r="J6" s="180"/>
      <c r="K6" s="180"/>
      <c r="L6" s="183"/>
      <c r="M6" s="180"/>
      <c r="N6" s="180"/>
      <c r="O6" s="183"/>
      <c r="P6" s="180"/>
      <c r="Q6" s="183"/>
      <c r="R6" s="180"/>
      <c r="S6" s="180"/>
      <c r="T6" s="180"/>
      <c r="U6" s="174"/>
      <c r="V6" s="180"/>
      <c r="W6" s="174"/>
      <c r="X6" s="174"/>
      <c r="Y6" s="174"/>
      <c r="Z6" s="174"/>
      <c r="AA6" s="174"/>
      <c r="AB6" s="177"/>
      <c r="AC6" s="58" t="s">
        <v>2</v>
      </c>
      <c r="AD6" s="17" t="str">
        <f t="shared" ref="AD6:BH6" si="0">IFERROR(INDEX($C$13:$C$332,MATCH(SUM(AD$13:AD$332),AD$13:AD$332,0),1),"")</f>
        <v>012606DU2INC0576</v>
      </c>
      <c r="AE6" s="17" t="str">
        <f t="shared" si="0"/>
        <v>012606HW4INC0092</v>
      </c>
      <c r="AF6" s="17" t="str">
        <f t="shared" si="0"/>
        <v>012605QN5INC0838</v>
      </c>
      <c r="AG6" s="17" t="str">
        <f t="shared" si="0"/>
        <v>012605EW8INC1119</v>
      </c>
      <c r="AH6" s="17" t="str">
        <f t="shared" si="0"/>
        <v>012606EW8INC0214</v>
      </c>
      <c r="AI6" s="17" t="str">
        <f t="shared" si="0"/>
        <v>012606QN5INC0739</v>
      </c>
      <c r="AJ6" s="17" t="str">
        <f t="shared" si="0"/>
        <v>012606DU2INC0576</v>
      </c>
      <c r="AK6" s="17" t="str">
        <f t="shared" si="0"/>
        <v>012606DU2INC0882</v>
      </c>
      <c r="AL6" s="17" t="str">
        <f t="shared" si="0"/>
        <v>012606QN5INC0739</v>
      </c>
      <c r="AM6" s="17" t="str">
        <f t="shared" si="0"/>
        <v>012607HW4INC0039</v>
      </c>
      <c r="AN6" s="17" t="str">
        <f t="shared" si="0"/>
        <v>012607HW4INC0039</v>
      </c>
      <c r="AO6" s="17" t="str">
        <f t="shared" si="0"/>
        <v>012606DU2INC0882</v>
      </c>
      <c r="AP6" s="17" t="str">
        <f t="shared" si="0"/>
        <v>012606QN5INC0739</v>
      </c>
      <c r="AQ6" s="17" t="str">
        <f t="shared" si="0"/>
        <v>012607QN5INC0040</v>
      </c>
      <c r="AR6" s="17" t="str">
        <f t="shared" si="0"/>
        <v>012607HW4INC0039</v>
      </c>
      <c r="AS6" s="17" t="str">
        <f t="shared" si="0"/>
        <v>012606DU2INC0882</v>
      </c>
      <c r="AT6" s="17" t="str">
        <f t="shared" si="0"/>
        <v>012607HW4INC0039</v>
      </c>
      <c r="AU6" s="17" t="str">
        <f t="shared" si="0"/>
        <v>012606DU2INC0882</v>
      </c>
      <c r="AV6" s="17" t="str">
        <f t="shared" si="0"/>
        <v>012607QN5INC0040</v>
      </c>
      <c r="AW6" s="17" t="str">
        <f t="shared" si="0"/>
        <v/>
      </c>
      <c r="AX6" s="17" t="str">
        <f t="shared" si="0"/>
        <v/>
      </c>
      <c r="AY6" s="17" t="str">
        <f t="shared" si="0"/>
        <v/>
      </c>
      <c r="AZ6" s="17" t="str">
        <f t="shared" si="0"/>
        <v/>
      </c>
      <c r="BA6" s="17" t="str">
        <f t="shared" si="0"/>
        <v/>
      </c>
      <c r="BB6" s="17" t="str">
        <f t="shared" si="0"/>
        <v/>
      </c>
      <c r="BC6" s="17" t="str">
        <f t="shared" si="0"/>
        <v/>
      </c>
      <c r="BD6" s="17" t="str">
        <f t="shared" si="0"/>
        <v/>
      </c>
      <c r="BE6" s="17" t="str">
        <f t="shared" si="0"/>
        <v/>
      </c>
      <c r="BF6" s="17" t="str">
        <f t="shared" si="0"/>
        <v/>
      </c>
      <c r="BG6" s="17" t="str">
        <f t="shared" si="0"/>
        <v/>
      </c>
      <c r="BH6" s="17" t="str">
        <f t="shared" si="0"/>
        <v/>
      </c>
    </row>
    <row r="7" spans="2:60" ht="15" customHeight="1">
      <c r="B7" s="188"/>
      <c r="C7" s="174"/>
      <c r="D7" s="174"/>
      <c r="E7" s="174"/>
      <c r="F7" s="174"/>
      <c r="G7" s="174"/>
      <c r="H7" s="180"/>
      <c r="I7" s="183"/>
      <c r="J7" s="180"/>
      <c r="K7" s="180"/>
      <c r="L7" s="183"/>
      <c r="M7" s="180"/>
      <c r="N7" s="180"/>
      <c r="O7" s="183"/>
      <c r="P7" s="180"/>
      <c r="Q7" s="183"/>
      <c r="R7" s="180"/>
      <c r="S7" s="180"/>
      <c r="T7" s="180"/>
      <c r="U7" s="174"/>
      <c r="V7" s="180"/>
      <c r="W7" s="174"/>
      <c r="X7" s="174"/>
      <c r="Y7" s="174"/>
      <c r="Z7" s="174"/>
      <c r="AA7" s="174"/>
      <c r="AB7" s="177"/>
      <c r="AC7" s="58" t="s">
        <v>3</v>
      </c>
      <c r="AD7" s="101" t="str">
        <f t="shared" ref="AD7:BH7" si="1">IFERROR(INDEX($F$13:$F$332,MATCH(SUM(AD$13:AD$332),AD$13:AD$332,0),1),"")</f>
        <v>LVL 단목</v>
      </c>
      <c r="AE7" s="101" t="str">
        <f t="shared" si="1"/>
        <v>향균합판(11MM)</v>
      </c>
      <c r="AF7" s="101" t="str">
        <f t="shared" si="1"/>
        <v>칩블럭</v>
      </c>
      <c r="AG7" s="101" t="str">
        <f t="shared" si="1"/>
        <v>칩블럭(90*70*85)</v>
      </c>
      <c r="AH7" s="101" t="str">
        <f t="shared" si="1"/>
        <v>칩블럭</v>
      </c>
      <c r="AI7" s="101" t="str">
        <f t="shared" si="1"/>
        <v>칩블럭</v>
      </c>
      <c r="AJ7" s="101" t="str">
        <f t="shared" si="1"/>
        <v>LVL 단목</v>
      </c>
      <c r="AK7" s="101" t="str">
        <f t="shared" si="1"/>
        <v>LVL 단목</v>
      </c>
      <c r="AL7" s="101" t="str">
        <f t="shared" si="1"/>
        <v>칩블럭</v>
      </c>
      <c r="AM7" s="101" t="str">
        <f t="shared" si="1"/>
        <v>합판(11MM)</v>
      </c>
      <c r="AN7" s="101" t="str">
        <f t="shared" si="1"/>
        <v>합판(11MM)</v>
      </c>
      <c r="AO7" s="101" t="str">
        <f t="shared" si="1"/>
        <v>LVL 단목</v>
      </c>
      <c r="AP7" s="101" t="str">
        <f t="shared" si="1"/>
        <v>칩블럭</v>
      </c>
      <c r="AQ7" s="101" t="str">
        <f t="shared" si="1"/>
        <v>칩블럭</v>
      </c>
      <c r="AR7" s="101" t="str">
        <f t="shared" si="1"/>
        <v>합판(11MM)</v>
      </c>
      <c r="AS7" s="101" t="str">
        <f t="shared" si="1"/>
        <v>LVL 단목</v>
      </c>
      <c r="AT7" s="101" t="str">
        <f t="shared" si="1"/>
        <v>합판(11MM)</v>
      </c>
      <c r="AU7" s="101" t="str">
        <f t="shared" si="1"/>
        <v>LVL 단목</v>
      </c>
      <c r="AV7" s="101" t="str">
        <f t="shared" si="1"/>
        <v>칩블럭</v>
      </c>
      <c r="AW7" s="101" t="str">
        <f t="shared" si="1"/>
        <v/>
      </c>
      <c r="AX7" s="101" t="str">
        <f t="shared" si="1"/>
        <v/>
      </c>
      <c r="AY7" s="101" t="str">
        <f t="shared" si="1"/>
        <v/>
      </c>
      <c r="AZ7" s="101" t="str">
        <f t="shared" si="1"/>
        <v/>
      </c>
      <c r="BA7" s="101" t="str">
        <f t="shared" si="1"/>
        <v/>
      </c>
      <c r="BB7" s="101" t="str">
        <f t="shared" si="1"/>
        <v/>
      </c>
      <c r="BC7" s="101" t="str">
        <f t="shared" si="1"/>
        <v/>
      </c>
      <c r="BD7" s="101" t="str">
        <f t="shared" si="1"/>
        <v/>
      </c>
      <c r="BE7" s="101" t="str">
        <f t="shared" si="1"/>
        <v/>
      </c>
      <c r="BF7" s="101" t="str">
        <f t="shared" si="1"/>
        <v/>
      </c>
      <c r="BG7" s="101" t="str">
        <f t="shared" si="1"/>
        <v/>
      </c>
      <c r="BH7" s="101" t="str">
        <f t="shared" si="1"/>
        <v/>
      </c>
    </row>
    <row r="8" spans="2:60" ht="15" customHeight="1">
      <c r="B8" s="188"/>
      <c r="C8" s="174"/>
      <c r="D8" s="174"/>
      <c r="E8" s="174"/>
      <c r="F8" s="174"/>
      <c r="G8" s="174"/>
      <c r="H8" s="180"/>
      <c r="I8" s="183"/>
      <c r="J8" s="180"/>
      <c r="K8" s="180"/>
      <c r="L8" s="183"/>
      <c r="M8" s="180"/>
      <c r="N8" s="180"/>
      <c r="O8" s="183"/>
      <c r="P8" s="180"/>
      <c r="Q8" s="183"/>
      <c r="R8" s="180"/>
      <c r="S8" s="180"/>
      <c r="T8" s="180"/>
      <c r="U8" s="174"/>
      <c r="V8" s="180"/>
      <c r="W8" s="174"/>
      <c r="X8" s="174"/>
      <c r="Y8" s="174"/>
      <c r="Z8" s="174"/>
      <c r="AA8" s="174"/>
      <c r="AB8" s="177"/>
      <c r="AC8" s="59" t="s">
        <v>4</v>
      </c>
      <c r="AD8" s="48">
        <f t="shared" ref="AD8:BH8" si="2">IFERROR(SUM(AD$13:AD$332),"")</f>
        <v>34</v>
      </c>
      <c r="AE8" s="48">
        <f t="shared" si="2"/>
        <v>2</v>
      </c>
      <c r="AF8" s="48">
        <f t="shared" si="2"/>
        <v>21600</v>
      </c>
      <c r="AG8" s="48">
        <f t="shared" si="2"/>
        <v>21600</v>
      </c>
      <c r="AH8" s="48">
        <f t="shared" si="2"/>
        <v>12960</v>
      </c>
      <c r="AI8" s="48">
        <f t="shared" si="2"/>
        <v>8640</v>
      </c>
      <c r="AJ8" s="48">
        <f t="shared" si="2"/>
        <v>8</v>
      </c>
      <c r="AK8" s="48">
        <f t="shared" si="2"/>
        <v>23</v>
      </c>
      <c r="AL8" s="48">
        <f t="shared" si="2"/>
        <v>73440</v>
      </c>
      <c r="AM8" s="48">
        <f t="shared" si="2"/>
        <v>16</v>
      </c>
      <c r="AN8" s="48">
        <f t="shared" si="2"/>
        <v>8</v>
      </c>
      <c r="AO8" s="48">
        <f t="shared" si="2"/>
        <v>18</v>
      </c>
      <c r="AP8" s="48">
        <f t="shared" si="2"/>
        <v>4320</v>
      </c>
      <c r="AQ8" s="48">
        <f t="shared" si="2"/>
        <v>69120</v>
      </c>
      <c r="AR8" s="48">
        <f t="shared" si="2"/>
        <v>8</v>
      </c>
      <c r="AS8" s="48">
        <f t="shared" si="2"/>
        <v>17</v>
      </c>
      <c r="AT8" s="48">
        <f t="shared" si="2"/>
        <v>4</v>
      </c>
      <c r="AU8" s="48">
        <f t="shared" si="2"/>
        <v>25</v>
      </c>
      <c r="AV8" s="48">
        <f t="shared" si="2"/>
        <v>0</v>
      </c>
      <c r="AW8" s="48">
        <f t="shared" si="2"/>
        <v>0</v>
      </c>
      <c r="AX8" s="48">
        <f t="shared" si="2"/>
        <v>0</v>
      </c>
      <c r="AY8" s="48">
        <f t="shared" si="2"/>
        <v>0</v>
      </c>
      <c r="AZ8" s="48">
        <f t="shared" si="2"/>
        <v>0</v>
      </c>
      <c r="BA8" s="48">
        <f t="shared" si="2"/>
        <v>0</v>
      </c>
      <c r="BB8" s="48">
        <f t="shared" si="2"/>
        <v>0</v>
      </c>
      <c r="BC8" s="48">
        <f t="shared" si="2"/>
        <v>0</v>
      </c>
      <c r="BD8" s="48">
        <f t="shared" si="2"/>
        <v>0</v>
      </c>
      <c r="BE8" s="48">
        <f t="shared" si="2"/>
        <v>0</v>
      </c>
      <c r="BF8" s="48">
        <f t="shared" si="2"/>
        <v>0</v>
      </c>
      <c r="BG8" s="48">
        <f t="shared" si="2"/>
        <v>0</v>
      </c>
      <c r="BH8" s="48">
        <f t="shared" si="2"/>
        <v>0</v>
      </c>
    </row>
    <row r="9" spans="2:60" ht="15" customHeight="1">
      <c r="B9" s="188"/>
      <c r="C9" s="174"/>
      <c r="D9" s="174"/>
      <c r="E9" s="174"/>
      <c r="F9" s="174"/>
      <c r="G9" s="174"/>
      <c r="H9" s="180"/>
      <c r="I9" s="183"/>
      <c r="J9" s="180"/>
      <c r="K9" s="180"/>
      <c r="L9" s="183"/>
      <c r="M9" s="180"/>
      <c r="N9" s="180"/>
      <c r="O9" s="183"/>
      <c r="P9" s="180"/>
      <c r="Q9" s="183"/>
      <c r="R9" s="180"/>
      <c r="S9" s="180"/>
      <c r="T9" s="180"/>
      <c r="U9" s="174"/>
      <c r="V9" s="180"/>
      <c r="W9" s="174"/>
      <c r="X9" s="174"/>
      <c r="Y9" s="174"/>
      <c r="Z9" s="174"/>
      <c r="AA9" s="174"/>
      <c r="AB9" s="177"/>
      <c r="AC9" s="58" t="s">
        <v>5</v>
      </c>
      <c r="AD9" s="20">
        <f t="shared" ref="AD9:BH9" si="3">IFERROR(ROUNDUP((SUM(AD13:AD332)/IFERROR(INDEX($V$13:$V$332,MATCH(SUM(AD$13:AD$332),AD$13:AD$332,0),1),"")),0),"")</f>
        <v>34</v>
      </c>
      <c r="AE9" s="20">
        <f t="shared" si="3"/>
        <v>2</v>
      </c>
      <c r="AF9" s="20">
        <f t="shared" si="3"/>
        <v>10</v>
      </c>
      <c r="AG9" s="20">
        <f t="shared" si="3"/>
        <v>10</v>
      </c>
      <c r="AH9" s="20">
        <f t="shared" si="3"/>
        <v>6</v>
      </c>
      <c r="AI9" s="20">
        <f t="shared" si="3"/>
        <v>4</v>
      </c>
      <c r="AJ9" s="20">
        <f t="shared" si="3"/>
        <v>8</v>
      </c>
      <c r="AK9" s="20">
        <f t="shared" si="3"/>
        <v>23</v>
      </c>
      <c r="AL9" s="20">
        <f t="shared" si="3"/>
        <v>34</v>
      </c>
      <c r="AM9" s="20">
        <f t="shared" si="3"/>
        <v>16</v>
      </c>
      <c r="AN9" s="20">
        <f t="shared" si="3"/>
        <v>8</v>
      </c>
      <c r="AO9" s="20">
        <f t="shared" si="3"/>
        <v>18</v>
      </c>
      <c r="AP9" s="20">
        <f t="shared" si="3"/>
        <v>2</v>
      </c>
      <c r="AQ9" s="20">
        <f t="shared" si="3"/>
        <v>32</v>
      </c>
      <c r="AR9" s="20">
        <f t="shared" si="3"/>
        <v>8</v>
      </c>
      <c r="AS9" s="20">
        <f t="shared" si="3"/>
        <v>17</v>
      </c>
      <c r="AT9" s="20">
        <f t="shared" si="3"/>
        <v>4</v>
      </c>
      <c r="AU9" s="20">
        <f t="shared" si="3"/>
        <v>25</v>
      </c>
      <c r="AV9" s="20">
        <f t="shared" si="3"/>
        <v>0</v>
      </c>
      <c r="AW9" s="20" t="str">
        <f t="shared" si="3"/>
        <v/>
      </c>
      <c r="AX9" s="20" t="str">
        <f t="shared" si="3"/>
        <v/>
      </c>
      <c r="AY9" s="20" t="str">
        <f t="shared" si="3"/>
        <v/>
      </c>
      <c r="AZ9" s="20" t="str">
        <f t="shared" si="3"/>
        <v/>
      </c>
      <c r="BA9" s="20" t="str">
        <f t="shared" si="3"/>
        <v/>
      </c>
      <c r="BB9" s="20" t="str">
        <f t="shared" si="3"/>
        <v/>
      </c>
      <c r="BC9" s="20" t="str">
        <f t="shared" si="3"/>
        <v/>
      </c>
      <c r="BD9" s="20" t="str">
        <f t="shared" si="3"/>
        <v/>
      </c>
      <c r="BE9" s="20" t="str">
        <f t="shared" si="3"/>
        <v/>
      </c>
      <c r="BF9" s="20" t="str">
        <f t="shared" si="3"/>
        <v/>
      </c>
      <c r="BG9" s="20" t="str">
        <f t="shared" si="3"/>
        <v/>
      </c>
      <c r="BH9" s="20" t="str">
        <f t="shared" si="3"/>
        <v/>
      </c>
    </row>
    <row r="10" spans="2:60" ht="15" customHeight="1">
      <c r="B10" s="188"/>
      <c r="C10" s="174"/>
      <c r="D10" s="174"/>
      <c r="E10" s="174"/>
      <c r="F10" s="174"/>
      <c r="G10" s="174"/>
      <c r="H10" s="180"/>
      <c r="I10" s="183"/>
      <c r="J10" s="180"/>
      <c r="K10" s="180"/>
      <c r="L10" s="183"/>
      <c r="M10" s="180"/>
      <c r="N10" s="180"/>
      <c r="O10" s="183"/>
      <c r="P10" s="180"/>
      <c r="Q10" s="183"/>
      <c r="R10" s="180"/>
      <c r="S10" s="180"/>
      <c r="T10" s="180"/>
      <c r="U10" s="174"/>
      <c r="V10" s="180"/>
      <c r="W10" s="174"/>
      <c r="X10" s="174"/>
      <c r="Y10" s="174"/>
      <c r="Z10" s="174"/>
      <c r="AA10" s="174"/>
      <c r="AB10" s="177"/>
      <c r="AC10" s="58" t="s">
        <v>6</v>
      </c>
      <c r="AD10" s="17">
        <f t="shared" ref="AD10:BH10" si="4">IFERROR(INDEX($W$13:$W$332,MATCH(SUM(AD$13:AD$332),AD$13:AD$332,0),1),"")</f>
        <v>46220</v>
      </c>
      <c r="AE10" s="17">
        <f t="shared" si="4"/>
        <v>46214</v>
      </c>
      <c r="AF10" s="17">
        <f t="shared" si="4"/>
        <v>46192</v>
      </c>
      <c r="AG10" s="17">
        <f t="shared" si="4"/>
        <v>46200</v>
      </c>
      <c r="AH10" s="17">
        <f t="shared" si="4"/>
        <v>46207</v>
      </c>
      <c r="AI10" s="17">
        <f t="shared" si="4"/>
        <v>46219</v>
      </c>
      <c r="AJ10" s="17">
        <f t="shared" si="4"/>
        <v>46220</v>
      </c>
      <c r="AK10" s="17">
        <f t="shared" si="4"/>
        <v>46218</v>
      </c>
      <c r="AL10" s="17">
        <f t="shared" si="4"/>
        <v>46219</v>
      </c>
      <c r="AM10" s="17">
        <f t="shared" si="4"/>
        <v>46234</v>
      </c>
      <c r="AN10" s="17">
        <f t="shared" si="4"/>
        <v>46234</v>
      </c>
      <c r="AO10" s="17">
        <f t="shared" si="4"/>
        <v>46218</v>
      </c>
      <c r="AP10" s="17">
        <f t="shared" si="4"/>
        <v>46219</v>
      </c>
      <c r="AQ10" s="17">
        <f t="shared" si="4"/>
        <v>46233</v>
      </c>
      <c r="AR10" s="17">
        <f t="shared" si="4"/>
        <v>46234</v>
      </c>
      <c r="AS10" s="17">
        <f t="shared" si="4"/>
        <v>46218</v>
      </c>
      <c r="AT10" s="17">
        <f t="shared" si="4"/>
        <v>46234</v>
      </c>
      <c r="AU10" s="17">
        <f t="shared" si="4"/>
        <v>46218</v>
      </c>
      <c r="AV10" s="17">
        <f t="shared" si="4"/>
        <v>46233</v>
      </c>
      <c r="AW10" s="17" t="str">
        <f t="shared" si="4"/>
        <v/>
      </c>
      <c r="AX10" s="17" t="str">
        <f t="shared" si="4"/>
        <v/>
      </c>
      <c r="AY10" s="17" t="str">
        <f t="shared" si="4"/>
        <v/>
      </c>
      <c r="AZ10" s="17" t="str">
        <f t="shared" si="4"/>
        <v/>
      </c>
      <c r="BA10" s="17" t="str">
        <f t="shared" si="4"/>
        <v/>
      </c>
      <c r="BB10" s="17" t="str">
        <f t="shared" si="4"/>
        <v/>
      </c>
      <c r="BC10" s="17" t="str">
        <f t="shared" si="4"/>
        <v/>
      </c>
      <c r="BD10" s="17" t="str">
        <f t="shared" si="4"/>
        <v/>
      </c>
      <c r="BE10" s="17" t="str">
        <f t="shared" si="4"/>
        <v/>
      </c>
      <c r="BF10" s="17" t="str">
        <f t="shared" si="4"/>
        <v/>
      </c>
      <c r="BG10" s="17" t="str">
        <f t="shared" si="4"/>
        <v/>
      </c>
      <c r="BH10" s="17" t="str">
        <f t="shared" si="4"/>
        <v/>
      </c>
    </row>
    <row r="11" spans="2:60" ht="15" customHeight="1">
      <c r="B11" s="188"/>
      <c r="C11" s="174"/>
      <c r="D11" s="174"/>
      <c r="E11" s="174"/>
      <c r="F11" s="174"/>
      <c r="G11" s="174"/>
      <c r="H11" s="180"/>
      <c r="I11" s="183"/>
      <c r="J11" s="180"/>
      <c r="K11" s="180"/>
      <c r="L11" s="183"/>
      <c r="M11" s="180"/>
      <c r="N11" s="180"/>
      <c r="O11" s="183"/>
      <c r="P11" s="180"/>
      <c r="Q11" s="183"/>
      <c r="R11" s="180"/>
      <c r="S11" s="180"/>
      <c r="T11" s="180"/>
      <c r="U11" s="174"/>
      <c r="V11" s="180"/>
      <c r="W11" s="174"/>
      <c r="X11" s="174"/>
      <c r="Y11" s="174"/>
      <c r="Z11" s="174"/>
      <c r="AA11" s="174"/>
      <c r="AB11" s="177"/>
      <c r="AC11" s="58" t="s">
        <v>7</v>
      </c>
      <c r="AD11" s="20" t="str">
        <f t="shared" ref="AD11:AK11" ca="1" si="5">IF(AD5="","",IF(AD10&gt;AD4,"프리타임 기간내 출고",IF(DATE(YEAR(AD4),MONTH(AD4),1)&gt;DATE(YEAR(AD10),MONTH(AD10),1),DATEDIF(DATE(YEAR(NOW()),MONTH(NOW()),1),(AD4)+1,"D"),DATEDIF(AD10,AD4+1,"D"))))</f>
        <v>프리타임 기간내 출고</v>
      </c>
      <c r="AE11" s="20" t="str">
        <f t="shared" ca="1" si="5"/>
        <v>프리타임 기간내 출고</v>
      </c>
      <c r="AF11" s="20">
        <f t="shared" ca="1" si="5"/>
        <v>6</v>
      </c>
      <c r="AG11" s="20">
        <f t="shared" ca="1" si="5"/>
        <v>6</v>
      </c>
      <c r="AH11" s="20">
        <f t="shared" ca="1" si="5"/>
        <v>3</v>
      </c>
      <c r="AI11" s="20" t="str">
        <f t="shared" ca="1" si="5"/>
        <v>프리타임 기간내 출고</v>
      </c>
      <c r="AJ11" s="20" t="str">
        <f t="shared" ca="1" si="5"/>
        <v>프리타임 기간내 출고</v>
      </c>
      <c r="AK11" s="20" t="str">
        <f t="shared" ca="1" si="5"/>
        <v>프리타임 기간내 출고</v>
      </c>
      <c r="AL11" s="20" t="str">
        <f t="shared" ref="AL11:BH11" ca="1" si="6">IF(AL5="","",IF(AL10&gt;AL4,"프리타임 기간내 출고",IF(DATE(YEAR(AL4),MONTH(AL4),1)&gt;DATE(YEAR(AL10),MONTH(AL10),1),DATEDIF(DATE(YEAR(NOW()),MONTH(NOW()),1),(AL4)+1,"D"),DATEDIF(AL10,AL4+1,"D"))))</f>
        <v>프리타임 기간내 출고</v>
      </c>
      <c r="AM11" s="20" t="str">
        <f t="shared" ca="1" si="6"/>
        <v>프리타임 기간내 출고</v>
      </c>
      <c r="AN11" s="20" t="str">
        <f t="shared" ca="1" si="6"/>
        <v>프리타임 기간내 출고</v>
      </c>
      <c r="AO11" s="20">
        <f t="shared" ca="1" si="6"/>
        <v>6</v>
      </c>
      <c r="AP11" s="20">
        <f t="shared" ca="1" si="6"/>
        <v>8</v>
      </c>
      <c r="AQ11" s="20" t="str">
        <f t="shared" ca="1" si="6"/>
        <v>프리타임 기간내 출고</v>
      </c>
      <c r="AR11" s="20" t="str">
        <f t="shared" ca="1" si="6"/>
        <v>프리타임 기간내 출고</v>
      </c>
      <c r="AS11" s="20">
        <f t="shared" ca="1" si="6"/>
        <v>10</v>
      </c>
      <c r="AT11" s="20" t="str">
        <f t="shared" ca="1" si="6"/>
        <v>프리타임 기간내 출고</v>
      </c>
      <c r="AU11" s="20">
        <f t="shared" ca="1" si="6"/>
        <v>13</v>
      </c>
      <c r="AV11" s="20">
        <f t="shared" ca="1" si="6"/>
        <v>1</v>
      </c>
      <c r="AW11" s="20" t="str">
        <f t="shared" ca="1" si="6"/>
        <v/>
      </c>
      <c r="AX11" s="20" t="str">
        <f t="shared" ca="1" si="6"/>
        <v/>
      </c>
      <c r="AY11" s="20" t="str">
        <f t="shared" ca="1" si="6"/>
        <v/>
      </c>
      <c r="AZ11" s="20" t="str">
        <f t="shared" ca="1" si="6"/>
        <v/>
      </c>
      <c r="BA11" s="20" t="str">
        <f t="shared" ca="1" si="6"/>
        <v/>
      </c>
      <c r="BB11" s="20" t="str">
        <f t="shared" ca="1" si="6"/>
        <v/>
      </c>
      <c r="BC11" s="20" t="str">
        <f t="shared" ca="1" si="6"/>
        <v/>
      </c>
      <c r="BD11" s="20" t="str">
        <f t="shared" ca="1" si="6"/>
        <v/>
      </c>
      <c r="BE11" s="20" t="str">
        <f t="shared" ca="1" si="6"/>
        <v/>
      </c>
      <c r="BF11" s="20" t="str">
        <f t="shared" ca="1" si="6"/>
        <v/>
      </c>
      <c r="BG11" s="20" t="str">
        <f t="shared" ca="1" si="6"/>
        <v/>
      </c>
      <c r="BH11" s="20" t="str">
        <f t="shared" ca="1" si="6"/>
        <v/>
      </c>
    </row>
    <row r="12" spans="2:60" ht="15" customHeight="1" thickBot="1">
      <c r="B12" s="189"/>
      <c r="C12" s="175"/>
      <c r="D12" s="175"/>
      <c r="E12" s="175"/>
      <c r="F12" s="175"/>
      <c r="G12" s="175"/>
      <c r="H12" s="181"/>
      <c r="I12" s="184"/>
      <c r="J12" s="181"/>
      <c r="K12" s="181"/>
      <c r="L12" s="184"/>
      <c r="M12" s="181"/>
      <c r="N12" s="181"/>
      <c r="O12" s="184"/>
      <c r="P12" s="181"/>
      <c r="Q12" s="184"/>
      <c r="R12" s="181"/>
      <c r="S12" s="181"/>
      <c r="T12" s="181"/>
      <c r="U12" s="175"/>
      <c r="V12" s="181"/>
      <c r="W12" s="175"/>
      <c r="X12" s="175"/>
      <c r="Y12" s="175"/>
      <c r="Z12" s="175"/>
      <c r="AA12" s="175"/>
      <c r="AB12" s="178"/>
      <c r="AC12" s="100" t="s">
        <v>8</v>
      </c>
      <c r="AD12" s="19" t="str">
        <f t="shared" ref="AD12:BH12" ca="1" si="7">IFERROR(AD11*AD9*(INDEX($Y$13:$Y$332,MATCH(SUM(AD$13:AD$332),AD$13:AD$332,0),1)),"")</f>
        <v/>
      </c>
      <c r="AE12" s="19" t="str">
        <f t="shared" ca="1" si="7"/>
        <v/>
      </c>
      <c r="AF12" s="19">
        <f t="shared" ca="1" si="7"/>
        <v>18000</v>
      </c>
      <c r="AG12" s="19">
        <f t="shared" ca="1" si="7"/>
        <v>18000</v>
      </c>
      <c r="AH12" s="19">
        <f t="shared" ca="1" si="7"/>
        <v>5400</v>
      </c>
      <c r="AI12" s="19" t="str">
        <f t="shared" ca="1" si="7"/>
        <v/>
      </c>
      <c r="AJ12" s="19" t="str">
        <f t="shared" ca="1" si="7"/>
        <v/>
      </c>
      <c r="AK12" s="19" t="str">
        <f t="shared" ca="1" si="7"/>
        <v/>
      </c>
      <c r="AL12" s="19" t="str">
        <f t="shared" ca="1" si="7"/>
        <v/>
      </c>
      <c r="AM12" s="19" t="str">
        <f t="shared" ca="1" si="7"/>
        <v/>
      </c>
      <c r="AN12" s="19" t="str">
        <f t="shared" ca="1" si="7"/>
        <v/>
      </c>
      <c r="AO12" s="19">
        <f t="shared" ca="1" si="7"/>
        <v>32400</v>
      </c>
      <c r="AP12" s="19">
        <f t="shared" ca="1" si="7"/>
        <v>4800</v>
      </c>
      <c r="AQ12" s="19" t="str">
        <f t="shared" ca="1" si="7"/>
        <v/>
      </c>
      <c r="AR12" s="19" t="str">
        <f t="shared" ca="1" si="7"/>
        <v/>
      </c>
      <c r="AS12" s="19">
        <f t="shared" ca="1" si="7"/>
        <v>51000</v>
      </c>
      <c r="AT12" s="19" t="str">
        <f t="shared" ca="1" si="7"/>
        <v/>
      </c>
      <c r="AU12" s="19">
        <f t="shared" ca="1" si="7"/>
        <v>97500</v>
      </c>
      <c r="AV12" s="19">
        <f t="shared" ca="1" si="7"/>
        <v>0</v>
      </c>
      <c r="AW12" s="19" t="str">
        <f t="shared" ca="1" si="7"/>
        <v/>
      </c>
      <c r="AX12" s="19" t="str">
        <f t="shared" ca="1" si="7"/>
        <v/>
      </c>
      <c r="AY12" s="19" t="str">
        <f t="shared" ca="1" si="7"/>
        <v/>
      </c>
      <c r="AZ12" s="19" t="str">
        <f t="shared" ca="1" si="7"/>
        <v/>
      </c>
      <c r="BA12" s="19" t="str">
        <f t="shared" ca="1" si="7"/>
        <v/>
      </c>
      <c r="BB12" s="19" t="str">
        <f t="shared" ca="1" si="7"/>
        <v/>
      </c>
      <c r="BC12" s="19" t="str">
        <f t="shared" ca="1" si="7"/>
        <v/>
      </c>
      <c r="BD12" s="19" t="str">
        <f t="shared" ca="1" si="7"/>
        <v/>
      </c>
      <c r="BE12" s="19" t="str">
        <f t="shared" ca="1" si="7"/>
        <v/>
      </c>
      <c r="BF12" s="19" t="str">
        <f t="shared" ca="1" si="7"/>
        <v/>
      </c>
      <c r="BG12" s="19" t="str">
        <f t="shared" ca="1" si="7"/>
        <v/>
      </c>
      <c r="BH12" s="19" t="str">
        <f t="shared" ca="1" si="7"/>
        <v/>
      </c>
    </row>
    <row r="13" spans="2:60" s="2" customFormat="1" ht="20.100000000000001" customHeight="1" thickTop="1">
      <c r="B13" s="122">
        <v>46177</v>
      </c>
      <c r="C13" s="123" t="s">
        <v>427</v>
      </c>
      <c r="D13" s="124" t="s">
        <v>329</v>
      </c>
      <c r="E13" s="125"/>
      <c r="F13" s="126" t="s">
        <v>358</v>
      </c>
      <c r="G13" s="8" t="str">
        <f t="shared" ref="G13" si="8">C13&amp;F13</f>
        <v>012605QN5INC0838칩블럭</v>
      </c>
      <c r="H13" s="28">
        <v>86400</v>
      </c>
      <c r="I13" s="41">
        <f t="shared" ref="I13" si="9">ROUNDUP((H13/V13),0)</f>
        <v>40</v>
      </c>
      <c r="J13" s="29">
        <v>0</v>
      </c>
      <c r="K13" s="29">
        <v>0</v>
      </c>
      <c r="L13" s="41">
        <f t="shared" ref="L13" si="10">ROUNDUP((K13/V13),0)</f>
        <v>0</v>
      </c>
      <c r="M13" s="29">
        <v>0</v>
      </c>
      <c r="N13" s="31">
        <f t="shared" ref="N13" si="11">P13-K13+M13</f>
        <v>0</v>
      </c>
      <c r="O13" s="42">
        <f t="shared" ref="O13" si="12">ROUNDUP((N13/V13),0)</f>
        <v>0</v>
      </c>
      <c r="P13" s="31">
        <f t="shared" ref="P13" si="13">H13-T13</f>
        <v>0</v>
      </c>
      <c r="Q13" s="42">
        <f t="shared" ref="Q13" si="14">L13+O13</f>
        <v>0</v>
      </c>
      <c r="R13" s="28">
        <v>64800</v>
      </c>
      <c r="S13" s="97">
        <f t="shared" ref="S13:S22" si="15">SUM(AD13:HF13)</f>
        <v>21600</v>
      </c>
      <c r="T13" s="97">
        <f t="shared" ref="T13" si="16">R13+S13+J13+M13</f>
        <v>86400</v>
      </c>
      <c r="U13" s="96"/>
      <c r="V13" s="28">
        <v>2160</v>
      </c>
      <c r="W13" s="95">
        <f t="shared" ref="W13" si="17">B13+X13</f>
        <v>46192</v>
      </c>
      <c r="X13" s="79">
        <v>15</v>
      </c>
      <c r="Y13" s="79">
        <v>300</v>
      </c>
      <c r="Z13" s="2" t="e">
        <f>SUMIF(#REF!,G13,#REF!)</f>
        <v>#REF!</v>
      </c>
      <c r="AA13" s="2">
        <f t="shared" ref="AA13" ca="1" si="18">IF(W13&gt;TODAY(),"프리타임기간중",Q13*Y13*IF(DATE(YEAR(W13),MONTH(W13),1)&lt;DATE(YEAR($AA$2),MONTH($AA$2),1),DATEDIF($AA$2,$AA$3,"D")+1,DATEDIF(W13,$AA$3+1,"d")))</f>
        <v>0</v>
      </c>
      <c r="AB13" s="2" t="str">
        <f t="shared" ref="AB13" ca="1" si="19">IFERROR(Z13+AA13,"")</f>
        <v/>
      </c>
      <c r="AC13" s="103"/>
      <c r="AF13" s="142">
        <v>21600</v>
      </c>
    </row>
    <row r="14" spans="2:60" s="2" customFormat="1" ht="19.5" customHeight="1">
      <c r="B14" s="122">
        <v>46185</v>
      </c>
      <c r="C14" s="123" t="s">
        <v>615</v>
      </c>
      <c r="D14" s="124" t="s">
        <v>329</v>
      </c>
      <c r="E14" s="125"/>
      <c r="F14" s="126" t="s">
        <v>616</v>
      </c>
      <c r="G14" s="8" t="str">
        <f t="shared" ref="G14" si="20">C14&amp;F14</f>
        <v>012605EW8INC1119칩블럭(90*70*85)</v>
      </c>
      <c r="H14" s="28">
        <v>21600</v>
      </c>
      <c r="I14" s="41">
        <f t="shared" ref="I14" si="21">ROUNDUP((H14/V14),0)</f>
        <v>10</v>
      </c>
      <c r="J14" s="29">
        <v>0</v>
      </c>
      <c r="K14" s="29">
        <v>0</v>
      </c>
      <c r="L14" s="41">
        <f t="shared" ref="L14" si="22">ROUNDUP((K14/V14),0)</f>
        <v>0</v>
      </c>
      <c r="M14" s="29">
        <v>0</v>
      </c>
      <c r="N14" s="31">
        <f t="shared" ref="N14" si="23">P14-K14+M14</f>
        <v>0</v>
      </c>
      <c r="O14" s="42">
        <f t="shared" ref="O14" si="24">ROUNDUP((N14/V14),0)</f>
        <v>0</v>
      </c>
      <c r="P14" s="31">
        <f t="shared" ref="P14" si="25">H14-T14</f>
        <v>0</v>
      </c>
      <c r="Q14" s="42">
        <f t="shared" ref="Q14" si="26">L14+O14</f>
        <v>0</v>
      </c>
      <c r="R14" s="28">
        <v>0</v>
      </c>
      <c r="S14" s="97">
        <f t="shared" si="15"/>
        <v>21600</v>
      </c>
      <c r="T14" s="97">
        <f t="shared" ref="T14" si="27">R14+S14+J14+M14</f>
        <v>21600</v>
      </c>
      <c r="U14" s="96"/>
      <c r="V14" s="28">
        <v>2160</v>
      </c>
      <c r="W14" s="95">
        <f t="shared" ref="W14" si="28">B14+X14</f>
        <v>46200</v>
      </c>
      <c r="X14" s="79">
        <v>15</v>
      </c>
      <c r="Y14" s="79">
        <v>300</v>
      </c>
      <c r="Z14" s="2" t="e">
        <f>SUMIF(#REF!,G14,#REF!)</f>
        <v>#REF!</v>
      </c>
      <c r="AA14" s="2">
        <f t="shared" ref="AA14" ca="1" si="29">IF(W14&gt;TODAY(),"프리타임기간중",Q14*Y14*IF(DATE(YEAR(W14),MONTH(W14),1)&lt;DATE(YEAR($AA$2),MONTH($AA$2),1),DATEDIF($AA$2,$AA$3,"D")+1,DATEDIF(W14,$AA$3+1,"d")))</f>
        <v>0</v>
      </c>
      <c r="AB14" s="2" t="str">
        <f t="shared" ref="AB14" ca="1" si="30">IFERROR(Z14+AA14,"")</f>
        <v/>
      </c>
      <c r="AC14" s="103"/>
      <c r="AG14" s="142">
        <f>2160*10</f>
        <v>21600</v>
      </c>
    </row>
    <row r="15" spans="2:60" s="2" customFormat="1" ht="19.5" customHeight="1">
      <c r="B15" s="122">
        <v>46192</v>
      </c>
      <c r="C15" s="123" t="s">
        <v>484</v>
      </c>
      <c r="D15" s="124" t="s">
        <v>329</v>
      </c>
      <c r="E15" s="125"/>
      <c r="F15" s="126" t="s">
        <v>485</v>
      </c>
      <c r="G15" s="8" t="str">
        <f t="shared" ref="G15" si="31">C15&amp;F15</f>
        <v>012606EW8INC0214칩블럭</v>
      </c>
      <c r="H15" s="28">
        <v>86400</v>
      </c>
      <c r="I15" s="41">
        <f t="shared" ref="I15" si="32">ROUNDUP((H15/V15),0)</f>
        <v>40</v>
      </c>
      <c r="J15" s="29">
        <v>0</v>
      </c>
      <c r="K15" s="29">
        <v>0</v>
      </c>
      <c r="L15" s="41">
        <f t="shared" ref="L15" si="33">ROUNDUP((K15/V15),0)</f>
        <v>0</v>
      </c>
      <c r="M15" s="29">
        <v>0</v>
      </c>
      <c r="N15" s="31">
        <f t="shared" ref="N15" si="34">P15-K15+M15</f>
        <v>0</v>
      </c>
      <c r="O15" s="42">
        <f t="shared" ref="O15" si="35">ROUNDUP((N15/V15),0)</f>
        <v>0</v>
      </c>
      <c r="P15" s="31">
        <f t="shared" ref="P15" si="36">H15-T15</f>
        <v>0</v>
      </c>
      <c r="Q15" s="42">
        <f t="shared" ref="Q15" si="37">L15+O15</f>
        <v>0</v>
      </c>
      <c r="R15" s="28">
        <v>73440</v>
      </c>
      <c r="S15" s="97">
        <f t="shared" si="15"/>
        <v>12960</v>
      </c>
      <c r="T15" s="97">
        <f t="shared" ref="T15" si="38">R15+S15+J15+M15</f>
        <v>86400</v>
      </c>
      <c r="U15" s="96"/>
      <c r="V15" s="28">
        <v>2160</v>
      </c>
      <c r="W15" s="95">
        <f t="shared" ref="W15" si="39">B15+X15</f>
        <v>46207</v>
      </c>
      <c r="X15" s="79">
        <v>15</v>
      </c>
      <c r="Y15" s="79">
        <v>300</v>
      </c>
      <c r="Z15" s="2" t="e">
        <f>SUMIF(#REF!,G15,#REF!)</f>
        <v>#REF!</v>
      </c>
      <c r="AA15" s="2">
        <f t="shared" ref="AA15" ca="1" si="40">IF(W15&gt;TODAY(),"프리타임기간중",Q15*Y15*IF(DATE(YEAR(W15),MONTH(W15),1)&lt;DATE(YEAR($AA$2),MONTH($AA$2),1),DATEDIF($AA$2,$AA$3,"D")+1,DATEDIF(W15,$AA$3+1,"d")))</f>
        <v>0</v>
      </c>
      <c r="AB15" s="2" t="str">
        <f t="shared" ref="AB15" ca="1" si="41">IFERROR(Z15+AA15,"")</f>
        <v/>
      </c>
      <c r="AC15" s="103"/>
      <c r="AH15" s="2">
        <f>2160*6</f>
        <v>12960</v>
      </c>
    </row>
    <row r="16" spans="2:60" s="2" customFormat="1" ht="20.100000000000001" customHeight="1">
      <c r="B16" s="122">
        <v>46199</v>
      </c>
      <c r="C16" s="123" t="s">
        <v>523</v>
      </c>
      <c r="D16" s="124" t="s">
        <v>329</v>
      </c>
      <c r="E16" s="125"/>
      <c r="F16" s="126" t="s">
        <v>540</v>
      </c>
      <c r="G16" s="8" t="str">
        <f t="shared" ref="G16" si="42">C16&amp;F16</f>
        <v>012606HW4INC0092향균합판(11MM)</v>
      </c>
      <c r="H16" s="28">
        <v>36</v>
      </c>
      <c r="I16" s="41">
        <f t="shared" ref="I16" si="43">ROUNDUP((H16/V16),0)</f>
        <v>36</v>
      </c>
      <c r="J16" s="29">
        <v>0</v>
      </c>
      <c r="K16" s="29">
        <v>0</v>
      </c>
      <c r="L16" s="41">
        <f t="shared" ref="L16" si="44">ROUNDUP((K16/V16),0)</f>
        <v>0</v>
      </c>
      <c r="M16" s="29">
        <v>0</v>
      </c>
      <c r="N16" s="31">
        <f t="shared" ref="N16" si="45">P16-K16+M16</f>
        <v>0</v>
      </c>
      <c r="O16" s="42">
        <f t="shared" ref="O16" si="46">ROUNDUP((N16/V16),0)</f>
        <v>0</v>
      </c>
      <c r="P16" s="31">
        <f t="shared" ref="P16" si="47">H16-T16</f>
        <v>0</v>
      </c>
      <c r="Q16" s="42">
        <f t="shared" ref="Q16" si="48">L16+O16</f>
        <v>0</v>
      </c>
      <c r="R16" s="28">
        <v>34</v>
      </c>
      <c r="S16" s="97">
        <f t="shared" si="15"/>
        <v>2</v>
      </c>
      <c r="T16" s="97">
        <f t="shared" ref="T16" si="49">R16+S16+J16+M16</f>
        <v>36</v>
      </c>
      <c r="U16" s="96"/>
      <c r="V16" s="28">
        <v>1</v>
      </c>
      <c r="W16" s="95">
        <f t="shared" ref="W16" si="50">B16+X16</f>
        <v>46214</v>
      </c>
      <c r="X16" s="79">
        <v>15</v>
      </c>
      <c r="Y16" s="79">
        <v>300</v>
      </c>
      <c r="Z16" s="2" t="e">
        <f>SUMIF(#REF!,G16,#REF!)</f>
        <v>#REF!</v>
      </c>
      <c r="AA16" s="2">
        <f t="shared" ref="AA16" ca="1" si="51">IF(W16&gt;TODAY(),"프리타임기간중",Q16*Y16*IF(DATE(YEAR(W16),MONTH(W16),1)&lt;DATE(YEAR($AA$2),MONTH($AA$2),1),DATEDIF($AA$2,$AA$3,"D")+1,DATEDIF(W16,$AA$3+1,"d")))</f>
        <v>0</v>
      </c>
      <c r="AB16" s="2" t="str">
        <f t="shared" ref="AB16" ca="1" si="52">IFERROR(Z16+AA16,"")</f>
        <v/>
      </c>
      <c r="AC16" s="103"/>
      <c r="AE16" s="142">
        <v>2</v>
      </c>
    </row>
    <row r="17" spans="2:48" s="2" customFormat="1" ht="20.100000000000001" customHeight="1">
      <c r="B17" s="122">
        <v>46203</v>
      </c>
      <c r="C17" s="123" t="s">
        <v>575</v>
      </c>
      <c r="D17" s="124" t="s">
        <v>329</v>
      </c>
      <c r="E17" s="125"/>
      <c r="F17" s="126" t="s">
        <v>592</v>
      </c>
      <c r="G17" s="8" t="str">
        <f t="shared" ref="G17" si="53">C17&amp;F17</f>
        <v>012606DU2INC0882LVL 단목</v>
      </c>
      <c r="H17" s="28">
        <v>83</v>
      </c>
      <c r="I17" s="41">
        <f t="shared" ref="I17" si="54">ROUNDUP((H17/V17),0)</f>
        <v>83</v>
      </c>
      <c r="J17" s="29">
        <v>0</v>
      </c>
      <c r="K17" s="29">
        <v>0</v>
      </c>
      <c r="L17" s="41">
        <f t="shared" ref="L17" si="55">ROUNDUP((K17/V17),0)</f>
        <v>0</v>
      </c>
      <c r="M17" s="29">
        <v>0</v>
      </c>
      <c r="N17" s="31">
        <f t="shared" ref="N17" si="56">P17-K17+M17</f>
        <v>0</v>
      </c>
      <c r="O17" s="42">
        <f t="shared" ref="O17" si="57">ROUNDUP((N17/V17),0)</f>
        <v>0</v>
      </c>
      <c r="P17" s="31">
        <f t="shared" ref="P17" si="58">H17-T17</f>
        <v>0</v>
      </c>
      <c r="Q17" s="42">
        <f t="shared" ref="Q17" si="59">L17+O17</f>
        <v>0</v>
      </c>
      <c r="R17" s="28">
        <v>0</v>
      </c>
      <c r="S17" s="97">
        <f t="shared" si="15"/>
        <v>83</v>
      </c>
      <c r="T17" s="97">
        <f t="shared" ref="T17" si="60">R17+S17+J17+M17</f>
        <v>83</v>
      </c>
      <c r="U17" s="96" t="s">
        <v>567</v>
      </c>
      <c r="V17" s="28">
        <v>1</v>
      </c>
      <c r="W17" s="95">
        <f t="shared" ref="W17" si="61">B17+X17</f>
        <v>46218</v>
      </c>
      <c r="X17" s="79">
        <v>15</v>
      </c>
      <c r="Y17" s="79">
        <v>300</v>
      </c>
      <c r="Z17" s="2" t="e">
        <f>SUMIF(#REF!,G17,#REF!)</f>
        <v>#REF!</v>
      </c>
      <c r="AA17" s="2">
        <f t="shared" ref="AA17" ca="1" si="62">IF(W17&gt;TODAY(),"프리타임기간중",Q17*Y17*IF(DATE(YEAR(W17),MONTH(W17),1)&lt;DATE(YEAR($AA$2),MONTH($AA$2),1),DATEDIF($AA$2,$AA$3,"D")+1,DATEDIF(W17,$AA$3+1,"d")))</f>
        <v>0</v>
      </c>
      <c r="AB17" s="2" t="str">
        <f t="shared" ref="AB17" ca="1" si="63">IFERROR(Z17+AA17,"")</f>
        <v/>
      </c>
      <c r="AC17" s="103"/>
      <c r="AK17" s="142">
        <v>23</v>
      </c>
      <c r="AO17" s="142">
        <v>18</v>
      </c>
      <c r="AS17" s="142">
        <v>17</v>
      </c>
      <c r="AU17" s="142">
        <v>25</v>
      </c>
    </row>
    <row r="18" spans="2:48" s="2" customFormat="1" ht="20.100000000000001" customHeight="1">
      <c r="B18" s="122">
        <v>46204</v>
      </c>
      <c r="C18" s="123" t="s">
        <v>590</v>
      </c>
      <c r="D18" s="124" t="s">
        <v>329</v>
      </c>
      <c r="E18" s="125"/>
      <c r="F18" s="126" t="s">
        <v>358</v>
      </c>
      <c r="G18" s="8" t="str">
        <f t="shared" ref="G18" si="64">C18&amp;F18</f>
        <v>012606QN5INC0739칩블럭</v>
      </c>
      <c r="H18" s="28">
        <v>86400</v>
      </c>
      <c r="I18" s="41">
        <f t="shared" ref="I18" si="65">ROUNDUP((H18/V18),0)</f>
        <v>40</v>
      </c>
      <c r="J18" s="29">
        <v>0</v>
      </c>
      <c r="K18" s="29">
        <v>0</v>
      </c>
      <c r="L18" s="41">
        <f t="shared" ref="L18" si="66">ROUNDUP((K18/V18),0)</f>
        <v>0</v>
      </c>
      <c r="M18" s="29">
        <v>0</v>
      </c>
      <c r="N18" s="31">
        <f t="shared" ref="N18" si="67">P18-K18+M18</f>
        <v>0</v>
      </c>
      <c r="O18" s="42">
        <f t="shared" ref="O18" si="68">ROUNDUP((N18/V18),0)</f>
        <v>0</v>
      </c>
      <c r="P18" s="31">
        <f t="shared" ref="P18" si="69">H18-T18</f>
        <v>0</v>
      </c>
      <c r="Q18" s="42">
        <f t="shared" ref="Q18" si="70">L18+O18</f>
        <v>0</v>
      </c>
      <c r="R18" s="28">
        <v>0</v>
      </c>
      <c r="S18" s="97">
        <f t="shared" si="15"/>
        <v>86400</v>
      </c>
      <c r="T18" s="97">
        <f t="shared" ref="T18" si="71">R18+S18+J18+M18</f>
        <v>86400</v>
      </c>
      <c r="U18" s="96"/>
      <c r="V18" s="28">
        <v>2160</v>
      </c>
      <c r="W18" s="95">
        <f t="shared" ref="W18" si="72">B18+X18</f>
        <v>46219</v>
      </c>
      <c r="X18" s="79">
        <v>15</v>
      </c>
      <c r="Y18" s="79">
        <v>300</v>
      </c>
      <c r="Z18" s="2" t="e">
        <f>SUMIF(#REF!,G18,#REF!)</f>
        <v>#REF!</v>
      </c>
      <c r="AA18" s="2">
        <f t="shared" ref="AA18" ca="1" si="73">IF(W18&gt;TODAY(),"프리타임기간중",Q18*Y18*IF(DATE(YEAR(W18),MONTH(W18),1)&lt;DATE(YEAR($AA$2),MONTH($AA$2),1),DATEDIF($AA$2,$AA$3,"D")+1,DATEDIF(W18,$AA$3+1,"d")))</f>
        <v>0</v>
      </c>
      <c r="AB18" s="2" t="str">
        <f t="shared" ref="AB18" ca="1" si="74">IFERROR(Z18+AA18,"")</f>
        <v/>
      </c>
      <c r="AC18" s="103"/>
      <c r="AI18" s="2">
        <f>2160*4</f>
        <v>8640</v>
      </c>
      <c r="AL18" s="142">
        <v>73440</v>
      </c>
      <c r="AP18" s="142">
        <v>4320</v>
      </c>
    </row>
    <row r="19" spans="2:48" s="2" customFormat="1" ht="20.100000000000001" customHeight="1">
      <c r="B19" s="122">
        <v>46205</v>
      </c>
      <c r="C19" s="123" t="s">
        <v>591</v>
      </c>
      <c r="D19" s="124" t="s">
        <v>329</v>
      </c>
      <c r="E19" s="125"/>
      <c r="F19" s="126" t="s">
        <v>592</v>
      </c>
      <c r="G19" s="8" t="str">
        <f t="shared" ref="G19" si="75">C19&amp;F19</f>
        <v>012606DU2INC0576LVL 단목</v>
      </c>
      <c r="H19" s="28">
        <v>42</v>
      </c>
      <c r="I19" s="41">
        <f t="shared" ref="I19" si="76">ROUNDUP((H19/V19),0)</f>
        <v>42</v>
      </c>
      <c r="J19" s="29">
        <v>0</v>
      </c>
      <c r="K19" s="29">
        <v>0</v>
      </c>
      <c r="L19" s="41">
        <f t="shared" ref="L19" si="77">ROUNDUP((K19/V19),0)</f>
        <v>0</v>
      </c>
      <c r="M19" s="29">
        <v>0</v>
      </c>
      <c r="N19" s="31">
        <f t="shared" ref="N19" si="78">P19-K19+M19</f>
        <v>0</v>
      </c>
      <c r="O19" s="42">
        <f t="shared" ref="O19" si="79">ROUNDUP((N19/V19),0)</f>
        <v>0</v>
      </c>
      <c r="P19" s="31">
        <f t="shared" ref="P19" si="80">H19-T19</f>
        <v>0</v>
      </c>
      <c r="Q19" s="42">
        <f t="shared" ref="Q19" si="81">L19+O19</f>
        <v>0</v>
      </c>
      <c r="R19" s="28">
        <v>0</v>
      </c>
      <c r="S19" s="97">
        <f t="shared" si="15"/>
        <v>42</v>
      </c>
      <c r="T19" s="97">
        <f t="shared" ref="T19" si="82">R19+S19+J19+M19</f>
        <v>42</v>
      </c>
      <c r="U19" s="96"/>
      <c r="V19" s="28">
        <v>1</v>
      </c>
      <c r="W19" s="95">
        <f t="shared" ref="W19" si="83">B19+X19</f>
        <v>46220</v>
      </c>
      <c r="X19" s="79">
        <v>15</v>
      </c>
      <c r="Y19" s="79">
        <v>300</v>
      </c>
      <c r="Z19" s="2" t="e">
        <f>SUMIF(#REF!,G19,#REF!)</f>
        <v>#REF!</v>
      </c>
      <c r="AA19" s="2">
        <f t="shared" ref="AA19" ca="1" si="84">IF(W19&gt;TODAY(),"프리타임기간중",Q19*Y19*IF(DATE(YEAR(W19),MONTH(W19),1)&lt;DATE(YEAR($AA$2),MONTH($AA$2),1),DATEDIF($AA$2,$AA$3,"D")+1,DATEDIF(W19,$AA$3+1,"d")))</f>
        <v>0</v>
      </c>
      <c r="AB19" s="2" t="str">
        <f t="shared" ref="AB19" ca="1" si="85">IFERROR(Z19+AA19,"")</f>
        <v/>
      </c>
      <c r="AC19" s="103"/>
      <c r="AD19" s="142">
        <v>34</v>
      </c>
      <c r="AJ19" s="142">
        <v>8</v>
      </c>
    </row>
    <row r="20" spans="2:48" s="2" customFormat="1" ht="20.100000000000001" customHeight="1">
      <c r="B20" s="122">
        <v>46218</v>
      </c>
      <c r="C20" s="123" t="s">
        <v>753</v>
      </c>
      <c r="D20" s="124" t="s">
        <v>329</v>
      </c>
      <c r="E20" s="125"/>
      <c r="F20" s="126" t="s">
        <v>358</v>
      </c>
      <c r="G20" s="8" t="str">
        <f t="shared" ref="G20:G21" si="86">C20&amp;F20</f>
        <v>012607QN5INC0040칩블럭</v>
      </c>
      <c r="H20" s="28">
        <f>2160*80</f>
        <v>172800</v>
      </c>
      <c r="I20" s="41">
        <f t="shared" ref="I20:I21" si="87">ROUNDUP((H20/V20),0)</f>
        <v>80</v>
      </c>
      <c r="J20" s="29">
        <v>0</v>
      </c>
      <c r="K20" s="29">
        <v>0</v>
      </c>
      <c r="L20" s="41">
        <f t="shared" ref="L20:L21" si="88">ROUNDUP((K20/V20),0)</f>
        <v>0</v>
      </c>
      <c r="M20" s="29">
        <v>0</v>
      </c>
      <c r="N20" s="31">
        <f t="shared" ref="N20:N21" si="89">P20-K20+M20</f>
        <v>103680</v>
      </c>
      <c r="O20" s="42">
        <f t="shared" ref="O20:O21" si="90">ROUNDUP((N20/V20),0)</f>
        <v>48</v>
      </c>
      <c r="P20" s="31">
        <f t="shared" ref="P20:P21" si="91">H20-T20</f>
        <v>103680</v>
      </c>
      <c r="Q20" s="42">
        <f t="shared" ref="Q20:Q21" si="92">L20+O20</f>
        <v>48</v>
      </c>
      <c r="R20" s="28">
        <v>0</v>
      </c>
      <c r="S20" s="97">
        <f t="shared" si="15"/>
        <v>69120</v>
      </c>
      <c r="T20" s="97">
        <f t="shared" ref="T20:T21" si="93">R20+S20+J20+M20</f>
        <v>69120</v>
      </c>
      <c r="U20" s="96"/>
      <c r="V20" s="28">
        <v>2160</v>
      </c>
      <c r="W20" s="95">
        <f t="shared" ref="W20:W21" si="94">B20+X20</f>
        <v>46233</v>
      </c>
      <c r="X20" s="79">
        <v>15</v>
      </c>
      <c r="Y20" s="79">
        <v>300</v>
      </c>
      <c r="Z20" s="2" t="e">
        <f>SUMIF(#REF!,G20,#REF!)</f>
        <v>#REF!</v>
      </c>
      <c r="AA20" s="2">
        <f t="shared" ref="AA20:AA21" ca="1" si="95">IF(W20&gt;TODAY(),"프리타임기간중",Q20*Y20*IF(DATE(YEAR(W20),MONTH(W20),1)&lt;DATE(YEAR($AA$2),MONTH($AA$2),1),DATEDIF($AA$2,$AA$3,"D")+1,DATEDIF(W20,$AA$3+1,"d")))</f>
        <v>28800</v>
      </c>
      <c r="AB20" s="2" t="str">
        <f t="shared" ref="AB20:AB21" ca="1" si="96">IFERROR(Z20+AA20,"")</f>
        <v/>
      </c>
      <c r="AC20" s="103"/>
      <c r="AQ20" s="142">
        <f>2160*32</f>
        <v>69120</v>
      </c>
      <c r="AV20" s="142">
        <v>0</v>
      </c>
    </row>
    <row r="21" spans="2:48" s="2" customFormat="1" ht="20.100000000000001" customHeight="1">
      <c r="B21" s="122">
        <v>46219</v>
      </c>
      <c r="C21" s="123" t="s">
        <v>757</v>
      </c>
      <c r="D21" s="124" t="s">
        <v>329</v>
      </c>
      <c r="E21" s="125"/>
      <c r="F21" s="126" t="s">
        <v>758</v>
      </c>
      <c r="G21" s="8" t="str">
        <f t="shared" si="86"/>
        <v>012607HW4INC0039합판(11MM)</v>
      </c>
      <c r="H21" s="28">
        <v>36</v>
      </c>
      <c r="I21" s="41">
        <f t="shared" si="87"/>
        <v>36</v>
      </c>
      <c r="J21" s="29">
        <v>0</v>
      </c>
      <c r="K21" s="29">
        <v>0</v>
      </c>
      <c r="L21" s="41">
        <f t="shared" si="88"/>
        <v>0</v>
      </c>
      <c r="M21" s="29">
        <v>0</v>
      </c>
      <c r="N21" s="31">
        <f t="shared" si="89"/>
        <v>0</v>
      </c>
      <c r="O21" s="42">
        <f t="shared" si="90"/>
        <v>0</v>
      </c>
      <c r="P21" s="31">
        <f t="shared" si="91"/>
        <v>0</v>
      </c>
      <c r="Q21" s="42">
        <f t="shared" si="92"/>
        <v>0</v>
      </c>
      <c r="R21" s="28">
        <v>0</v>
      </c>
      <c r="S21" s="97">
        <f t="shared" si="15"/>
        <v>36</v>
      </c>
      <c r="T21" s="97">
        <f t="shared" si="93"/>
        <v>36</v>
      </c>
      <c r="U21" s="96"/>
      <c r="V21" s="28">
        <v>1</v>
      </c>
      <c r="W21" s="95">
        <f t="shared" si="94"/>
        <v>46234</v>
      </c>
      <c r="X21" s="79">
        <v>15</v>
      </c>
      <c r="Y21" s="79">
        <v>300</v>
      </c>
      <c r="Z21" s="2" t="e">
        <f>SUMIF(#REF!,G21,#REF!)</f>
        <v>#REF!</v>
      </c>
      <c r="AA21" s="2" t="str">
        <f t="shared" ca="1" si="95"/>
        <v>프리타임기간중</v>
      </c>
      <c r="AB21" s="2" t="str">
        <f t="shared" ca="1" si="96"/>
        <v/>
      </c>
      <c r="AC21" s="103"/>
      <c r="AM21" s="142">
        <v>16</v>
      </c>
      <c r="AN21" s="142">
        <v>8</v>
      </c>
      <c r="AR21" s="142">
        <v>8</v>
      </c>
      <c r="AT21" s="142">
        <v>4</v>
      </c>
    </row>
    <row r="22" spans="2:48" s="2" customFormat="1" ht="20.100000000000001" customHeight="1">
      <c r="B22" s="81"/>
      <c r="C22" s="99"/>
      <c r="D22" s="98"/>
      <c r="E22" s="79"/>
      <c r="F22" s="8"/>
      <c r="G22" s="8" t="str">
        <f t="shared" ref="G22" si="97">C22&amp;F22</f>
        <v/>
      </c>
      <c r="H22" s="28"/>
      <c r="I22" s="41">
        <f t="shared" ref="I22" si="98">ROUNDUP((H22/V22),0)</f>
        <v>0</v>
      </c>
      <c r="J22" s="29">
        <v>0</v>
      </c>
      <c r="K22" s="29">
        <v>0</v>
      </c>
      <c r="L22" s="41">
        <f t="shared" ref="L22" si="99">ROUNDUP((K22/V22),0)</f>
        <v>0</v>
      </c>
      <c r="M22" s="29">
        <v>0</v>
      </c>
      <c r="N22" s="31">
        <f t="shared" ref="N22" si="100">P22-K22+M22</f>
        <v>0</v>
      </c>
      <c r="O22" s="42">
        <f t="shared" ref="O22" si="101">ROUNDUP((N22/V22),0)</f>
        <v>0</v>
      </c>
      <c r="P22" s="31">
        <f t="shared" ref="P22" si="102">H22-T22</f>
        <v>0</v>
      </c>
      <c r="Q22" s="42">
        <f t="shared" ref="Q22" si="103">L22+O22</f>
        <v>0</v>
      </c>
      <c r="R22" s="28">
        <v>0</v>
      </c>
      <c r="S22" s="97">
        <f t="shared" si="15"/>
        <v>0</v>
      </c>
      <c r="T22" s="97">
        <f t="shared" ref="T22" si="104">R22+S22+J22+M22</f>
        <v>0</v>
      </c>
      <c r="U22" s="96"/>
      <c r="V22" s="28">
        <v>2160</v>
      </c>
      <c r="W22" s="95">
        <f t="shared" ref="W22" si="105">B22+X22</f>
        <v>15</v>
      </c>
      <c r="X22" s="79">
        <v>15</v>
      </c>
      <c r="Y22" s="79">
        <v>300</v>
      </c>
      <c r="Z22" s="2" t="e">
        <f>SUMIF(#REF!,G22,#REF!)</f>
        <v>#REF!</v>
      </c>
      <c r="AA22" s="2">
        <f t="shared" ref="AA22" ca="1" si="106">IF(W22&gt;TODAY(),"프리타임기간중",Q22*Y22*IF(DATE(YEAR(W22),MONTH(W22),1)&lt;DATE(YEAR($AA$2),MONTH($AA$2),1),DATEDIF($AA$2,$AA$3,"D")+1,DATEDIF(W22,$AA$3+1,"d")))</f>
        <v>0</v>
      </c>
      <c r="AB22" s="2" t="str">
        <f t="shared" ref="AB22" ca="1" si="107">IFERROR(Z22+AA22,"")</f>
        <v/>
      </c>
      <c r="AC22" s="103"/>
    </row>
    <row r="23" spans="2:48" s="2" customFormat="1" ht="19.5" customHeight="1">
      <c r="B23" s="81"/>
      <c r="C23" s="99"/>
      <c r="D23" s="98"/>
      <c r="E23" s="79"/>
      <c r="F23" s="8"/>
      <c r="G23" s="8"/>
      <c r="H23" s="28"/>
      <c r="I23" s="41"/>
      <c r="J23" s="29"/>
      <c r="K23" s="29"/>
      <c r="L23" s="41"/>
      <c r="M23" s="29"/>
      <c r="N23" s="31"/>
      <c r="O23" s="42"/>
      <c r="P23" s="31"/>
      <c r="Q23" s="42"/>
      <c r="R23" s="28"/>
      <c r="S23" s="97"/>
      <c r="T23" s="97"/>
      <c r="U23" s="96"/>
      <c r="V23" s="28"/>
      <c r="W23" s="95"/>
      <c r="X23" s="79"/>
      <c r="Y23" s="79"/>
      <c r="AC23" s="103"/>
    </row>
    <row r="24" spans="2:48" s="1" customFormat="1" ht="15" customHeight="1">
      <c r="B24" s="6"/>
      <c r="C24" s="7"/>
      <c r="D24" s="7"/>
      <c r="E24" s="6"/>
      <c r="F24" s="6"/>
      <c r="G24" s="6"/>
      <c r="H24" s="16"/>
      <c r="I24" s="40"/>
      <c r="J24" s="16"/>
      <c r="K24" s="16"/>
      <c r="L24" s="40"/>
      <c r="M24" s="16"/>
      <c r="N24" s="16"/>
      <c r="O24" s="40"/>
      <c r="P24" s="21"/>
      <c r="Q24" s="22"/>
      <c r="R24" s="16">
        <v>0</v>
      </c>
      <c r="S24" s="30"/>
      <c r="T24" s="30"/>
      <c r="U24" s="94"/>
      <c r="V24" s="21"/>
      <c r="W24" s="7"/>
      <c r="X24" s="7"/>
      <c r="Y24" s="7"/>
      <c r="AC24" s="60"/>
    </row>
    <row r="25" spans="2:48" ht="15" customHeight="1">
      <c r="E25" s="115"/>
      <c r="F25" s="115"/>
      <c r="G25" s="115"/>
      <c r="H25" s="6"/>
    </row>
    <row r="26" spans="2:48" ht="15" customHeight="1">
      <c r="E26" s="115"/>
      <c r="F26" s="115"/>
      <c r="G26" s="115"/>
    </row>
    <row r="27" spans="2:48" ht="15" customHeight="1">
      <c r="B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Z27" s="7"/>
      <c r="AA27" s="7"/>
      <c r="AB27" s="7"/>
      <c r="AC27" s="7"/>
    </row>
    <row r="28" spans="2:48" ht="15" customHeight="1">
      <c r="B28" s="7"/>
      <c r="C28" s="7" t="s">
        <v>182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Z28" s="7"/>
      <c r="AA28" s="7"/>
      <c r="AB28" s="7"/>
      <c r="AC28" s="7"/>
    </row>
    <row r="29" spans="2:48" ht="15" customHeight="1">
      <c r="B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Z29" s="7"/>
      <c r="AA29" s="7"/>
      <c r="AB29" s="7"/>
      <c r="AC29" s="7"/>
    </row>
    <row r="30" spans="2:48" ht="15" customHeight="1">
      <c r="B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Z30" s="7"/>
      <c r="AA30" s="7"/>
      <c r="AB30" s="7"/>
      <c r="AC30" s="7"/>
    </row>
    <row r="31" spans="2:48" ht="15" customHeight="1">
      <c r="B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Z31" s="7"/>
      <c r="AA31" s="7"/>
      <c r="AB31" s="7"/>
      <c r="AC31" s="7"/>
    </row>
    <row r="32" spans="2:48" ht="15" customHeight="1">
      <c r="B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Z32" s="7"/>
      <c r="AA32" s="7"/>
      <c r="AB32" s="7"/>
      <c r="AC32" s="7"/>
    </row>
    <row r="33" s="7" customFormat="1" ht="15" customHeight="1"/>
    <row r="34" s="7" customFormat="1" ht="15" customHeight="1"/>
    <row r="35" s="7" customFormat="1" ht="15" customHeight="1"/>
    <row r="36" s="7" customFormat="1" ht="15" customHeight="1"/>
    <row r="37" s="7" customFormat="1" ht="15" customHeight="1"/>
    <row r="38" s="7" customFormat="1" ht="15" customHeight="1"/>
    <row r="39" s="7" customFormat="1" ht="15" customHeight="1"/>
    <row r="40" s="7" customFormat="1" ht="15" customHeight="1"/>
    <row r="41" s="7" customFormat="1" ht="15" customHeight="1"/>
  </sheetData>
  <autoFilter ref="B12:AC12" xr:uid="{E7E4BBAE-F7C0-49DB-900C-7908BCBCBF35}"/>
  <mergeCells count="27">
    <mergeCell ref="G4:G12"/>
    <mergeCell ref="B4:B12"/>
    <mergeCell ref="C4:C12"/>
    <mergeCell ref="D4:D12"/>
    <mergeCell ref="E4:E12"/>
    <mergeCell ref="F4:F12"/>
    <mergeCell ref="S4:S12"/>
    <mergeCell ref="H4:H12"/>
    <mergeCell ref="I4:I12"/>
    <mergeCell ref="J4:J12"/>
    <mergeCell ref="K4:K12"/>
    <mergeCell ref="L4:L12"/>
    <mergeCell ref="M4:M12"/>
    <mergeCell ref="N4:N12"/>
    <mergeCell ref="O4:O12"/>
    <mergeCell ref="P4:P12"/>
    <mergeCell ref="Q4:Q12"/>
    <mergeCell ref="R4:R12"/>
    <mergeCell ref="Z4:Z12"/>
    <mergeCell ref="AA4:AA12"/>
    <mergeCell ref="AB4:AB12"/>
    <mergeCell ref="T4:T12"/>
    <mergeCell ref="U4:U12"/>
    <mergeCell ref="V4:V12"/>
    <mergeCell ref="W4:W12"/>
    <mergeCell ref="X4:X12"/>
    <mergeCell ref="Y4:Y12"/>
  </mergeCells>
  <phoneticPr fontId="2" type="noConversion"/>
  <pageMargins left="0.70866141732283472" right="0.70866141732283472" top="0.74803149606299213" bottom="0.74803149606299213" header="0.31496062992125984" footer="0.31496062992125984"/>
  <pageSetup paperSize="9" orientation="landscape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1DA3F-1B5C-4542-B4E3-2657F2F7CFC0}">
  <sheetPr codeName="Sheet32"/>
  <dimension ref="B1:AN41"/>
  <sheetViews>
    <sheetView workbookViewId="0">
      <pane xSplit="29" ySplit="12" topLeftCell="AI13" activePane="bottomRight" state="frozen"/>
      <selection activeCell="C17" sqref="C17"/>
      <selection pane="topRight" activeCell="C17" sqref="C17"/>
      <selection pane="bottomLeft" activeCell="C17" sqref="C17"/>
      <selection pane="bottomRight" activeCell="K27" sqref="K27"/>
    </sheetView>
  </sheetViews>
  <sheetFormatPr defaultColWidth="9" defaultRowHeight="11.25" outlineLevelCol="1"/>
  <cols>
    <col min="1" max="1" width="2" style="7" customWidth="1"/>
    <col min="2" max="2" width="7.75" style="6" bestFit="1" customWidth="1"/>
    <col min="3" max="3" width="14" style="7" customWidth="1"/>
    <col min="4" max="4" width="9.75" style="7" bestFit="1" customWidth="1"/>
    <col min="5" max="5" width="10.375" style="6" bestFit="1" customWidth="1"/>
    <col min="6" max="6" width="27.25" style="6" customWidth="1"/>
    <col min="7" max="7" width="2.875" style="6" customWidth="1" outlineLevel="1"/>
    <col min="8" max="8" width="6.75" style="16" customWidth="1" outlineLevel="1"/>
    <col min="9" max="9" width="6.75" style="40" customWidth="1" outlineLevel="1"/>
    <col min="10" max="11" width="6.75" style="16" customWidth="1" outlineLevel="1"/>
    <col min="12" max="12" width="6.75" style="40" customWidth="1" outlineLevel="1"/>
    <col min="13" max="13" width="6.75" style="16" customWidth="1" outlineLevel="1"/>
    <col min="14" max="14" width="8.125" style="16" bestFit="1" customWidth="1"/>
    <col min="15" max="15" width="6.75" style="40" customWidth="1"/>
    <col min="16" max="16" width="8.125" style="21" bestFit="1" customWidth="1"/>
    <col min="17" max="17" width="6.75" style="22" customWidth="1"/>
    <col min="18" max="18" width="6.75" style="16" customWidth="1" outlineLevel="1"/>
    <col min="19" max="20" width="6.75" style="30" customWidth="1" outlineLevel="1"/>
    <col min="21" max="21" width="15.75" style="94" customWidth="1" outlineLevel="1"/>
    <col min="22" max="22" width="6.75" style="30" customWidth="1" outlineLevel="1"/>
    <col min="23" max="23" width="9.25" style="7" customWidth="1" outlineLevel="1"/>
    <col min="24" max="24" width="5" style="7" customWidth="1" outlineLevel="1"/>
    <col min="25" max="25" width="4.5" style="7" customWidth="1" outlineLevel="1"/>
    <col min="26" max="28" width="7.25" style="1" customWidth="1" outlineLevel="1"/>
    <col min="29" max="29" width="13.875" style="60" customWidth="1"/>
    <col min="30" max="40" width="20.625" style="7" customWidth="1"/>
    <col min="41" max="16384" width="9" style="7"/>
  </cols>
  <sheetData>
    <row r="1" spans="2:40" s="23" customFormat="1" ht="20.100000000000001" customHeight="1">
      <c r="H1" s="25"/>
      <c r="I1" s="36"/>
      <c r="J1" s="25"/>
      <c r="K1" s="25"/>
      <c r="L1" s="36"/>
      <c r="M1" s="25"/>
      <c r="N1" s="25"/>
      <c r="O1" s="36"/>
      <c r="P1" s="25"/>
      <c r="Q1" s="36"/>
      <c r="R1" s="25"/>
      <c r="S1" s="25"/>
      <c r="T1" s="25"/>
      <c r="V1" s="25"/>
      <c r="AC1" s="54"/>
    </row>
    <row r="2" spans="2:40" s="23" customFormat="1" ht="20.100000000000001" customHeight="1">
      <c r="F2" s="63"/>
      <c r="H2" s="25"/>
      <c r="I2" s="36"/>
      <c r="J2" s="25"/>
      <c r="K2" s="25"/>
      <c r="L2" s="36"/>
      <c r="M2" s="25"/>
      <c r="N2" s="25"/>
      <c r="O2" s="36"/>
      <c r="P2" s="25"/>
      <c r="Q2" s="36"/>
      <c r="R2" s="25"/>
      <c r="S2" s="25"/>
      <c r="T2" s="25"/>
      <c r="V2" s="25"/>
      <c r="Z2" s="23" t="s">
        <v>87</v>
      </c>
      <c r="AA2" s="102">
        <v>46204</v>
      </c>
      <c r="AC2" s="54"/>
    </row>
    <row r="3" spans="2:40" s="23" customFormat="1" ht="20.100000000000001" customHeight="1" thickBot="1">
      <c r="H3" s="25"/>
      <c r="I3" s="36"/>
      <c r="J3" s="25"/>
      <c r="K3" s="25"/>
      <c r="L3" s="36"/>
      <c r="M3" s="25"/>
      <c r="N3" s="25"/>
      <c r="O3" s="36"/>
      <c r="P3" s="25"/>
      <c r="Q3" s="36"/>
      <c r="R3" s="25"/>
      <c r="S3" s="25"/>
      <c r="T3" s="25"/>
      <c r="V3" s="25"/>
      <c r="Z3" s="23" t="s">
        <v>86</v>
      </c>
      <c r="AA3" s="102">
        <v>46234</v>
      </c>
      <c r="AC3" s="54"/>
    </row>
    <row r="4" spans="2:40" s="104" customFormat="1" ht="22.5" customHeight="1">
      <c r="B4" s="187" t="s">
        <v>16</v>
      </c>
      <c r="C4" s="173" t="s">
        <v>17</v>
      </c>
      <c r="D4" s="173" t="s">
        <v>18</v>
      </c>
      <c r="E4" s="173" t="s">
        <v>19</v>
      </c>
      <c r="F4" s="173" t="s">
        <v>20</v>
      </c>
      <c r="G4" s="173" t="s">
        <v>49</v>
      </c>
      <c r="H4" s="179" t="s">
        <v>21</v>
      </c>
      <c r="I4" s="182" t="s">
        <v>22</v>
      </c>
      <c r="J4" s="185" t="s">
        <v>71</v>
      </c>
      <c r="K4" s="185" t="s">
        <v>23</v>
      </c>
      <c r="L4" s="186" t="s">
        <v>9</v>
      </c>
      <c r="M4" s="179" t="s">
        <v>24</v>
      </c>
      <c r="N4" s="179" t="s">
        <v>25</v>
      </c>
      <c r="O4" s="182" t="s">
        <v>26</v>
      </c>
      <c r="P4" s="179" t="s">
        <v>27</v>
      </c>
      <c r="Q4" s="182" t="s">
        <v>28</v>
      </c>
      <c r="R4" s="179" t="s">
        <v>29</v>
      </c>
      <c r="S4" s="179" t="s">
        <v>30</v>
      </c>
      <c r="T4" s="179" t="s">
        <v>31</v>
      </c>
      <c r="U4" s="173" t="s">
        <v>32</v>
      </c>
      <c r="V4" s="179" t="s">
        <v>33</v>
      </c>
      <c r="W4" s="173" t="s">
        <v>34</v>
      </c>
      <c r="X4" s="173" t="s">
        <v>35</v>
      </c>
      <c r="Y4" s="173" t="s">
        <v>36</v>
      </c>
      <c r="Z4" s="173" t="s">
        <v>37</v>
      </c>
      <c r="AA4" s="173" t="s">
        <v>38</v>
      </c>
      <c r="AB4" s="176" t="s">
        <v>39</v>
      </c>
      <c r="AC4" s="135" t="s">
        <v>0</v>
      </c>
      <c r="AD4" s="104">
        <v>46210</v>
      </c>
      <c r="AE4" s="104">
        <v>46210</v>
      </c>
      <c r="AF4" s="104">
        <v>46223</v>
      </c>
      <c r="AG4" s="104">
        <v>46223</v>
      </c>
      <c r="AH4" s="104">
        <v>46224</v>
      </c>
      <c r="AI4" s="104">
        <v>46224</v>
      </c>
      <c r="AJ4" s="104">
        <v>46224</v>
      </c>
    </row>
    <row r="5" spans="2:40" s="104" customFormat="1" ht="20.100000000000001" customHeight="1">
      <c r="B5" s="188"/>
      <c r="C5" s="174"/>
      <c r="D5" s="174"/>
      <c r="E5" s="174"/>
      <c r="F5" s="174"/>
      <c r="G5" s="174"/>
      <c r="H5" s="180"/>
      <c r="I5" s="183"/>
      <c r="J5" s="180"/>
      <c r="K5" s="180"/>
      <c r="L5" s="183"/>
      <c r="M5" s="180"/>
      <c r="N5" s="180"/>
      <c r="O5" s="183"/>
      <c r="P5" s="180"/>
      <c r="Q5" s="183"/>
      <c r="R5" s="180"/>
      <c r="S5" s="180"/>
      <c r="T5" s="180"/>
      <c r="U5" s="174"/>
      <c r="V5" s="180"/>
      <c r="W5" s="174"/>
      <c r="X5" s="174"/>
      <c r="Y5" s="174"/>
      <c r="Z5" s="174"/>
      <c r="AA5" s="174"/>
      <c r="AB5" s="177"/>
      <c r="AC5" s="135" t="s">
        <v>1</v>
      </c>
      <c r="AD5" s="104" t="s">
        <v>599</v>
      </c>
      <c r="AE5" s="104" t="s">
        <v>599</v>
      </c>
      <c r="AF5" s="104" t="s">
        <v>774</v>
      </c>
      <c r="AG5" s="104" t="s">
        <v>774</v>
      </c>
      <c r="AH5" s="104" t="s">
        <v>775</v>
      </c>
      <c r="AI5" s="104" t="s">
        <v>775</v>
      </c>
      <c r="AJ5" s="104" t="s">
        <v>776</v>
      </c>
    </row>
    <row r="6" spans="2:40" ht="15" customHeight="1">
      <c r="B6" s="188"/>
      <c r="C6" s="174"/>
      <c r="D6" s="174"/>
      <c r="E6" s="174"/>
      <c r="F6" s="174"/>
      <c r="G6" s="174"/>
      <c r="H6" s="180"/>
      <c r="I6" s="183"/>
      <c r="J6" s="180"/>
      <c r="K6" s="180"/>
      <c r="L6" s="183"/>
      <c r="M6" s="180"/>
      <c r="N6" s="180"/>
      <c r="O6" s="183"/>
      <c r="P6" s="180"/>
      <c r="Q6" s="183"/>
      <c r="R6" s="180"/>
      <c r="S6" s="180"/>
      <c r="T6" s="180"/>
      <c r="U6" s="174"/>
      <c r="V6" s="180"/>
      <c r="W6" s="174"/>
      <c r="X6" s="174"/>
      <c r="Y6" s="174"/>
      <c r="Z6" s="174"/>
      <c r="AA6" s="174"/>
      <c r="AB6" s="177"/>
      <c r="AC6" s="58" t="s">
        <v>2</v>
      </c>
      <c r="AD6" s="17" t="str">
        <f>IFERROR(INDEX($G$13:$G$332,MATCH(SUM(AD$13:AD$332),AD$13:AD$332,0),1),"")</f>
        <v>DJSCBKK260001111DTECH 10L NAOX PET FOOD(액상)</v>
      </c>
      <c r="AE6" s="17" t="str">
        <f t="shared" ref="AE6:AJ6" si="0">IFERROR(INDEX($G$13:$G$332,MATCH(SUM(AE$13:AE$332),AE$13:AE$332,0),1),"")</f>
        <v>DJSCBKK260001111DTECH 10L NAOX PET FOOD 샘플(액상)</v>
      </c>
      <c r="AF6" s="17" t="str">
        <f t="shared" si="0"/>
        <v>HASLS22260300563DTECH 10L NAOX PET FOOD(액상)</v>
      </c>
      <c r="AG6" s="17" t="str">
        <f t="shared" si="0"/>
        <v>HASLS22260300563DTECH 10L NAOX PET FOOD 샘플(액상)</v>
      </c>
      <c r="AH6" s="17" t="str">
        <f t="shared" si="0"/>
        <v>HASLS22260302170DTECH 12L NAOX PET FOOD(액상)</v>
      </c>
      <c r="AI6" s="17" t="str">
        <f t="shared" si="0"/>
        <v>HASLS22260302170DTECH 12L NAOX PET FOOD 샘플(액상)</v>
      </c>
      <c r="AJ6" s="17" t="str">
        <f t="shared" si="0"/>
        <v>HASLS22260302170DTECH 12L NAOX PET FOOD(액상)</v>
      </c>
      <c r="AK6" s="17" t="str">
        <f t="shared" ref="AK6:AN6" si="1">IFERROR(INDEX($C$13:$C$332,MATCH(SUM(AK$13:AK$332),AK$13:AK$332,0),1),"")</f>
        <v/>
      </c>
      <c r="AL6" s="17" t="str">
        <f t="shared" si="1"/>
        <v/>
      </c>
      <c r="AM6" s="17" t="str">
        <f t="shared" si="1"/>
        <v/>
      </c>
      <c r="AN6" s="17" t="str">
        <f t="shared" si="1"/>
        <v/>
      </c>
    </row>
    <row r="7" spans="2:40" ht="15" customHeight="1">
      <c r="B7" s="188"/>
      <c r="C7" s="174"/>
      <c r="D7" s="174"/>
      <c r="E7" s="174"/>
      <c r="F7" s="174"/>
      <c r="G7" s="174"/>
      <c r="H7" s="180"/>
      <c r="I7" s="183"/>
      <c r="J7" s="180"/>
      <c r="K7" s="180"/>
      <c r="L7" s="183"/>
      <c r="M7" s="180"/>
      <c r="N7" s="180"/>
      <c r="O7" s="183"/>
      <c r="P7" s="180"/>
      <c r="Q7" s="183"/>
      <c r="R7" s="180"/>
      <c r="S7" s="180"/>
      <c r="T7" s="180"/>
      <c r="U7" s="174"/>
      <c r="V7" s="180"/>
      <c r="W7" s="174"/>
      <c r="X7" s="174"/>
      <c r="Y7" s="174"/>
      <c r="Z7" s="174"/>
      <c r="AA7" s="174"/>
      <c r="AB7" s="177"/>
      <c r="AC7" s="58" t="s">
        <v>3</v>
      </c>
      <c r="AD7" s="101" t="str">
        <f t="shared" ref="AD7:AN7" si="2">IFERROR(INDEX($F$13:$F$332,MATCH(SUM(AD$13:AD$332),AD$13:AD$332,0),1),"")</f>
        <v>DTECH 10L NAOX PET FOOD(액상)</v>
      </c>
      <c r="AE7" s="101" t="str">
        <f t="shared" si="2"/>
        <v>DTECH 10L NAOX PET FOOD 샘플(액상)</v>
      </c>
      <c r="AF7" s="101" t="str">
        <f t="shared" si="2"/>
        <v>DTECH 10L NAOX PET FOOD(액상)</v>
      </c>
      <c r="AG7" s="101" t="str">
        <f t="shared" si="2"/>
        <v>DTECH 10L NAOX PET FOOD 샘플(액상)</v>
      </c>
      <c r="AH7" s="101" t="str">
        <f t="shared" si="2"/>
        <v>DTECH 12L NAOX PET FOOD(액상)</v>
      </c>
      <c r="AI7" s="101" t="str">
        <f t="shared" si="2"/>
        <v>DTECH 12L NAOX PET FOOD 샘플(액상)</v>
      </c>
      <c r="AJ7" s="101" t="str">
        <f t="shared" si="2"/>
        <v>DTECH 12L NAOX PET FOOD(액상)</v>
      </c>
      <c r="AK7" s="101" t="str">
        <f t="shared" si="2"/>
        <v/>
      </c>
      <c r="AL7" s="101" t="str">
        <f t="shared" si="2"/>
        <v/>
      </c>
      <c r="AM7" s="101" t="str">
        <f t="shared" si="2"/>
        <v/>
      </c>
      <c r="AN7" s="101" t="str">
        <f t="shared" si="2"/>
        <v/>
      </c>
    </row>
    <row r="8" spans="2:40" ht="15" customHeight="1">
      <c r="B8" s="188"/>
      <c r="C8" s="174"/>
      <c r="D8" s="174"/>
      <c r="E8" s="174"/>
      <c r="F8" s="174"/>
      <c r="G8" s="174"/>
      <c r="H8" s="180"/>
      <c r="I8" s="183"/>
      <c r="J8" s="180"/>
      <c r="K8" s="180"/>
      <c r="L8" s="183"/>
      <c r="M8" s="180"/>
      <c r="N8" s="180"/>
      <c r="O8" s="183"/>
      <c r="P8" s="180"/>
      <c r="Q8" s="183"/>
      <c r="R8" s="180"/>
      <c r="S8" s="180"/>
      <c r="T8" s="180"/>
      <c r="U8" s="174"/>
      <c r="V8" s="180"/>
      <c r="W8" s="174"/>
      <c r="X8" s="174"/>
      <c r="Y8" s="174"/>
      <c r="Z8" s="174"/>
      <c r="AA8" s="174"/>
      <c r="AB8" s="177"/>
      <c r="AC8" s="59" t="s">
        <v>4</v>
      </c>
      <c r="AD8" s="48">
        <f t="shared" ref="AD8:AN8" si="3">IFERROR(SUM(AD$13:AD$332),"")</f>
        <v>18</v>
      </c>
      <c r="AE8" s="48">
        <f t="shared" si="3"/>
        <v>4</v>
      </c>
      <c r="AF8" s="48">
        <f t="shared" si="3"/>
        <v>18</v>
      </c>
      <c r="AG8" s="48">
        <f t="shared" si="3"/>
        <v>4</v>
      </c>
      <c r="AH8" s="48">
        <f t="shared" si="3"/>
        <v>18</v>
      </c>
      <c r="AI8" s="48">
        <f t="shared" si="3"/>
        <v>4</v>
      </c>
      <c r="AJ8" s="48">
        <f t="shared" si="3"/>
        <v>18</v>
      </c>
      <c r="AK8" s="48">
        <f t="shared" si="3"/>
        <v>0</v>
      </c>
      <c r="AL8" s="48">
        <f t="shared" si="3"/>
        <v>0</v>
      </c>
      <c r="AM8" s="48">
        <f t="shared" si="3"/>
        <v>0</v>
      </c>
      <c r="AN8" s="48">
        <f t="shared" si="3"/>
        <v>0</v>
      </c>
    </row>
    <row r="9" spans="2:40" ht="15" customHeight="1">
      <c r="B9" s="188"/>
      <c r="C9" s="174"/>
      <c r="D9" s="174"/>
      <c r="E9" s="174"/>
      <c r="F9" s="174"/>
      <c r="G9" s="174"/>
      <c r="H9" s="180"/>
      <c r="I9" s="183"/>
      <c r="J9" s="180"/>
      <c r="K9" s="180"/>
      <c r="L9" s="183"/>
      <c r="M9" s="180"/>
      <c r="N9" s="180"/>
      <c r="O9" s="183"/>
      <c r="P9" s="180"/>
      <c r="Q9" s="183"/>
      <c r="R9" s="180"/>
      <c r="S9" s="180"/>
      <c r="T9" s="180"/>
      <c r="U9" s="174"/>
      <c r="V9" s="180"/>
      <c r="W9" s="174"/>
      <c r="X9" s="174"/>
      <c r="Y9" s="174"/>
      <c r="Z9" s="174"/>
      <c r="AA9" s="174"/>
      <c r="AB9" s="177"/>
      <c r="AC9" s="58" t="s">
        <v>5</v>
      </c>
      <c r="AD9" s="20">
        <f>IFERROR(ROUNDUP((SUM(AD13:AD332)/IFERROR(INDEX($V$13:$V$332,MATCH(SUM(AD$13:AD$332),AD$13:AD$332,0),1),"")),0),"")</f>
        <v>18</v>
      </c>
      <c r="AE9" s="20">
        <v>0</v>
      </c>
      <c r="AF9" s="20">
        <f t="shared" ref="AF9:AN9" si="4">IFERROR(ROUNDUP((SUM(AF13:AF332)/IFERROR(INDEX($V$13:$V$332,MATCH(SUM(AF$13:AF$332),AF$13:AF$332,0),1),"")),0),"")</f>
        <v>18</v>
      </c>
      <c r="AG9" s="20">
        <v>0</v>
      </c>
      <c r="AH9" s="20">
        <f t="shared" si="4"/>
        <v>18</v>
      </c>
      <c r="AI9" s="20">
        <v>0</v>
      </c>
      <c r="AJ9" s="20">
        <f t="shared" si="4"/>
        <v>18</v>
      </c>
      <c r="AK9" s="20" t="str">
        <f t="shared" si="4"/>
        <v/>
      </c>
      <c r="AL9" s="20" t="str">
        <f t="shared" si="4"/>
        <v/>
      </c>
      <c r="AM9" s="20" t="str">
        <f t="shared" si="4"/>
        <v/>
      </c>
      <c r="AN9" s="20" t="str">
        <f t="shared" si="4"/>
        <v/>
      </c>
    </row>
    <row r="10" spans="2:40" ht="15" customHeight="1">
      <c r="B10" s="188"/>
      <c r="C10" s="174"/>
      <c r="D10" s="174"/>
      <c r="E10" s="174"/>
      <c r="F10" s="174"/>
      <c r="G10" s="174"/>
      <c r="H10" s="180"/>
      <c r="I10" s="183"/>
      <c r="J10" s="180"/>
      <c r="K10" s="180"/>
      <c r="L10" s="183"/>
      <c r="M10" s="180"/>
      <c r="N10" s="180"/>
      <c r="O10" s="183"/>
      <c r="P10" s="180"/>
      <c r="Q10" s="183"/>
      <c r="R10" s="180"/>
      <c r="S10" s="180"/>
      <c r="T10" s="180"/>
      <c r="U10" s="174"/>
      <c r="V10" s="180"/>
      <c r="W10" s="174"/>
      <c r="X10" s="174"/>
      <c r="Y10" s="174"/>
      <c r="Z10" s="174"/>
      <c r="AA10" s="174"/>
      <c r="AB10" s="177"/>
      <c r="AC10" s="58" t="s">
        <v>6</v>
      </c>
      <c r="AD10" s="17">
        <f t="shared" ref="AD10:AN10" si="5">IFERROR(INDEX($W$13:$W$332,MATCH(SUM(AD$13:AD$332),AD$13:AD$332,0),1),"")</f>
        <v>46201</v>
      </c>
      <c r="AE10" s="17">
        <f t="shared" si="5"/>
        <v>46201</v>
      </c>
      <c r="AF10" s="17">
        <f t="shared" si="5"/>
        <v>46148</v>
      </c>
      <c r="AG10" s="17">
        <f t="shared" si="5"/>
        <v>46148</v>
      </c>
      <c r="AH10" s="17">
        <f t="shared" si="5"/>
        <v>46177</v>
      </c>
      <c r="AI10" s="17">
        <f t="shared" si="5"/>
        <v>46177</v>
      </c>
      <c r="AJ10" s="17">
        <f t="shared" si="5"/>
        <v>46177</v>
      </c>
      <c r="AK10" s="17" t="str">
        <f t="shared" si="5"/>
        <v/>
      </c>
      <c r="AL10" s="17" t="str">
        <f t="shared" si="5"/>
        <v/>
      </c>
      <c r="AM10" s="17" t="str">
        <f t="shared" si="5"/>
        <v/>
      </c>
      <c r="AN10" s="17" t="str">
        <f t="shared" si="5"/>
        <v/>
      </c>
    </row>
    <row r="11" spans="2:40" ht="15" customHeight="1">
      <c r="B11" s="188"/>
      <c r="C11" s="174"/>
      <c r="D11" s="174"/>
      <c r="E11" s="174"/>
      <c r="F11" s="174"/>
      <c r="G11" s="174"/>
      <c r="H11" s="180"/>
      <c r="I11" s="183"/>
      <c r="J11" s="180"/>
      <c r="K11" s="180"/>
      <c r="L11" s="183"/>
      <c r="M11" s="180"/>
      <c r="N11" s="180"/>
      <c r="O11" s="183"/>
      <c r="P11" s="180"/>
      <c r="Q11" s="183"/>
      <c r="R11" s="180"/>
      <c r="S11" s="180"/>
      <c r="T11" s="180"/>
      <c r="U11" s="174"/>
      <c r="V11" s="180"/>
      <c r="W11" s="174"/>
      <c r="X11" s="174"/>
      <c r="Y11" s="174"/>
      <c r="Z11" s="174"/>
      <c r="AA11" s="174"/>
      <c r="AB11" s="177"/>
      <c r="AC11" s="58" t="s">
        <v>7</v>
      </c>
      <c r="AD11" s="20">
        <f t="shared" ref="AD11:AN11" ca="1" si="6">IF(AD5="","",IF(AD10&gt;AD4,"프리타임 기간내 출고",IF(DATE(YEAR(AD4),MONTH(AD4),1)&gt;DATE(YEAR(AD10),MONTH(AD10),1),DATEDIF(DATE(YEAR(NOW()),MONTH(NOW()),1),(AD4)+1,"D"),DATEDIF(AD10,AD4+1,"D"))))</f>
        <v>7</v>
      </c>
      <c r="AE11" s="20">
        <f t="shared" ca="1" si="6"/>
        <v>7</v>
      </c>
      <c r="AF11" s="20">
        <f t="shared" ca="1" si="6"/>
        <v>20</v>
      </c>
      <c r="AG11" s="20">
        <f t="shared" ca="1" si="6"/>
        <v>20</v>
      </c>
      <c r="AH11" s="20">
        <f t="shared" ca="1" si="6"/>
        <v>21</v>
      </c>
      <c r="AI11" s="20">
        <f t="shared" ca="1" si="6"/>
        <v>21</v>
      </c>
      <c r="AJ11" s="20">
        <f t="shared" ca="1" si="6"/>
        <v>21</v>
      </c>
      <c r="AK11" s="20" t="str">
        <f t="shared" ca="1" si="6"/>
        <v/>
      </c>
      <c r="AL11" s="20" t="str">
        <f t="shared" ca="1" si="6"/>
        <v/>
      </c>
      <c r="AM11" s="20" t="str">
        <f t="shared" ca="1" si="6"/>
        <v/>
      </c>
      <c r="AN11" s="20" t="str">
        <f t="shared" ca="1" si="6"/>
        <v/>
      </c>
    </row>
    <row r="12" spans="2:40" ht="15" customHeight="1" thickBot="1">
      <c r="B12" s="189"/>
      <c r="C12" s="175"/>
      <c r="D12" s="175"/>
      <c r="E12" s="175"/>
      <c r="F12" s="175"/>
      <c r="G12" s="175"/>
      <c r="H12" s="181"/>
      <c r="I12" s="184"/>
      <c r="J12" s="181"/>
      <c r="K12" s="181"/>
      <c r="L12" s="184"/>
      <c r="M12" s="181"/>
      <c r="N12" s="181"/>
      <c r="O12" s="184"/>
      <c r="P12" s="181"/>
      <c r="Q12" s="184"/>
      <c r="R12" s="181"/>
      <c r="S12" s="181"/>
      <c r="T12" s="181"/>
      <c r="U12" s="175"/>
      <c r="V12" s="181"/>
      <c r="W12" s="175"/>
      <c r="X12" s="175"/>
      <c r="Y12" s="175"/>
      <c r="Z12" s="175"/>
      <c r="AA12" s="175"/>
      <c r="AB12" s="178"/>
      <c r="AC12" s="100" t="s">
        <v>8</v>
      </c>
      <c r="AD12" s="19">
        <f t="shared" ref="AD12:AN12" ca="1" si="7">IFERROR(AD11*AD9*(INDEX($Y$13:$Y$332,MATCH(SUM(AD$13:AD$332),AD$13:AD$332,0),1)),"")</f>
        <v>25200</v>
      </c>
      <c r="AE12" s="19">
        <f t="shared" ca="1" si="7"/>
        <v>0</v>
      </c>
      <c r="AF12" s="19">
        <f t="shared" ca="1" si="7"/>
        <v>72000</v>
      </c>
      <c r="AG12" s="19">
        <f t="shared" ca="1" si="7"/>
        <v>0</v>
      </c>
      <c r="AH12" s="19">
        <f t="shared" ca="1" si="7"/>
        <v>75600</v>
      </c>
      <c r="AI12" s="19">
        <f t="shared" ca="1" si="7"/>
        <v>0</v>
      </c>
      <c r="AJ12" s="19">
        <f t="shared" ca="1" si="7"/>
        <v>75600</v>
      </c>
      <c r="AK12" s="19" t="str">
        <f t="shared" ca="1" si="7"/>
        <v/>
      </c>
      <c r="AL12" s="19" t="str">
        <f t="shared" ca="1" si="7"/>
        <v/>
      </c>
      <c r="AM12" s="19" t="str">
        <f t="shared" ca="1" si="7"/>
        <v/>
      </c>
      <c r="AN12" s="19" t="str">
        <f t="shared" ca="1" si="7"/>
        <v/>
      </c>
    </row>
    <row r="13" spans="2:40" s="2" customFormat="1" ht="20.100000000000001" customHeight="1" thickTop="1">
      <c r="B13" s="110">
        <v>46128</v>
      </c>
      <c r="C13" s="111" t="s">
        <v>367</v>
      </c>
      <c r="D13" s="112"/>
      <c r="E13" s="113" t="s">
        <v>279</v>
      </c>
      <c r="F13" s="114" t="s">
        <v>368</v>
      </c>
      <c r="G13" s="8" t="str">
        <f t="shared" ref="G13" si="8">C13&amp;F13</f>
        <v>HASLS22260300563DTECH 10L NAOX PET FOOD(액상)</v>
      </c>
      <c r="H13" s="28">
        <v>18</v>
      </c>
      <c r="I13" s="41">
        <f t="shared" ref="I13" si="9">ROUNDUP((H13/V13),0)</f>
        <v>18</v>
      </c>
      <c r="J13" s="29">
        <v>0</v>
      </c>
      <c r="K13" s="29">
        <v>0</v>
      </c>
      <c r="L13" s="41">
        <f t="shared" ref="L13" si="10">ROUNDUP((K13/V13),0)</f>
        <v>0</v>
      </c>
      <c r="M13" s="29">
        <v>0</v>
      </c>
      <c r="N13" s="31">
        <f t="shared" ref="N13" si="11">P13-K13+M13</f>
        <v>0</v>
      </c>
      <c r="O13" s="42">
        <f t="shared" ref="O13" si="12">ROUNDUP((N13/V13),0)</f>
        <v>0</v>
      </c>
      <c r="P13" s="31">
        <f t="shared" ref="P13" si="13">H13-T13</f>
        <v>0</v>
      </c>
      <c r="Q13" s="42">
        <f t="shared" ref="Q13" si="14">L13+O13</f>
        <v>0</v>
      </c>
      <c r="R13" s="28">
        <v>0</v>
      </c>
      <c r="S13" s="97">
        <f t="shared" ref="S13:S20" si="15">SUM(AD13:QB13)</f>
        <v>18</v>
      </c>
      <c r="T13" s="97">
        <f t="shared" ref="T13" si="16">R13+S13+J13+M13</f>
        <v>18</v>
      </c>
      <c r="U13" s="96"/>
      <c r="V13" s="28">
        <v>1</v>
      </c>
      <c r="W13" s="95">
        <f t="shared" ref="W13" si="17">B13+X13</f>
        <v>46148</v>
      </c>
      <c r="X13" s="79">
        <v>20</v>
      </c>
      <c r="Y13" s="79">
        <v>200</v>
      </c>
      <c r="Z13" s="2">
        <f t="shared" ref="Z13:Z20" ca="1" si="18">SUMIF($AD$6:$CS$6,G13,$AD$12:$CS$12)</f>
        <v>72000</v>
      </c>
      <c r="AA13" s="2">
        <f t="shared" ref="AA13" ca="1" si="19">IF(W13&gt;TODAY(),"프리타임기간중",Q13*Y13*IF(DATE(YEAR(W13),MONTH(W13),1)&lt;DATE(YEAR($AA$2),MONTH($AA$2),1),DATEDIF($AA$2,$AA$3,"D")+1,DATEDIF(W13,$AA$3+1,"d")))</f>
        <v>0</v>
      </c>
      <c r="AB13" s="2">
        <f t="shared" ref="AB13" ca="1" si="20">IFERROR(Z13+AA13,"")</f>
        <v>72000</v>
      </c>
      <c r="AC13" s="103"/>
      <c r="AF13" s="2">
        <v>18</v>
      </c>
    </row>
    <row r="14" spans="2:40" s="2" customFormat="1" ht="20.100000000000001" customHeight="1">
      <c r="B14" s="110">
        <v>46128</v>
      </c>
      <c r="C14" s="111" t="s">
        <v>353</v>
      </c>
      <c r="D14" s="112"/>
      <c r="E14" s="113"/>
      <c r="F14" s="114" t="s">
        <v>354</v>
      </c>
      <c r="G14" s="8" t="str">
        <f t="shared" ref="G14" si="21">C14&amp;F14</f>
        <v>HASLS22260300563DTECH 10L NAOX PET FOOD 샘플(액상)</v>
      </c>
      <c r="H14" s="28">
        <v>4</v>
      </c>
      <c r="I14" s="41">
        <f>ROUNDUP((H14/V14),0)-1</f>
        <v>0</v>
      </c>
      <c r="J14" s="29">
        <v>0</v>
      </c>
      <c r="K14" s="29">
        <v>0</v>
      </c>
      <c r="L14" s="41">
        <f t="shared" ref="L14" si="22">ROUNDUP((K14/V14),0)</f>
        <v>0</v>
      </c>
      <c r="M14" s="29">
        <v>0</v>
      </c>
      <c r="N14" s="31">
        <f t="shared" ref="N14" si="23">P14-K14+M14</f>
        <v>0</v>
      </c>
      <c r="O14" s="42">
        <f>ROUNDUP((N14/V14),0)</f>
        <v>0</v>
      </c>
      <c r="P14" s="31">
        <f t="shared" ref="P14" si="24">H14-T14</f>
        <v>0</v>
      </c>
      <c r="Q14" s="42">
        <f t="shared" ref="Q14" si="25">L14+O14</f>
        <v>0</v>
      </c>
      <c r="R14" s="28">
        <v>0</v>
      </c>
      <c r="S14" s="97">
        <f t="shared" si="15"/>
        <v>4</v>
      </c>
      <c r="T14" s="97">
        <f t="shared" ref="T14" si="26">R14+S14+J14+M14</f>
        <v>4</v>
      </c>
      <c r="U14" s="96"/>
      <c r="V14" s="28">
        <v>4</v>
      </c>
      <c r="W14" s="95">
        <f t="shared" ref="W14" si="27">B14+X14</f>
        <v>46148</v>
      </c>
      <c r="X14" s="79">
        <v>20</v>
      </c>
      <c r="Y14" s="79">
        <v>200</v>
      </c>
      <c r="Z14" s="2">
        <f t="shared" ca="1" si="18"/>
        <v>0</v>
      </c>
      <c r="AA14" s="2">
        <f t="shared" ref="AA14" ca="1" si="28">IF(W14&gt;TODAY(),"프리타임기간중",Q14*Y14*IF(DATE(YEAR(W14),MONTH(W14),1)&lt;DATE(YEAR($AA$2),MONTH($AA$2),1),DATEDIF($AA$2,$AA$3,"D")+1,DATEDIF(W14,$AA$3+1,"d")))</f>
        <v>0</v>
      </c>
      <c r="AB14" s="2">
        <f t="shared" ref="AB14" ca="1" si="29">IFERROR(Z14+AA14,"")</f>
        <v>0</v>
      </c>
      <c r="AC14" s="103"/>
      <c r="AG14" s="2">
        <v>4</v>
      </c>
    </row>
    <row r="15" spans="2:40" s="2" customFormat="1" ht="20.100000000000001" customHeight="1">
      <c r="B15" s="110">
        <v>46157</v>
      </c>
      <c r="C15" s="111" t="s">
        <v>394</v>
      </c>
      <c r="D15" s="112"/>
      <c r="E15" s="113" t="s">
        <v>279</v>
      </c>
      <c r="F15" s="114" t="s">
        <v>393</v>
      </c>
      <c r="G15" s="8" t="str">
        <f t="shared" ref="G15" si="30">C15&amp;F15</f>
        <v>HASLS22260302170DTECH 12L NAOX PET FOOD(액상)</v>
      </c>
      <c r="H15" s="28">
        <v>36</v>
      </c>
      <c r="I15" s="41">
        <f t="shared" ref="I15" si="31">ROUNDUP((H15/V15),0)</f>
        <v>36</v>
      </c>
      <c r="J15" s="29">
        <v>0</v>
      </c>
      <c r="K15" s="29">
        <v>0</v>
      </c>
      <c r="L15" s="41">
        <f t="shared" ref="L15" si="32">ROUNDUP((K15/V15),0)</f>
        <v>0</v>
      </c>
      <c r="M15" s="29">
        <v>0</v>
      </c>
      <c r="N15" s="31">
        <f t="shared" ref="N15" si="33">P15-K15+M15</f>
        <v>0</v>
      </c>
      <c r="O15" s="42">
        <f t="shared" ref="O15" si="34">ROUNDUP((N15/V15),0)</f>
        <v>0</v>
      </c>
      <c r="P15" s="31">
        <f t="shared" ref="P15" si="35">H15-T15</f>
        <v>0</v>
      </c>
      <c r="Q15" s="42">
        <f t="shared" ref="Q15" si="36">L15+O15</f>
        <v>0</v>
      </c>
      <c r="R15" s="28">
        <v>0</v>
      </c>
      <c r="S15" s="97">
        <f t="shared" si="15"/>
        <v>36</v>
      </c>
      <c r="T15" s="97">
        <f t="shared" ref="T15" si="37">R15+S15+J15+M15</f>
        <v>36</v>
      </c>
      <c r="U15" s="96"/>
      <c r="V15" s="28">
        <v>1</v>
      </c>
      <c r="W15" s="95">
        <f t="shared" ref="W15" si="38">B15+X15</f>
        <v>46177</v>
      </c>
      <c r="X15" s="79">
        <v>20</v>
      </c>
      <c r="Y15" s="79">
        <v>200</v>
      </c>
      <c r="Z15" s="2">
        <f t="shared" ca="1" si="18"/>
        <v>151200</v>
      </c>
      <c r="AA15" s="2">
        <f t="shared" ref="AA15" ca="1" si="39">IF(W15&gt;TODAY(),"프리타임기간중",Q15*Y15*IF(DATE(YEAR(W15),MONTH(W15),1)&lt;DATE(YEAR($AA$2),MONTH($AA$2),1),DATEDIF($AA$2,$AA$3,"D")+1,DATEDIF(W15,$AA$3+1,"d")))</f>
        <v>0</v>
      </c>
      <c r="AB15" s="2">
        <f t="shared" ref="AB15" ca="1" si="40">IFERROR(Z15+AA15,"")</f>
        <v>151200</v>
      </c>
      <c r="AC15" s="103"/>
      <c r="AH15" s="142">
        <v>18</v>
      </c>
      <c r="AJ15" s="142">
        <v>18</v>
      </c>
    </row>
    <row r="16" spans="2:40" s="2" customFormat="1" ht="20.100000000000001" customHeight="1">
      <c r="B16" s="110">
        <v>46157</v>
      </c>
      <c r="C16" s="111" t="s">
        <v>386</v>
      </c>
      <c r="D16" s="112"/>
      <c r="E16" s="113"/>
      <c r="F16" s="114" t="s">
        <v>387</v>
      </c>
      <c r="G16" s="8" t="str">
        <f t="shared" ref="G16:G17" si="41">C16&amp;F16</f>
        <v>HASLS22260302170DTECH 12L NAOX PET FOOD 샘플(액상)</v>
      </c>
      <c r="H16" s="28">
        <v>4</v>
      </c>
      <c r="I16" s="41">
        <f>ROUNDUP((H16/V16),0)-1</f>
        <v>0</v>
      </c>
      <c r="J16" s="29">
        <v>0</v>
      </c>
      <c r="K16" s="29">
        <v>0</v>
      </c>
      <c r="L16" s="41">
        <f t="shared" ref="L16:L17" si="42">ROUNDUP((K16/V16),0)</f>
        <v>0</v>
      </c>
      <c r="M16" s="29">
        <v>0</v>
      </c>
      <c r="N16" s="31">
        <f t="shared" ref="N16:N17" si="43">P16-K16+M16</f>
        <v>0</v>
      </c>
      <c r="O16" s="42">
        <f>ROUNDUP((N16/V16),0)</f>
        <v>0</v>
      </c>
      <c r="P16" s="31">
        <f t="shared" ref="P16:P17" si="44">H16-T16</f>
        <v>0</v>
      </c>
      <c r="Q16" s="42">
        <f t="shared" ref="Q16:Q17" si="45">L16+O16</f>
        <v>0</v>
      </c>
      <c r="R16" s="28">
        <v>0</v>
      </c>
      <c r="S16" s="97">
        <f t="shared" si="15"/>
        <v>4</v>
      </c>
      <c r="T16" s="97">
        <f t="shared" ref="T16:T17" si="46">R16+S16+J16+M16</f>
        <v>4</v>
      </c>
      <c r="U16" s="96"/>
      <c r="V16" s="28">
        <v>4</v>
      </c>
      <c r="W16" s="95">
        <f t="shared" ref="W16:W17" si="47">B16+X16</f>
        <v>46177</v>
      </c>
      <c r="X16" s="79">
        <v>20</v>
      </c>
      <c r="Y16" s="79">
        <v>200</v>
      </c>
      <c r="Z16" s="2">
        <f t="shared" ca="1" si="18"/>
        <v>0</v>
      </c>
      <c r="AA16" s="2">
        <f t="shared" ref="AA16:AA17" ca="1" si="48">IF(W16&gt;TODAY(),"프리타임기간중",Q16*Y16*IF(DATE(YEAR(W16),MONTH(W16),1)&lt;DATE(YEAR($AA$2),MONTH($AA$2),1),DATEDIF($AA$2,$AA$3,"D")+1,DATEDIF(W16,$AA$3+1,"d")))</f>
        <v>0</v>
      </c>
      <c r="AB16" s="2">
        <f t="shared" ref="AB16:AB17" ca="1" si="49">IFERROR(Z16+AA16,"")</f>
        <v>0</v>
      </c>
      <c r="AC16" s="103"/>
      <c r="AI16" s="2">
        <v>4</v>
      </c>
    </row>
    <row r="17" spans="2:31" s="2" customFormat="1" ht="20.100000000000001" customHeight="1">
      <c r="B17" s="110">
        <v>46181</v>
      </c>
      <c r="C17" s="111" t="s">
        <v>596</v>
      </c>
      <c r="D17" s="112"/>
      <c r="E17" s="113" t="s">
        <v>450</v>
      </c>
      <c r="F17" s="114" t="s">
        <v>451</v>
      </c>
      <c r="G17" s="8" t="str">
        <f t="shared" si="41"/>
        <v>DJSCBKK260001111DTECH 10L NAOX PET FOOD(액상)</v>
      </c>
      <c r="H17" s="28">
        <v>18</v>
      </c>
      <c r="I17" s="41">
        <f t="shared" ref="I17" si="50">ROUNDUP((H17/V17),0)</f>
        <v>18</v>
      </c>
      <c r="J17" s="29">
        <v>0</v>
      </c>
      <c r="K17" s="29">
        <v>0</v>
      </c>
      <c r="L17" s="41">
        <f t="shared" si="42"/>
        <v>0</v>
      </c>
      <c r="M17" s="29">
        <v>0</v>
      </c>
      <c r="N17" s="31">
        <f t="shared" si="43"/>
        <v>0</v>
      </c>
      <c r="O17" s="42">
        <f t="shared" ref="O17" si="51">ROUNDUP((N17/V17),0)</f>
        <v>0</v>
      </c>
      <c r="P17" s="31">
        <f t="shared" si="44"/>
        <v>0</v>
      </c>
      <c r="Q17" s="42">
        <f t="shared" si="45"/>
        <v>0</v>
      </c>
      <c r="R17" s="28">
        <v>0</v>
      </c>
      <c r="S17" s="97">
        <f t="shared" si="15"/>
        <v>18</v>
      </c>
      <c r="T17" s="97">
        <f t="shared" si="46"/>
        <v>18</v>
      </c>
      <c r="U17" s="96" t="s">
        <v>606</v>
      </c>
      <c r="V17" s="28">
        <v>1</v>
      </c>
      <c r="W17" s="95">
        <f t="shared" si="47"/>
        <v>46201</v>
      </c>
      <c r="X17" s="79">
        <v>20</v>
      </c>
      <c r="Y17" s="79">
        <v>200</v>
      </c>
      <c r="Z17" s="2">
        <f t="shared" ca="1" si="18"/>
        <v>25200</v>
      </c>
      <c r="AA17" s="2">
        <f t="shared" ca="1" si="48"/>
        <v>0</v>
      </c>
      <c r="AB17" s="2">
        <f t="shared" ca="1" si="49"/>
        <v>25200</v>
      </c>
      <c r="AC17" s="103"/>
      <c r="AD17" s="142">
        <v>18</v>
      </c>
    </row>
    <row r="18" spans="2:31" s="2" customFormat="1" ht="20.100000000000001" customHeight="1">
      <c r="B18" s="110">
        <v>46181</v>
      </c>
      <c r="C18" s="111" t="s">
        <v>449</v>
      </c>
      <c r="D18" s="112"/>
      <c r="E18" s="113"/>
      <c r="F18" s="114" t="s">
        <v>354</v>
      </c>
      <c r="G18" s="8" t="str">
        <f t="shared" ref="G18:G19" si="52">C18&amp;F18</f>
        <v>DJSCBKK260001111DTECH 10L NAOX PET FOOD 샘플(액상)</v>
      </c>
      <c r="H18" s="28">
        <v>4</v>
      </c>
      <c r="I18" s="41">
        <f>ROUNDUP((H18/V18),0)-1</f>
        <v>0</v>
      </c>
      <c r="J18" s="29">
        <v>0</v>
      </c>
      <c r="K18" s="29">
        <v>0</v>
      </c>
      <c r="L18" s="41">
        <f t="shared" ref="L18:L19" si="53">ROUNDUP((K18/V18),0)</f>
        <v>0</v>
      </c>
      <c r="M18" s="29">
        <v>0</v>
      </c>
      <c r="N18" s="31">
        <f t="shared" ref="N18:N19" si="54">P18-K18+M18</f>
        <v>0</v>
      </c>
      <c r="O18" s="42">
        <f>ROUNDUP((N18/V18),0)</f>
        <v>0</v>
      </c>
      <c r="P18" s="31">
        <f t="shared" ref="P18:P19" si="55">H18-T18</f>
        <v>0</v>
      </c>
      <c r="Q18" s="42">
        <f t="shared" ref="Q18:Q19" si="56">L18+O18</f>
        <v>0</v>
      </c>
      <c r="R18" s="28">
        <v>0</v>
      </c>
      <c r="S18" s="97">
        <f t="shared" si="15"/>
        <v>4</v>
      </c>
      <c r="T18" s="97">
        <f t="shared" ref="T18:T19" si="57">R18+S18+J18+M18</f>
        <v>4</v>
      </c>
      <c r="U18" s="96"/>
      <c r="V18" s="28">
        <v>4</v>
      </c>
      <c r="W18" s="95">
        <f t="shared" ref="W18:W19" si="58">B18+X18</f>
        <v>46201</v>
      </c>
      <c r="X18" s="79">
        <v>20</v>
      </c>
      <c r="Y18" s="79">
        <v>200</v>
      </c>
      <c r="Z18" s="2">
        <f t="shared" ca="1" si="18"/>
        <v>0</v>
      </c>
      <c r="AA18" s="2">
        <f t="shared" ref="AA18:AA19" ca="1" si="59">IF(W18&gt;TODAY(),"프리타임기간중",Q18*Y18*IF(DATE(YEAR(W18),MONTH(W18),1)&lt;DATE(YEAR($AA$2),MONTH($AA$2),1),DATEDIF($AA$2,$AA$3,"D")+1,DATEDIF(W18,$AA$3+1,"d")))</f>
        <v>0</v>
      </c>
      <c r="AB18" s="2">
        <f t="shared" ref="AB18:AB19" ca="1" si="60">IFERROR(Z18+AA18,"")</f>
        <v>0</v>
      </c>
      <c r="AC18" s="103"/>
      <c r="AE18" s="2">
        <v>4</v>
      </c>
    </row>
    <row r="19" spans="2:31" s="2" customFormat="1" ht="20.100000000000001" customHeight="1">
      <c r="B19" s="110">
        <v>46209</v>
      </c>
      <c r="C19" s="111" t="s">
        <v>683</v>
      </c>
      <c r="D19" s="112"/>
      <c r="E19" s="113" t="s">
        <v>682</v>
      </c>
      <c r="F19" s="114" t="s">
        <v>451</v>
      </c>
      <c r="G19" s="8" t="str">
        <f t="shared" si="52"/>
        <v>HASLS22260501844DTECH 10L NAOX PET FOOD(액상)</v>
      </c>
      <c r="H19" s="28">
        <v>18</v>
      </c>
      <c r="I19" s="41">
        <f t="shared" ref="I19" si="61">ROUNDUP((H19/V19),0)</f>
        <v>18</v>
      </c>
      <c r="J19" s="29">
        <v>0</v>
      </c>
      <c r="K19" s="29">
        <v>0</v>
      </c>
      <c r="L19" s="41">
        <f t="shared" si="53"/>
        <v>0</v>
      </c>
      <c r="M19" s="29">
        <v>0</v>
      </c>
      <c r="N19" s="31">
        <f t="shared" si="54"/>
        <v>18</v>
      </c>
      <c r="O19" s="42">
        <f t="shared" ref="O19" si="62">ROUNDUP((N19/V19),0)</f>
        <v>18</v>
      </c>
      <c r="P19" s="31">
        <f t="shared" si="55"/>
        <v>18</v>
      </c>
      <c r="Q19" s="42">
        <f t="shared" si="56"/>
        <v>18</v>
      </c>
      <c r="R19" s="28">
        <v>0</v>
      </c>
      <c r="S19" s="97">
        <f t="shared" si="15"/>
        <v>0</v>
      </c>
      <c r="T19" s="97">
        <f t="shared" si="57"/>
        <v>0</v>
      </c>
      <c r="U19" s="96"/>
      <c r="V19" s="28">
        <v>1</v>
      </c>
      <c r="W19" s="95">
        <f t="shared" si="58"/>
        <v>46229</v>
      </c>
      <c r="X19" s="79">
        <v>20</v>
      </c>
      <c r="Y19" s="79">
        <v>200</v>
      </c>
      <c r="Z19" s="2">
        <f t="shared" si="18"/>
        <v>0</v>
      </c>
      <c r="AA19" s="2">
        <f t="shared" ca="1" si="59"/>
        <v>21600</v>
      </c>
      <c r="AB19" s="2">
        <f t="shared" ca="1" si="60"/>
        <v>21600</v>
      </c>
      <c r="AC19" s="103"/>
    </row>
    <row r="20" spans="2:31" s="2" customFormat="1" ht="20.100000000000001" customHeight="1">
      <c r="B20" s="110">
        <v>46209</v>
      </c>
      <c r="C20" s="111" t="s">
        <v>681</v>
      </c>
      <c r="D20" s="112"/>
      <c r="E20" s="113"/>
      <c r="F20" s="114" t="s">
        <v>354</v>
      </c>
      <c r="G20" s="8" t="str">
        <f t="shared" ref="G20:G21" si="63">C20&amp;F20</f>
        <v>HASLS22260501844DTECH 10L NAOX PET FOOD 샘플(액상)</v>
      </c>
      <c r="H20" s="28">
        <v>4</v>
      </c>
      <c r="I20" s="41">
        <f>ROUNDUP((H20/V20),0)-1</f>
        <v>0</v>
      </c>
      <c r="J20" s="29">
        <v>0</v>
      </c>
      <c r="K20" s="29">
        <v>0</v>
      </c>
      <c r="L20" s="41">
        <f t="shared" ref="L20:L21" si="64">ROUNDUP((K20/V20),0)</f>
        <v>0</v>
      </c>
      <c r="M20" s="29">
        <v>0</v>
      </c>
      <c r="N20" s="31">
        <f t="shared" ref="N20:N21" si="65">P20-K20+M20</f>
        <v>4</v>
      </c>
      <c r="O20" s="42">
        <f>ROUNDUP((N20/V20),0)-1</f>
        <v>0</v>
      </c>
      <c r="P20" s="31">
        <f t="shared" ref="P20:P21" si="66">H20-T20</f>
        <v>4</v>
      </c>
      <c r="Q20" s="42">
        <f t="shared" ref="Q20:Q21" si="67">L20+O20</f>
        <v>0</v>
      </c>
      <c r="R20" s="28">
        <v>0</v>
      </c>
      <c r="S20" s="97">
        <f t="shared" si="15"/>
        <v>0</v>
      </c>
      <c r="T20" s="97">
        <f t="shared" ref="T20:T21" si="68">R20+S20+J20+M20</f>
        <v>0</v>
      </c>
      <c r="U20" s="96"/>
      <c r="V20" s="28">
        <v>4</v>
      </c>
      <c r="W20" s="95">
        <f t="shared" ref="W20:W21" si="69">B20+X20</f>
        <v>46229</v>
      </c>
      <c r="X20" s="79">
        <v>20</v>
      </c>
      <c r="Y20" s="79">
        <v>200</v>
      </c>
      <c r="Z20" s="2">
        <f t="shared" si="18"/>
        <v>0</v>
      </c>
      <c r="AA20" s="2">
        <f t="shared" ref="AA20:AA21" ca="1" si="70">IF(W20&gt;TODAY(),"프리타임기간중",Q20*Y20*IF(DATE(YEAR(W20),MONTH(W20),1)&lt;DATE(YEAR($AA$2),MONTH($AA$2),1),DATEDIF($AA$2,$AA$3,"D")+1,DATEDIF(W20,$AA$3+1,"d")))</f>
        <v>0</v>
      </c>
      <c r="AB20" s="2">
        <f t="shared" ref="AB20:AB21" ca="1" si="71">IFERROR(Z20+AA20,"")</f>
        <v>0</v>
      </c>
      <c r="AC20" s="103"/>
    </row>
    <row r="21" spans="2:31" s="2" customFormat="1" ht="20.100000000000001" customHeight="1">
      <c r="B21" s="81"/>
      <c r="C21" s="99"/>
      <c r="D21" s="98"/>
      <c r="E21" s="79"/>
      <c r="F21" s="8"/>
      <c r="G21" s="8" t="str">
        <f t="shared" si="63"/>
        <v/>
      </c>
      <c r="H21" s="28"/>
      <c r="I21" s="41">
        <f t="shared" ref="I21" si="72">ROUNDUP((H21/V21),0)</f>
        <v>0</v>
      </c>
      <c r="J21" s="29">
        <v>0</v>
      </c>
      <c r="K21" s="29">
        <v>0</v>
      </c>
      <c r="L21" s="41">
        <f t="shared" si="64"/>
        <v>0</v>
      </c>
      <c r="M21" s="29">
        <v>0</v>
      </c>
      <c r="N21" s="31">
        <f t="shared" si="65"/>
        <v>0</v>
      </c>
      <c r="O21" s="42">
        <f t="shared" ref="O21" si="73">ROUNDUP((N21/V21),0)</f>
        <v>0</v>
      </c>
      <c r="P21" s="31">
        <f t="shared" si="66"/>
        <v>0</v>
      </c>
      <c r="Q21" s="42">
        <f t="shared" si="67"/>
        <v>0</v>
      </c>
      <c r="R21" s="28">
        <v>0</v>
      </c>
      <c r="S21" s="97">
        <f t="shared" ref="S21:S22" si="74">SUM(AD21:QB21)</f>
        <v>0</v>
      </c>
      <c r="T21" s="97">
        <f t="shared" si="68"/>
        <v>0</v>
      </c>
      <c r="U21" s="96"/>
      <c r="V21" s="28">
        <v>1</v>
      </c>
      <c r="W21" s="95">
        <f t="shared" si="69"/>
        <v>20</v>
      </c>
      <c r="X21" s="79">
        <v>20</v>
      </c>
      <c r="Y21" s="79">
        <v>200</v>
      </c>
      <c r="Z21" s="2">
        <f t="shared" ref="Z21:Z22" ca="1" si="75">SUMIF($AD$6:$CS$6,G21,$AD$12:$CS$12)</f>
        <v>0</v>
      </c>
      <c r="AA21" s="2">
        <f t="shared" ca="1" si="70"/>
        <v>0</v>
      </c>
      <c r="AB21" s="2">
        <f t="shared" ca="1" si="71"/>
        <v>0</v>
      </c>
      <c r="AC21" s="103"/>
    </row>
    <row r="22" spans="2:31" s="2" customFormat="1" ht="20.100000000000001" customHeight="1">
      <c r="B22" s="81"/>
      <c r="C22" s="99"/>
      <c r="D22" s="98"/>
      <c r="E22" s="79"/>
      <c r="F22" s="8"/>
      <c r="G22" s="8" t="str">
        <f t="shared" ref="G22" si="76">C22&amp;F22</f>
        <v/>
      </c>
      <c r="H22" s="28"/>
      <c r="I22" s="41">
        <f t="shared" ref="I22" si="77">ROUNDUP((H22/V22),0)</f>
        <v>0</v>
      </c>
      <c r="J22" s="29">
        <v>0</v>
      </c>
      <c r="K22" s="29">
        <v>0</v>
      </c>
      <c r="L22" s="41">
        <f t="shared" ref="L22" si="78">ROUNDUP((K22/V22),0)</f>
        <v>0</v>
      </c>
      <c r="M22" s="29">
        <v>0</v>
      </c>
      <c r="N22" s="31">
        <f t="shared" ref="N22" si="79">P22-K22+M22</f>
        <v>0</v>
      </c>
      <c r="O22" s="42">
        <f t="shared" ref="O22" si="80">ROUNDUP((N22/V22),0)</f>
        <v>0</v>
      </c>
      <c r="P22" s="31">
        <f t="shared" ref="P22" si="81">H22-T22</f>
        <v>0</v>
      </c>
      <c r="Q22" s="42">
        <f t="shared" ref="Q22" si="82">L22+O22</f>
        <v>0</v>
      </c>
      <c r="R22" s="28">
        <v>0</v>
      </c>
      <c r="S22" s="97">
        <f t="shared" si="74"/>
        <v>0</v>
      </c>
      <c r="T22" s="97">
        <f t="shared" ref="T22" si="83">R22+S22+J22+M22</f>
        <v>0</v>
      </c>
      <c r="U22" s="96"/>
      <c r="V22" s="28">
        <v>1</v>
      </c>
      <c r="W22" s="95">
        <f t="shared" ref="W22" si="84">B22+X22</f>
        <v>20</v>
      </c>
      <c r="X22" s="79">
        <v>20</v>
      </c>
      <c r="Y22" s="79">
        <v>200</v>
      </c>
      <c r="Z22" s="2">
        <f t="shared" ca="1" si="75"/>
        <v>0</v>
      </c>
      <c r="AA22" s="2">
        <f t="shared" ref="AA22" ca="1" si="85">IF(W22&gt;TODAY(),"프리타임기간중",Q22*Y22*IF(DATE(YEAR(W22),MONTH(W22),1)&lt;DATE(YEAR($AA$2),MONTH($AA$2),1),DATEDIF($AA$2,$AA$3,"D")+1,DATEDIF(W22,$AA$3+1,"d")))</f>
        <v>0</v>
      </c>
      <c r="AB22" s="2">
        <f t="shared" ref="AB22" ca="1" si="86">IFERROR(Z22+AA22,"")</f>
        <v>0</v>
      </c>
      <c r="AC22" s="103"/>
    </row>
    <row r="23" spans="2:31" s="2" customFormat="1" ht="19.5" customHeight="1">
      <c r="B23" s="81"/>
      <c r="C23" s="99"/>
      <c r="D23" s="98"/>
      <c r="E23" s="79"/>
      <c r="F23" s="8"/>
      <c r="G23" s="8"/>
      <c r="H23" s="28"/>
      <c r="I23" s="41"/>
      <c r="J23" s="29"/>
      <c r="K23" s="29"/>
      <c r="L23" s="41"/>
      <c r="M23" s="29"/>
      <c r="N23" s="31"/>
      <c r="O23" s="42"/>
      <c r="P23" s="31"/>
      <c r="Q23" s="42"/>
      <c r="R23" s="28"/>
      <c r="S23" s="97"/>
      <c r="T23" s="97"/>
      <c r="U23" s="96"/>
      <c r="V23" s="28"/>
      <c r="W23" s="95"/>
      <c r="X23" s="79"/>
      <c r="Y23" s="79"/>
      <c r="AC23" s="103"/>
    </row>
    <row r="24" spans="2:31" s="1" customFormat="1" ht="15" customHeight="1">
      <c r="B24" s="6"/>
      <c r="C24" s="7"/>
      <c r="D24" s="7"/>
      <c r="E24" s="6"/>
      <c r="F24" s="6"/>
      <c r="G24" s="6"/>
      <c r="H24" s="16"/>
      <c r="I24" s="40"/>
      <c r="J24" s="16"/>
      <c r="K24" s="16"/>
      <c r="L24" s="40"/>
      <c r="M24" s="16"/>
      <c r="N24" s="16"/>
      <c r="O24" s="40"/>
      <c r="P24" s="21"/>
      <c r="Q24" s="22"/>
      <c r="R24" s="16">
        <v>0</v>
      </c>
      <c r="S24" s="30"/>
      <c r="T24" s="30"/>
      <c r="U24" s="94"/>
      <c r="V24" s="21"/>
      <c r="W24" s="7"/>
      <c r="X24" s="7"/>
      <c r="Y24" s="7"/>
      <c r="AC24" s="60"/>
    </row>
    <row r="25" spans="2:31" ht="15" customHeight="1">
      <c r="E25" s="115"/>
      <c r="F25" s="115"/>
      <c r="G25" s="115"/>
      <c r="H25" s="6"/>
    </row>
    <row r="26" spans="2:31" ht="15" customHeight="1">
      <c r="E26" s="115"/>
      <c r="F26" s="115"/>
      <c r="G26" s="115"/>
    </row>
    <row r="27" spans="2:31" ht="15" customHeight="1">
      <c r="B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Z27" s="7"/>
      <c r="AA27" s="7"/>
      <c r="AB27" s="7"/>
      <c r="AC27" s="7"/>
    </row>
    <row r="28" spans="2:31" ht="15" customHeight="1">
      <c r="B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Z28" s="7"/>
      <c r="AA28" s="7"/>
      <c r="AB28" s="7"/>
      <c r="AC28" s="7"/>
    </row>
    <row r="29" spans="2:31" ht="15" customHeight="1">
      <c r="B29" s="7"/>
      <c r="C29" s="7" t="s">
        <v>217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Z29" s="7"/>
      <c r="AA29" s="7"/>
      <c r="AB29" s="7"/>
      <c r="AC29" s="7"/>
    </row>
    <row r="30" spans="2:31" ht="15" customHeight="1">
      <c r="B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Z30" s="7"/>
      <c r="AA30" s="7"/>
      <c r="AB30" s="7"/>
      <c r="AC30" s="7"/>
    </row>
    <row r="31" spans="2:31" ht="15" customHeight="1">
      <c r="B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Z31" s="7"/>
      <c r="AA31" s="7"/>
      <c r="AB31" s="7"/>
      <c r="AC31" s="7"/>
    </row>
    <row r="32" spans="2:31" ht="15" customHeight="1">
      <c r="B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Z32" s="7"/>
      <c r="AA32" s="7"/>
      <c r="AB32" s="7"/>
      <c r="AC32" s="7"/>
    </row>
    <row r="33" s="7" customFormat="1" ht="15" customHeight="1"/>
    <row r="34" s="7" customFormat="1" ht="15" customHeight="1"/>
    <row r="35" s="7" customFormat="1" ht="15" customHeight="1"/>
    <row r="36" s="7" customFormat="1" ht="15" customHeight="1"/>
    <row r="37" s="7" customFormat="1" ht="15" customHeight="1"/>
    <row r="38" s="7" customFormat="1" ht="15" customHeight="1"/>
    <row r="39" s="7" customFormat="1" ht="15" customHeight="1"/>
    <row r="40" s="7" customFormat="1" ht="15" customHeight="1"/>
    <row r="41" s="7" customFormat="1" ht="15" customHeight="1"/>
  </sheetData>
  <mergeCells count="27">
    <mergeCell ref="G4:G12"/>
    <mergeCell ref="B4:B12"/>
    <mergeCell ref="C4:C12"/>
    <mergeCell ref="D4:D12"/>
    <mergeCell ref="E4:E12"/>
    <mergeCell ref="F4:F12"/>
    <mergeCell ref="S4:S12"/>
    <mergeCell ref="H4:H12"/>
    <mergeCell ref="I4:I12"/>
    <mergeCell ref="J4:J12"/>
    <mergeCell ref="K4:K12"/>
    <mergeCell ref="L4:L12"/>
    <mergeCell ref="M4:M12"/>
    <mergeCell ref="N4:N12"/>
    <mergeCell ref="O4:O12"/>
    <mergeCell ref="P4:P12"/>
    <mergeCell ref="Q4:Q12"/>
    <mergeCell ref="R4:R12"/>
    <mergeCell ref="Z4:Z12"/>
    <mergeCell ref="AA4:AA12"/>
    <mergeCell ref="AB4:AB12"/>
    <mergeCell ref="T4:T12"/>
    <mergeCell ref="U4:U12"/>
    <mergeCell ref="V4:V12"/>
    <mergeCell ref="W4:W12"/>
    <mergeCell ref="X4:X12"/>
    <mergeCell ref="Y4:Y12"/>
  </mergeCells>
  <phoneticPr fontId="2" type="noConversion"/>
  <pageMargins left="0.70866141732283472" right="0.70866141732283472" top="0.74803149606299213" bottom="0.74803149606299213" header="0.31496062992125984" footer="0.31496062992125984"/>
  <pageSetup paperSize="9" orientation="landscape" horizontalDpi="200" verticalDpi="200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E1309-9012-4744-B7F3-0020D0B844AA}">
  <sheetPr codeName="Sheet33"/>
  <dimension ref="B1:AU38"/>
  <sheetViews>
    <sheetView workbookViewId="0">
      <pane xSplit="29" ySplit="12" topLeftCell="AD13" activePane="bottomRight" state="frozen"/>
      <selection activeCell="C17" sqref="C17"/>
      <selection pane="topRight" activeCell="C17" sqref="C17"/>
      <selection pane="bottomLeft" activeCell="C17" sqref="C17"/>
      <selection pane="bottomRight" activeCell="AD23" sqref="AD23"/>
    </sheetView>
  </sheetViews>
  <sheetFormatPr defaultColWidth="9" defaultRowHeight="11.25" outlineLevelCol="1"/>
  <cols>
    <col min="1" max="1" width="2" style="7" customWidth="1"/>
    <col min="2" max="2" width="7.75" style="6" bestFit="1" customWidth="1"/>
    <col min="3" max="3" width="14" style="7" customWidth="1"/>
    <col min="4" max="4" width="13" style="7" bestFit="1" customWidth="1"/>
    <col min="5" max="5" width="10.375" style="6" bestFit="1" customWidth="1"/>
    <col min="6" max="6" width="23.875" style="6" bestFit="1" customWidth="1"/>
    <col min="7" max="7" width="2.875" style="6" hidden="1" customWidth="1" outlineLevel="1"/>
    <col min="8" max="8" width="6.75" style="16" hidden="1" customWidth="1" outlineLevel="1"/>
    <col min="9" max="9" width="6.75" style="40" hidden="1" customWidth="1" outlineLevel="1"/>
    <col min="10" max="11" width="6.75" style="16" hidden="1" customWidth="1" outlineLevel="1"/>
    <col min="12" max="12" width="6.75" style="40" hidden="1" customWidth="1" outlineLevel="1"/>
    <col min="13" max="13" width="6.75" style="16" hidden="1" customWidth="1" outlineLevel="1"/>
    <col min="14" max="14" width="8.125" style="16" bestFit="1" customWidth="1" collapsed="1"/>
    <col min="15" max="15" width="6.75" style="40" customWidth="1"/>
    <col min="16" max="16" width="8" style="21" customWidth="1"/>
    <col min="17" max="17" width="6.75" style="22" customWidth="1"/>
    <col min="18" max="18" width="6.75" style="16" hidden="1" customWidth="1" outlineLevel="1"/>
    <col min="19" max="20" width="6.75" style="30" hidden="1" customWidth="1" outlineLevel="1"/>
    <col min="21" max="21" width="17" style="94" hidden="1" customWidth="1" outlineLevel="1"/>
    <col min="22" max="22" width="6.75" style="30" hidden="1" customWidth="1" outlineLevel="1"/>
    <col min="23" max="23" width="9.25" style="7" hidden="1" customWidth="1" outlineLevel="1"/>
    <col min="24" max="24" width="5" style="7" hidden="1" customWidth="1" outlineLevel="1"/>
    <col min="25" max="25" width="4.5" style="7" hidden="1" customWidth="1" outlineLevel="1"/>
    <col min="26" max="28" width="7.25" style="1" hidden="1" customWidth="1" outlineLevel="1"/>
    <col min="29" max="29" width="13.875" style="60" customWidth="1" collapsed="1"/>
    <col min="30" max="47" width="20.625" style="7" customWidth="1"/>
    <col min="48" max="16384" width="9" style="7"/>
  </cols>
  <sheetData>
    <row r="1" spans="2:47" s="23" customFormat="1" ht="20.100000000000001" customHeight="1">
      <c r="H1" s="25"/>
      <c r="I1" s="36"/>
      <c r="J1" s="25"/>
      <c r="K1" s="25"/>
      <c r="L1" s="36"/>
      <c r="M1" s="25"/>
      <c r="N1" s="25"/>
      <c r="O1" s="36"/>
      <c r="P1" s="25"/>
      <c r="Q1" s="36"/>
      <c r="R1" s="25"/>
      <c r="S1" s="25"/>
      <c r="T1" s="25"/>
      <c r="V1" s="25"/>
      <c r="AC1" s="54"/>
    </row>
    <row r="2" spans="2:47" s="23" customFormat="1" ht="20.100000000000001" customHeight="1">
      <c r="F2" s="63"/>
      <c r="H2" s="25"/>
      <c r="I2" s="36"/>
      <c r="J2" s="25"/>
      <c r="K2" s="25"/>
      <c r="L2" s="36"/>
      <c r="M2" s="25"/>
      <c r="N2" s="25"/>
      <c r="O2" s="36"/>
      <c r="P2" s="25"/>
      <c r="Q2" s="36"/>
      <c r="R2" s="25"/>
      <c r="S2" s="25"/>
      <c r="T2" s="25"/>
      <c r="V2" s="25"/>
      <c r="Z2" s="23" t="s">
        <v>87</v>
      </c>
      <c r="AA2" s="102">
        <v>46204</v>
      </c>
      <c r="AC2" s="54"/>
    </row>
    <row r="3" spans="2:47" s="23" customFormat="1" ht="20.100000000000001" customHeight="1" thickBot="1">
      <c r="H3" s="25"/>
      <c r="I3" s="36"/>
      <c r="J3" s="25"/>
      <c r="K3" s="25"/>
      <c r="L3" s="36"/>
      <c r="M3" s="25"/>
      <c r="N3" s="25"/>
      <c r="O3" s="36"/>
      <c r="P3" s="25"/>
      <c r="Q3" s="36"/>
      <c r="R3" s="25"/>
      <c r="S3" s="25"/>
      <c r="T3" s="25"/>
      <c r="V3" s="25"/>
      <c r="Z3" s="23" t="s">
        <v>86</v>
      </c>
      <c r="AA3" s="102">
        <v>46234</v>
      </c>
      <c r="AC3" s="54"/>
    </row>
    <row r="4" spans="2:47" s="104" customFormat="1" ht="22.5" customHeight="1">
      <c r="B4" s="187" t="s">
        <v>16</v>
      </c>
      <c r="C4" s="173" t="s">
        <v>17</v>
      </c>
      <c r="D4" s="173" t="s">
        <v>18</v>
      </c>
      <c r="E4" s="173" t="s">
        <v>19</v>
      </c>
      <c r="F4" s="173" t="s">
        <v>20</v>
      </c>
      <c r="G4" s="173" t="s">
        <v>49</v>
      </c>
      <c r="H4" s="179" t="s">
        <v>21</v>
      </c>
      <c r="I4" s="182" t="s">
        <v>22</v>
      </c>
      <c r="J4" s="185" t="s">
        <v>71</v>
      </c>
      <c r="K4" s="185" t="s">
        <v>23</v>
      </c>
      <c r="L4" s="186" t="s">
        <v>9</v>
      </c>
      <c r="M4" s="179" t="s">
        <v>24</v>
      </c>
      <c r="N4" s="179" t="s">
        <v>25</v>
      </c>
      <c r="O4" s="182" t="s">
        <v>26</v>
      </c>
      <c r="P4" s="179" t="s">
        <v>27</v>
      </c>
      <c r="Q4" s="182" t="s">
        <v>28</v>
      </c>
      <c r="R4" s="179" t="s">
        <v>29</v>
      </c>
      <c r="S4" s="179" t="s">
        <v>30</v>
      </c>
      <c r="T4" s="179" t="s">
        <v>31</v>
      </c>
      <c r="U4" s="173" t="s">
        <v>32</v>
      </c>
      <c r="V4" s="179" t="s">
        <v>33</v>
      </c>
      <c r="W4" s="173" t="s">
        <v>34</v>
      </c>
      <c r="X4" s="173" t="s">
        <v>35</v>
      </c>
      <c r="Y4" s="173" t="s">
        <v>36</v>
      </c>
      <c r="Z4" s="173" t="s">
        <v>37</v>
      </c>
      <c r="AA4" s="173" t="s">
        <v>38</v>
      </c>
      <c r="AB4" s="176" t="s">
        <v>39</v>
      </c>
      <c r="AC4" s="135" t="s">
        <v>0</v>
      </c>
      <c r="AD4" s="104">
        <v>46204</v>
      </c>
      <c r="AE4" s="104">
        <v>46211</v>
      </c>
      <c r="AF4" s="104">
        <v>46230</v>
      </c>
    </row>
    <row r="5" spans="2:47" s="104" customFormat="1" ht="20.100000000000001" customHeight="1">
      <c r="B5" s="188"/>
      <c r="C5" s="174"/>
      <c r="D5" s="174"/>
      <c r="E5" s="174"/>
      <c r="F5" s="174"/>
      <c r="G5" s="174"/>
      <c r="H5" s="180"/>
      <c r="I5" s="183"/>
      <c r="J5" s="180"/>
      <c r="K5" s="180"/>
      <c r="L5" s="183"/>
      <c r="M5" s="180"/>
      <c r="N5" s="180"/>
      <c r="O5" s="183"/>
      <c r="P5" s="180"/>
      <c r="Q5" s="183"/>
      <c r="R5" s="180"/>
      <c r="S5" s="180"/>
      <c r="T5" s="180"/>
      <c r="U5" s="174"/>
      <c r="V5" s="180"/>
      <c r="W5" s="174"/>
      <c r="X5" s="174"/>
      <c r="Y5" s="174"/>
      <c r="Z5" s="174"/>
      <c r="AA5" s="174"/>
      <c r="AB5" s="177"/>
      <c r="AC5" s="135" t="s">
        <v>1</v>
      </c>
      <c r="AD5" s="104" t="s">
        <v>547</v>
      </c>
      <c r="AE5" s="104" t="s">
        <v>614</v>
      </c>
      <c r="AF5" s="104" t="s">
        <v>614</v>
      </c>
    </row>
    <row r="6" spans="2:47" ht="15" customHeight="1">
      <c r="B6" s="188"/>
      <c r="C6" s="174"/>
      <c r="D6" s="174"/>
      <c r="E6" s="174"/>
      <c r="F6" s="174"/>
      <c r="G6" s="174"/>
      <c r="H6" s="180"/>
      <c r="I6" s="183"/>
      <c r="J6" s="180"/>
      <c r="K6" s="180"/>
      <c r="L6" s="183"/>
      <c r="M6" s="180"/>
      <c r="N6" s="180"/>
      <c r="O6" s="183"/>
      <c r="P6" s="180"/>
      <c r="Q6" s="183"/>
      <c r="R6" s="180"/>
      <c r="S6" s="180"/>
      <c r="T6" s="180"/>
      <c r="U6" s="174"/>
      <c r="V6" s="180"/>
      <c r="W6" s="174"/>
      <c r="X6" s="174"/>
      <c r="Y6" s="174"/>
      <c r="Z6" s="174"/>
      <c r="AA6" s="174"/>
      <c r="AB6" s="177"/>
      <c r="AC6" s="58" t="s">
        <v>2</v>
      </c>
      <c r="AD6" s="17" t="str">
        <f>IFERROR(INDEX($C$13:$C$329,MATCH(SUM(AD$13:AD$329),AD$13:AD$329,0),1),"")</f>
        <v>CKCODLC0019487</v>
      </c>
      <c r="AE6" s="17" t="str">
        <f t="shared" ref="AE6:AF6" si="0">IFERROR(INDEX($C$13:$C$329,MATCH(SUM(AE$13:AE$329),AE$13:AE$329,0),1),"")</f>
        <v>CKCODLC0019487</v>
      </c>
      <c r="AF6" s="17" t="str">
        <f t="shared" si="0"/>
        <v>CKCODLC0019487</v>
      </c>
      <c r="AG6" s="17" t="str">
        <f t="shared" ref="AG6:AU6" si="1">IFERROR(INDEX($C$13:$C$329,MATCH(SUM(AG$13:AG$329),AG$13:AG$329,0),1),"")</f>
        <v/>
      </c>
      <c r="AH6" s="17" t="str">
        <f t="shared" si="1"/>
        <v/>
      </c>
      <c r="AI6" s="17" t="str">
        <f t="shared" si="1"/>
        <v/>
      </c>
      <c r="AJ6" s="17" t="str">
        <f t="shared" si="1"/>
        <v/>
      </c>
      <c r="AK6" s="17" t="str">
        <f t="shared" si="1"/>
        <v/>
      </c>
      <c r="AL6" s="17" t="str">
        <f t="shared" si="1"/>
        <v/>
      </c>
      <c r="AM6" s="17" t="str">
        <f t="shared" si="1"/>
        <v/>
      </c>
      <c r="AN6" s="17" t="str">
        <f t="shared" si="1"/>
        <v/>
      </c>
      <c r="AO6" s="17" t="str">
        <f t="shared" si="1"/>
        <v/>
      </c>
      <c r="AP6" s="17" t="str">
        <f t="shared" si="1"/>
        <v/>
      </c>
      <c r="AQ6" s="17" t="str">
        <f t="shared" si="1"/>
        <v/>
      </c>
      <c r="AR6" s="17" t="str">
        <f t="shared" si="1"/>
        <v/>
      </c>
      <c r="AS6" s="17" t="str">
        <f t="shared" si="1"/>
        <v/>
      </c>
      <c r="AT6" s="17" t="str">
        <f t="shared" si="1"/>
        <v/>
      </c>
      <c r="AU6" s="17" t="str">
        <f t="shared" si="1"/>
        <v/>
      </c>
    </row>
    <row r="7" spans="2:47" ht="15" customHeight="1">
      <c r="B7" s="188"/>
      <c r="C7" s="174"/>
      <c r="D7" s="174"/>
      <c r="E7" s="174"/>
      <c r="F7" s="174"/>
      <c r="G7" s="174"/>
      <c r="H7" s="180"/>
      <c r="I7" s="183"/>
      <c r="J7" s="180"/>
      <c r="K7" s="180"/>
      <c r="L7" s="183"/>
      <c r="M7" s="180"/>
      <c r="N7" s="180"/>
      <c r="O7" s="183"/>
      <c r="P7" s="180"/>
      <c r="Q7" s="183"/>
      <c r="R7" s="180"/>
      <c r="S7" s="180"/>
      <c r="T7" s="180"/>
      <c r="U7" s="174"/>
      <c r="V7" s="180"/>
      <c r="W7" s="174"/>
      <c r="X7" s="174"/>
      <c r="Y7" s="174"/>
      <c r="Z7" s="174"/>
      <c r="AA7" s="174"/>
      <c r="AB7" s="177"/>
      <c r="AC7" s="58" t="s">
        <v>3</v>
      </c>
      <c r="AD7" s="101" t="str">
        <f t="shared" ref="AD7:AU7" si="2">IFERROR(INDEX($F$13:$F$329,MATCH(SUM(AD$13:AD$329),AD$13:AD$329,0),1),"")</f>
        <v>산화마그네슘</v>
      </c>
      <c r="AE7" s="101" t="str">
        <f t="shared" si="2"/>
        <v>산화마그네슘</v>
      </c>
      <c r="AF7" s="101" t="str">
        <f t="shared" si="2"/>
        <v>산화마그네슘</v>
      </c>
      <c r="AG7" s="101" t="str">
        <f t="shared" si="2"/>
        <v/>
      </c>
      <c r="AH7" s="101" t="str">
        <f t="shared" si="2"/>
        <v/>
      </c>
      <c r="AI7" s="101" t="str">
        <f t="shared" si="2"/>
        <v/>
      </c>
      <c r="AJ7" s="101" t="str">
        <f t="shared" si="2"/>
        <v/>
      </c>
      <c r="AK7" s="101" t="str">
        <f t="shared" si="2"/>
        <v/>
      </c>
      <c r="AL7" s="101" t="str">
        <f t="shared" si="2"/>
        <v/>
      </c>
      <c r="AM7" s="101" t="str">
        <f t="shared" si="2"/>
        <v/>
      </c>
      <c r="AN7" s="101" t="str">
        <f t="shared" si="2"/>
        <v/>
      </c>
      <c r="AO7" s="101" t="str">
        <f t="shared" si="2"/>
        <v/>
      </c>
      <c r="AP7" s="101" t="str">
        <f t="shared" si="2"/>
        <v/>
      </c>
      <c r="AQ7" s="101" t="str">
        <f t="shared" si="2"/>
        <v/>
      </c>
      <c r="AR7" s="101" t="str">
        <f t="shared" si="2"/>
        <v/>
      </c>
      <c r="AS7" s="101" t="str">
        <f t="shared" si="2"/>
        <v/>
      </c>
      <c r="AT7" s="101" t="str">
        <f t="shared" si="2"/>
        <v/>
      </c>
      <c r="AU7" s="101" t="str">
        <f t="shared" si="2"/>
        <v/>
      </c>
    </row>
    <row r="8" spans="2:47" ht="15" customHeight="1">
      <c r="B8" s="188"/>
      <c r="C8" s="174"/>
      <c r="D8" s="174"/>
      <c r="E8" s="174"/>
      <c r="F8" s="174"/>
      <c r="G8" s="174"/>
      <c r="H8" s="180"/>
      <c r="I8" s="183"/>
      <c r="J8" s="180"/>
      <c r="K8" s="180"/>
      <c r="L8" s="183"/>
      <c r="M8" s="180"/>
      <c r="N8" s="180"/>
      <c r="O8" s="183"/>
      <c r="P8" s="180"/>
      <c r="Q8" s="183"/>
      <c r="R8" s="180"/>
      <c r="S8" s="180"/>
      <c r="T8" s="180"/>
      <c r="U8" s="174"/>
      <c r="V8" s="180"/>
      <c r="W8" s="174"/>
      <c r="X8" s="174"/>
      <c r="Y8" s="174"/>
      <c r="Z8" s="174"/>
      <c r="AA8" s="174"/>
      <c r="AB8" s="177"/>
      <c r="AC8" s="59" t="s">
        <v>4</v>
      </c>
      <c r="AD8" s="48">
        <f t="shared" ref="AD8:AU8" si="3">IFERROR(SUM(AD$13:AD$329),"")</f>
        <v>10</v>
      </c>
      <c r="AE8" s="48">
        <f t="shared" si="3"/>
        <v>2</v>
      </c>
      <c r="AF8" s="48">
        <f t="shared" si="3"/>
        <v>2</v>
      </c>
      <c r="AG8" s="48">
        <f t="shared" si="3"/>
        <v>0</v>
      </c>
      <c r="AH8" s="48">
        <f t="shared" si="3"/>
        <v>0</v>
      </c>
      <c r="AI8" s="48">
        <f t="shared" si="3"/>
        <v>0</v>
      </c>
      <c r="AJ8" s="48">
        <f t="shared" si="3"/>
        <v>0</v>
      </c>
      <c r="AK8" s="48">
        <f t="shared" si="3"/>
        <v>0</v>
      </c>
      <c r="AL8" s="48">
        <f t="shared" si="3"/>
        <v>0</v>
      </c>
      <c r="AM8" s="48">
        <f t="shared" si="3"/>
        <v>0</v>
      </c>
      <c r="AN8" s="48">
        <f t="shared" si="3"/>
        <v>0</v>
      </c>
      <c r="AO8" s="48">
        <f t="shared" si="3"/>
        <v>0</v>
      </c>
      <c r="AP8" s="48">
        <f t="shared" si="3"/>
        <v>0</v>
      </c>
      <c r="AQ8" s="48">
        <f t="shared" si="3"/>
        <v>0</v>
      </c>
      <c r="AR8" s="48">
        <f t="shared" si="3"/>
        <v>0</v>
      </c>
      <c r="AS8" s="48">
        <f t="shared" si="3"/>
        <v>0</v>
      </c>
      <c r="AT8" s="48">
        <f t="shared" si="3"/>
        <v>0</v>
      </c>
      <c r="AU8" s="48">
        <f t="shared" si="3"/>
        <v>0</v>
      </c>
    </row>
    <row r="9" spans="2:47" ht="15" customHeight="1">
      <c r="B9" s="188"/>
      <c r="C9" s="174"/>
      <c r="D9" s="174"/>
      <c r="E9" s="174"/>
      <c r="F9" s="174"/>
      <c r="G9" s="174"/>
      <c r="H9" s="180"/>
      <c r="I9" s="183"/>
      <c r="J9" s="180"/>
      <c r="K9" s="180"/>
      <c r="L9" s="183"/>
      <c r="M9" s="180"/>
      <c r="N9" s="180"/>
      <c r="O9" s="183"/>
      <c r="P9" s="180"/>
      <c r="Q9" s="183"/>
      <c r="R9" s="180"/>
      <c r="S9" s="180"/>
      <c r="T9" s="180"/>
      <c r="U9" s="174"/>
      <c r="V9" s="180"/>
      <c r="W9" s="174"/>
      <c r="X9" s="174"/>
      <c r="Y9" s="174"/>
      <c r="Z9" s="174"/>
      <c r="AA9" s="174"/>
      <c r="AB9" s="177"/>
      <c r="AC9" s="58" t="s">
        <v>5</v>
      </c>
      <c r="AD9" s="20">
        <f t="shared" ref="AD9:AU9" si="4">IFERROR(ROUNDUP((SUM(AD13:AD329)/IFERROR(INDEX($V$13:$V$329,MATCH(SUM(AD$13:AD$329),AD$13:AD$329,0),1),"")),0),"")</f>
        <v>10</v>
      </c>
      <c r="AE9" s="20">
        <f t="shared" si="4"/>
        <v>2</v>
      </c>
      <c r="AF9" s="20">
        <f t="shared" si="4"/>
        <v>2</v>
      </c>
      <c r="AG9" s="20" t="str">
        <f t="shared" si="4"/>
        <v/>
      </c>
      <c r="AH9" s="20" t="str">
        <f t="shared" si="4"/>
        <v/>
      </c>
      <c r="AI9" s="20" t="str">
        <f t="shared" si="4"/>
        <v/>
      </c>
      <c r="AJ9" s="20" t="str">
        <f t="shared" si="4"/>
        <v/>
      </c>
      <c r="AK9" s="20" t="str">
        <f t="shared" si="4"/>
        <v/>
      </c>
      <c r="AL9" s="20" t="str">
        <f t="shared" si="4"/>
        <v/>
      </c>
      <c r="AM9" s="20" t="str">
        <f t="shared" si="4"/>
        <v/>
      </c>
      <c r="AN9" s="20" t="str">
        <f t="shared" si="4"/>
        <v/>
      </c>
      <c r="AO9" s="20" t="str">
        <f t="shared" si="4"/>
        <v/>
      </c>
      <c r="AP9" s="20" t="str">
        <f t="shared" si="4"/>
        <v/>
      </c>
      <c r="AQ9" s="20" t="str">
        <f t="shared" si="4"/>
        <v/>
      </c>
      <c r="AR9" s="20" t="str">
        <f t="shared" si="4"/>
        <v/>
      </c>
      <c r="AS9" s="20" t="str">
        <f t="shared" si="4"/>
        <v/>
      </c>
      <c r="AT9" s="20" t="str">
        <f t="shared" si="4"/>
        <v/>
      </c>
      <c r="AU9" s="20" t="str">
        <f t="shared" si="4"/>
        <v/>
      </c>
    </row>
    <row r="10" spans="2:47" ht="15" customHeight="1">
      <c r="B10" s="188"/>
      <c r="C10" s="174"/>
      <c r="D10" s="174"/>
      <c r="E10" s="174"/>
      <c r="F10" s="174"/>
      <c r="G10" s="174"/>
      <c r="H10" s="180"/>
      <c r="I10" s="183"/>
      <c r="J10" s="180"/>
      <c r="K10" s="180"/>
      <c r="L10" s="183"/>
      <c r="M10" s="180"/>
      <c r="N10" s="180"/>
      <c r="O10" s="183"/>
      <c r="P10" s="180"/>
      <c r="Q10" s="183"/>
      <c r="R10" s="180"/>
      <c r="S10" s="180"/>
      <c r="T10" s="180"/>
      <c r="U10" s="174"/>
      <c r="V10" s="180"/>
      <c r="W10" s="174"/>
      <c r="X10" s="174"/>
      <c r="Y10" s="174"/>
      <c r="Z10" s="174"/>
      <c r="AA10" s="174"/>
      <c r="AB10" s="177"/>
      <c r="AC10" s="58" t="s">
        <v>6</v>
      </c>
      <c r="AD10" s="17">
        <f t="shared" ref="AD10:AU10" si="5">IFERROR(INDEX($W$13:$W$329,MATCH(SUM(AD$13:AD$329),AD$13:AD$329,0),1),"")</f>
        <v>46100</v>
      </c>
      <c r="AE10" s="17">
        <f t="shared" si="5"/>
        <v>46100</v>
      </c>
      <c r="AF10" s="17">
        <f t="shared" si="5"/>
        <v>46100</v>
      </c>
      <c r="AG10" s="17" t="str">
        <f t="shared" si="5"/>
        <v/>
      </c>
      <c r="AH10" s="17" t="str">
        <f t="shared" si="5"/>
        <v/>
      </c>
      <c r="AI10" s="17" t="str">
        <f t="shared" si="5"/>
        <v/>
      </c>
      <c r="AJ10" s="17" t="str">
        <f t="shared" si="5"/>
        <v/>
      </c>
      <c r="AK10" s="17" t="str">
        <f t="shared" si="5"/>
        <v/>
      </c>
      <c r="AL10" s="17" t="str">
        <f t="shared" si="5"/>
        <v/>
      </c>
      <c r="AM10" s="17" t="str">
        <f t="shared" si="5"/>
        <v/>
      </c>
      <c r="AN10" s="17" t="str">
        <f t="shared" si="5"/>
        <v/>
      </c>
      <c r="AO10" s="17" t="str">
        <f t="shared" si="5"/>
        <v/>
      </c>
      <c r="AP10" s="17" t="str">
        <f t="shared" si="5"/>
        <v/>
      </c>
      <c r="AQ10" s="17" t="str">
        <f t="shared" si="5"/>
        <v/>
      </c>
      <c r="AR10" s="17" t="str">
        <f t="shared" si="5"/>
        <v/>
      </c>
      <c r="AS10" s="17" t="str">
        <f t="shared" si="5"/>
        <v/>
      </c>
      <c r="AT10" s="17" t="str">
        <f t="shared" si="5"/>
        <v/>
      </c>
      <c r="AU10" s="17" t="str">
        <f t="shared" si="5"/>
        <v/>
      </c>
    </row>
    <row r="11" spans="2:47" ht="15" customHeight="1">
      <c r="B11" s="188"/>
      <c r="C11" s="174"/>
      <c r="D11" s="174"/>
      <c r="E11" s="174"/>
      <c r="F11" s="174"/>
      <c r="G11" s="174"/>
      <c r="H11" s="180"/>
      <c r="I11" s="183"/>
      <c r="J11" s="180"/>
      <c r="K11" s="180"/>
      <c r="L11" s="183"/>
      <c r="M11" s="180"/>
      <c r="N11" s="180"/>
      <c r="O11" s="183"/>
      <c r="P11" s="180"/>
      <c r="Q11" s="183"/>
      <c r="R11" s="180"/>
      <c r="S11" s="180"/>
      <c r="T11" s="180"/>
      <c r="U11" s="174"/>
      <c r="V11" s="180"/>
      <c r="W11" s="174"/>
      <c r="X11" s="174"/>
      <c r="Y11" s="174"/>
      <c r="Z11" s="174"/>
      <c r="AA11" s="174"/>
      <c r="AB11" s="177"/>
      <c r="AC11" s="58" t="s">
        <v>7</v>
      </c>
      <c r="AD11" s="20">
        <f t="shared" ref="AD11:AU11" ca="1" si="6">IF(AD5="","",IF(AD10&gt;AD4,"프리타임 기간내 출고",IF(DATE(YEAR(AD4),MONTH(AD4),1)&gt;DATE(YEAR(AD10),MONTH(AD10),1),DATEDIF(DATE(YEAR(NOW()),MONTH(NOW()),1),(AD4)+1,"D"),DATEDIF(AD10,AD4+1,"D"))))</f>
        <v>1</v>
      </c>
      <c r="AE11" s="20">
        <f t="shared" ca="1" si="6"/>
        <v>8</v>
      </c>
      <c r="AF11" s="20">
        <f t="shared" ca="1" si="6"/>
        <v>27</v>
      </c>
      <c r="AG11" s="20" t="str">
        <f t="shared" ca="1" si="6"/>
        <v/>
      </c>
      <c r="AH11" s="20" t="str">
        <f t="shared" ca="1" si="6"/>
        <v/>
      </c>
      <c r="AI11" s="20" t="str">
        <f t="shared" ca="1" si="6"/>
        <v/>
      </c>
      <c r="AJ11" s="20" t="str">
        <f t="shared" ca="1" si="6"/>
        <v/>
      </c>
      <c r="AK11" s="20" t="str">
        <f t="shared" ca="1" si="6"/>
        <v/>
      </c>
      <c r="AL11" s="20" t="str">
        <f t="shared" ca="1" si="6"/>
        <v/>
      </c>
      <c r="AM11" s="20" t="str">
        <f t="shared" ca="1" si="6"/>
        <v/>
      </c>
      <c r="AN11" s="20" t="str">
        <f t="shared" ca="1" si="6"/>
        <v/>
      </c>
      <c r="AO11" s="20" t="str">
        <f t="shared" ca="1" si="6"/>
        <v/>
      </c>
      <c r="AP11" s="20" t="str">
        <f t="shared" ca="1" si="6"/>
        <v/>
      </c>
      <c r="AQ11" s="20" t="str">
        <f t="shared" ca="1" si="6"/>
        <v/>
      </c>
      <c r="AR11" s="20" t="str">
        <f t="shared" ca="1" si="6"/>
        <v/>
      </c>
      <c r="AS11" s="20" t="str">
        <f t="shared" ca="1" si="6"/>
        <v/>
      </c>
      <c r="AT11" s="20" t="str">
        <f t="shared" ca="1" si="6"/>
        <v/>
      </c>
      <c r="AU11" s="20" t="str">
        <f t="shared" ca="1" si="6"/>
        <v/>
      </c>
    </row>
    <row r="12" spans="2:47" ht="15" customHeight="1" thickBot="1">
      <c r="B12" s="189"/>
      <c r="C12" s="175"/>
      <c r="D12" s="175"/>
      <c r="E12" s="175"/>
      <c r="F12" s="175"/>
      <c r="G12" s="175"/>
      <c r="H12" s="181"/>
      <c r="I12" s="184"/>
      <c r="J12" s="181"/>
      <c r="K12" s="181"/>
      <c r="L12" s="184"/>
      <c r="M12" s="181"/>
      <c r="N12" s="181"/>
      <c r="O12" s="184"/>
      <c r="P12" s="181"/>
      <c r="Q12" s="184"/>
      <c r="R12" s="181"/>
      <c r="S12" s="181"/>
      <c r="T12" s="181"/>
      <c r="U12" s="175"/>
      <c r="V12" s="181"/>
      <c r="W12" s="175"/>
      <c r="X12" s="175"/>
      <c r="Y12" s="175"/>
      <c r="Z12" s="175"/>
      <c r="AA12" s="175"/>
      <c r="AB12" s="178"/>
      <c r="AC12" s="100" t="s">
        <v>8</v>
      </c>
      <c r="AD12" s="19">
        <f t="shared" ref="AD12:AU12" ca="1" si="7">IFERROR(AD11*AD9*(INDEX($Y$13:$Y$329,MATCH(SUM(AD$13:AD$329),AD$13:AD$329,0),1)),"")</f>
        <v>3000</v>
      </c>
      <c r="AE12" s="19">
        <f t="shared" ca="1" si="7"/>
        <v>4800</v>
      </c>
      <c r="AF12" s="19">
        <f t="shared" ca="1" si="7"/>
        <v>16200</v>
      </c>
      <c r="AG12" s="19" t="str">
        <f t="shared" ca="1" si="7"/>
        <v/>
      </c>
      <c r="AH12" s="19" t="str">
        <f t="shared" ca="1" si="7"/>
        <v/>
      </c>
      <c r="AI12" s="19" t="str">
        <f t="shared" ca="1" si="7"/>
        <v/>
      </c>
      <c r="AJ12" s="19" t="str">
        <f t="shared" ca="1" si="7"/>
        <v/>
      </c>
      <c r="AK12" s="19" t="str">
        <f t="shared" ca="1" si="7"/>
        <v/>
      </c>
      <c r="AL12" s="19" t="str">
        <f t="shared" ca="1" si="7"/>
        <v/>
      </c>
      <c r="AM12" s="19" t="str">
        <f t="shared" ca="1" si="7"/>
        <v/>
      </c>
      <c r="AN12" s="19" t="str">
        <f t="shared" ca="1" si="7"/>
        <v/>
      </c>
      <c r="AO12" s="19" t="str">
        <f t="shared" ca="1" si="7"/>
        <v/>
      </c>
      <c r="AP12" s="19" t="str">
        <f t="shared" ca="1" si="7"/>
        <v/>
      </c>
      <c r="AQ12" s="19" t="str">
        <f t="shared" ca="1" si="7"/>
        <v/>
      </c>
      <c r="AR12" s="19" t="str">
        <f t="shared" ca="1" si="7"/>
        <v/>
      </c>
      <c r="AS12" s="19" t="str">
        <f t="shared" ca="1" si="7"/>
        <v/>
      </c>
      <c r="AT12" s="19" t="str">
        <f t="shared" ca="1" si="7"/>
        <v/>
      </c>
      <c r="AU12" s="19" t="str">
        <f t="shared" ca="1" si="7"/>
        <v/>
      </c>
    </row>
    <row r="13" spans="2:47" s="2" customFormat="1" ht="20.100000000000001" customHeight="1" thickTop="1">
      <c r="B13" s="122">
        <v>45902</v>
      </c>
      <c r="C13" s="123" t="s">
        <v>233</v>
      </c>
      <c r="D13" s="124"/>
      <c r="E13" s="125" t="s">
        <v>235</v>
      </c>
      <c r="F13" s="126" t="s">
        <v>234</v>
      </c>
      <c r="G13" s="8" t="str">
        <f t="shared" ref="G13" si="8">C13&amp;F13</f>
        <v>F2-250902벌집상자</v>
      </c>
      <c r="H13" s="28">
        <v>2</v>
      </c>
      <c r="I13" s="41">
        <f t="shared" ref="I13" si="9">ROUNDUP((H13/V13),0)</f>
        <v>2</v>
      </c>
      <c r="J13" s="29">
        <v>0</v>
      </c>
      <c r="K13" s="29">
        <v>0</v>
      </c>
      <c r="L13" s="41">
        <f t="shared" ref="L13" si="10">ROUNDUP((K13/V13),0)</f>
        <v>0</v>
      </c>
      <c r="M13" s="29">
        <v>0</v>
      </c>
      <c r="N13" s="31">
        <f t="shared" ref="N13" si="11">P13-K13+M13</f>
        <v>2</v>
      </c>
      <c r="O13" s="42">
        <f t="shared" ref="O13" si="12">ROUNDUP((N13/V13),0)</f>
        <v>2</v>
      </c>
      <c r="P13" s="31">
        <f t="shared" ref="P13" si="13">H13-T13</f>
        <v>2</v>
      </c>
      <c r="Q13" s="42">
        <f t="shared" ref="Q13" si="14">L13+O13</f>
        <v>2</v>
      </c>
      <c r="R13" s="28">
        <v>0</v>
      </c>
      <c r="S13" s="97">
        <f t="shared" ref="S13:S18" si="15">SUM(AD13:AG13)</f>
        <v>0</v>
      </c>
      <c r="T13" s="97">
        <f t="shared" ref="T13" si="16">R13+S13+J13+M13</f>
        <v>0</v>
      </c>
      <c r="U13" s="96" t="s">
        <v>236</v>
      </c>
      <c r="V13" s="28">
        <v>1</v>
      </c>
      <c r="W13" s="95">
        <f t="shared" ref="W13" si="17">B13+X13</f>
        <v>45902</v>
      </c>
      <c r="X13" s="79">
        <v>0</v>
      </c>
      <c r="Y13" s="79">
        <v>400</v>
      </c>
      <c r="Z13" s="2">
        <f t="shared" ref="Z13:Z18" si="18">SUMIF($AD$6:$CL$6,G13,$AD$12:$CL$12)</f>
        <v>0</v>
      </c>
      <c r="AA13" s="2">
        <f t="shared" ref="AA13" ca="1" si="19">IF(W13&gt;TODAY(),"프리타임기간중",Q13*Y13*IF(DATE(YEAR(W13),MONTH(W13),1)&lt;DATE(YEAR($AA$2),MONTH($AA$2),1),DATEDIF($AA$2,$AA$3,"D")+1,DATEDIF(W13,$AA$3+1,"d")))</f>
        <v>24800</v>
      </c>
      <c r="AB13" s="2">
        <f t="shared" ref="AB13" ca="1" si="20">IFERROR(Z13+AA13,"")</f>
        <v>24800</v>
      </c>
      <c r="AC13" s="103"/>
    </row>
    <row r="14" spans="2:47" s="2" customFormat="1" ht="20.100000000000001" customHeight="1">
      <c r="B14" s="143">
        <v>45982</v>
      </c>
      <c r="C14" s="144" t="s">
        <v>318</v>
      </c>
      <c r="D14" s="145" t="s">
        <v>317</v>
      </c>
      <c r="E14" s="146" t="s">
        <v>235</v>
      </c>
      <c r="F14" s="147" t="s">
        <v>266</v>
      </c>
      <c r="G14" s="8" t="str">
        <f t="shared" ref="G14" si="21">C14&amp;F14</f>
        <v>PNCHCM2501038벌집상자(450G)-불량</v>
      </c>
      <c r="H14" s="28">
        <v>1</v>
      </c>
      <c r="I14" s="41">
        <f t="shared" ref="I14" si="22">ROUNDUP((H14/V14),0)</f>
        <v>1</v>
      </c>
      <c r="J14" s="29">
        <v>0</v>
      </c>
      <c r="K14" s="29">
        <v>0</v>
      </c>
      <c r="L14" s="41">
        <f t="shared" ref="L14" si="23">ROUNDUP((K14/V14),0)</f>
        <v>0</v>
      </c>
      <c r="M14" s="29">
        <v>0</v>
      </c>
      <c r="N14" s="31">
        <f t="shared" ref="N14" si="24">P14-K14+M14</f>
        <v>1</v>
      </c>
      <c r="O14" s="42">
        <f t="shared" ref="O14" si="25">ROUNDUP((N14/V14),0)</f>
        <v>1</v>
      </c>
      <c r="P14" s="31">
        <f t="shared" ref="P14" si="26">H14-T14</f>
        <v>1</v>
      </c>
      <c r="Q14" s="42">
        <f t="shared" ref="Q14" si="27">L14+O14</f>
        <v>1</v>
      </c>
      <c r="R14" s="28">
        <v>0</v>
      </c>
      <c r="S14" s="97">
        <f t="shared" si="15"/>
        <v>0</v>
      </c>
      <c r="T14" s="97">
        <f t="shared" ref="T14" si="28">R14+S14+J14+M14</f>
        <v>0</v>
      </c>
      <c r="U14" s="96" t="s">
        <v>268</v>
      </c>
      <c r="V14" s="28">
        <v>1</v>
      </c>
      <c r="W14" s="95">
        <f t="shared" ref="W14" si="29">B14+X14</f>
        <v>45982</v>
      </c>
      <c r="X14" s="79">
        <v>0</v>
      </c>
      <c r="Y14" s="79">
        <v>400</v>
      </c>
      <c r="Z14" s="2">
        <f t="shared" si="18"/>
        <v>0</v>
      </c>
      <c r="AA14" s="2">
        <f t="shared" ref="AA14" ca="1" si="30">IF(W14&gt;TODAY(),"프리타임기간중",Q14*Y14*IF(DATE(YEAR(W14),MONTH(W14),1)&lt;DATE(YEAR($AA$2),MONTH($AA$2),1),DATEDIF($AA$2,$AA$3,"D")+1,DATEDIF(W14,$AA$3+1,"d")))</f>
        <v>12400</v>
      </c>
      <c r="AB14" s="2">
        <f t="shared" ref="AB14" ca="1" si="31">IFERROR(Z14+AA14,"")</f>
        <v>12400</v>
      </c>
      <c r="AC14" s="103"/>
    </row>
    <row r="15" spans="2:47" s="2" customFormat="1" ht="20.100000000000001" customHeight="1">
      <c r="B15" s="143">
        <v>45982</v>
      </c>
      <c r="C15" s="144" t="s">
        <v>440</v>
      </c>
      <c r="D15" s="145" t="s">
        <v>317</v>
      </c>
      <c r="E15" s="146" t="s">
        <v>235</v>
      </c>
      <c r="F15" s="147" t="s">
        <v>267</v>
      </c>
      <c r="G15" s="8" t="str">
        <f t="shared" ref="G15" si="32">C15&amp;F15</f>
        <v>DFS064037587벌집상자(450G)</v>
      </c>
      <c r="H15" s="28">
        <v>6</v>
      </c>
      <c r="I15" s="41">
        <f t="shared" ref="I15" si="33">ROUNDUP((H15/V15),0)</f>
        <v>6</v>
      </c>
      <c r="J15" s="29">
        <v>0</v>
      </c>
      <c r="K15" s="29">
        <v>0</v>
      </c>
      <c r="L15" s="41">
        <f t="shared" ref="L15" si="34">ROUNDUP((K15/V15),0)</f>
        <v>0</v>
      </c>
      <c r="M15" s="29">
        <v>0</v>
      </c>
      <c r="N15" s="31">
        <f t="shared" ref="N15" si="35">P15-K15+M15</f>
        <v>5</v>
      </c>
      <c r="O15" s="42">
        <f t="shared" ref="O15" si="36">ROUNDUP((N15/V15),0)</f>
        <v>5</v>
      </c>
      <c r="P15" s="31">
        <f t="shared" ref="P15" si="37">H15-T15</f>
        <v>5</v>
      </c>
      <c r="Q15" s="42">
        <f t="shared" ref="Q15" si="38">L15+O15</f>
        <v>5</v>
      </c>
      <c r="R15" s="28">
        <v>1</v>
      </c>
      <c r="S15" s="97">
        <f t="shared" si="15"/>
        <v>0</v>
      </c>
      <c r="T15" s="97">
        <f t="shared" ref="T15" si="39">R15+S15+J15+M15</f>
        <v>1</v>
      </c>
      <c r="U15" s="96" t="s">
        <v>269</v>
      </c>
      <c r="V15" s="28">
        <v>1</v>
      </c>
      <c r="W15" s="95">
        <f t="shared" ref="W15" si="40">B15+X15</f>
        <v>45982</v>
      </c>
      <c r="X15" s="79">
        <v>0</v>
      </c>
      <c r="Y15" s="79">
        <v>400</v>
      </c>
      <c r="Z15" s="2">
        <f t="shared" si="18"/>
        <v>0</v>
      </c>
      <c r="AA15" s="2">
        <f t="shared" ref="AA15" ca="1" si="41">IF(W15&gt;TODAY(),"프리타임기간중",Q15*Y15*IF(DATE(YEAR(W15),MONTH(W15),1)&lt;DATE(YEAR($AA$2),MONTH($AA$2),1),DATEDIF($AA$2,$AA$3,"D")+1,DATEDIF(W15,$AA$3+1,"d")))</f>
        <v>62000</v>
      </c>
      <c r="AB15" s="2">
        <f t="shared" ref="AB15" ca="1" si="42">IFERROR(Z15+AA15,"")</f>
        <v>62000</v>
      </c>
      <c r="AC15" s="103"/>
    </row>
    <row r="16" spans="2:47" s="2" customFormat="1" ht="20.100000000000001" customHeight="1">
      <c r="B16" s="110">
        <v>46055</v>
      </c>
      <c r="C16" s="111" t="s">
        <v>280</v>
      </c>
      <c r="D16" s="112" t="s">
        <v>281</v>
      </c>
      <c r="E16" s="113" t="s">
        <v>282</v>
      </c>
      <c r="F16" s="114" t="s">
        <v>283</v>
      </c>
      <c r="G16" s="8" t="str">
        <f t="shared" ref="G16" si="43">C16&amp;F16</f>
        <v>DFS064042097HONEYCOMB</v>
      </c>
      <c r="H16" s="28">
        <v>4</v>
      </c>
      <c r="I16" s="41">
        <f t="shared" ref="I16" si="44">ROUNDUP((H16/V16),0)</f>
        <v>1</v>
      </c>
      <c r="J16" s="29">
        <v>0</v>
      </c>
      <c r="K16" s="29">
        <v>0</v>
      </c>
      <c r="L16" s="41">
        <f t="shared" ref="L16" si="45">ROUNDUP((K16/V16),0)</f>
        <v>0</v>
      </c>
      <c r="M16" s="29">
        <v>0</v>
      </c>
      <c r="N16" s="31">
        <f t="shared" ref="N16" si="46">P16-K16+M16</f>
        <v>3</v>
      </c>
      <c r="O16" s="42">
        <f t="shared" ref="O16" si="47">ROUNDUP((N16/V16),0)</f>
        <v>1</v>
      </c>
      <c r="P16" s="31">
        <f t="shared" ref="P16" si="48">H16-T16</f>
        <v>3</v>
      </c>
      <c r="Q16" s="42">
        <f t="shared" ref="Q16" si="49">L16+O16</f>
        <v>1</v>
      </c>
      <c r="R16" s="28">
        <v>1</v>
      </c>
      <c r="S16" s="97">
        <f t="shared" si="15"/>
        <v>0</v>
      </c>
      <c r="T16" s="97">
        <f t="shared" ref="T16" si="50">R16+S16+J16+M16</f>
        <v>1</v>
      </c>
      <c r="U16" s="96" t="s">
        <v>286</v>
      </c>
      <c r="V16" s="28">
        <v>4</v>
      </c>
      <c r="W16" s="95">
        <f t="shared" ref="W16" si="51">B16+X16</f>
        <v>46055</v>
      </c>
      <c r="X16" s="79">
        <v>0</v>
      </c>
      <c r="Y16" s="79">
        <v>400</v>
      </c>
      <c r="Z16" s="2">
        <f t="shared" si="18"/>
        <v>0</v>
      </c>
      <c r="AA16" s="2">
        <f t="shared" ref="AA16" ca="1" si="52">IF(W16&gt;TODAY(),"프리타임기간중",Q16*Y16*IF(DATE(YEAR(W16),MONTH(W16),1)&lt;DATE(YEAR($AA$2),MONTH($AA$2),1),DATEDIF($AA$2,$AA$3,"D")+1,DATEDIF(W16,$AA$3+1,"d")))</f>
        <v>12400</v>
      </c>
      <c r="AB16" s="2">
        <f t="shared" ref="AB16" ca="1" si="53">IFERROR(Z16+AA16,"")</f>
        <v>12400</v>
      </c>
      <c r="AC16" s="103"/>
    </row>
    <row r="17" spans="2:32" s="2" customFormat="1" ht="20.100000000000001" customHeight="1">
      <c r="B17" s="122">
        <v>46085</v>
      </c>
      <c r="C17" s="123" t="s">
        <v>311</v>
      </c>
      <c r="D17" s="124"/>
      <c r="E17" s="125" t="s">
        <v>263</v>
      </c>
      <c r="F17" s="126" t="s">
        <v>198</v>
      </c>
      <c r="G17" s="8" t="str">
        <f t="shared" ref="G17" si="54">C17&amp;F17</f>
        <v>CKCODLC0019487산화마그네슘</v>
      </c>
      <c r="H17" s="28">
        <v>60</v>
      </c>
      <c r="I17" s="41">
        <f t="shared" ref="I17" si="55">ROUNDUP((H17/V17),0)</f>
        <v>60</v>
      </c>
      <c r="J17" s="29">
        <v>0</v>
      </c>
      <c r="K17" s="29">
        <v>0</v>
      </c>
      <c r="L17" s="41">
        <f t="shared" ref="L17" si="56">ROUNDUP((K17/V17),0)</f>
        <v>0</v>
      </c>
      <c r="M17" s="29">
        <v>0</v>
      </c>
      <c r="N17" s="31">
        <f t="shared" ref="N17" si="57">P17-K17+M17</f>
        <v>5</v>
      </c>
      <c r="O17" s="42">
        <f t="shared" ref="O17" si="58">ROUNDUP((N17/V17),0)</f>
        <v>5</v>
      </c>
      <c r="P17" s="31">
        <f t="shared" ref="P17" si="59">H17-T17</f>
        <v>5</v>
      </c>
      <c r="Q17" s="42">
        <f t="shared" ref="Q17" si="60">L17+O17</f>
        <v>5</v>
      </c>
      <c r="R17" s="28">
        <v>41</v>
      </c>
      <c r="S17" s="97">
        <f t="shared" si="15"/>
        <v>14</v>
      </c>
      <c r="T17" s="97">
        <f t="shared" ref="T17" si="61">R17+S17+J17+M17</f>
        <v>55</v>
      </c>
      <c r="U17" s="96"/>
      <c r="V17" s="28">
        <v>1</v>
      </c>
      <c r="W17" s="95">
        <f t="shared" ref="W17" si="62">B17+X17</f>
        <v>46100</v>
      </c>
      <c r="X17" s="79">
        <v>15</v>
      </c>
      <c r="Y17" s="79">
        <v>300</v>
      </c>
      <c r="Z17" s="2">
        <f t="shared" si="18"/>
        <v>0</v>
      </c>
      <c r="AA17" s="2">
        <f t="shared" ref="AA17" ca="1" si="63">IF(W17&gt;TODAY(),"프리타임기간중",Q17*Y17*IF(DATE(YEAR(W17),MONTH(W17),1)&lt;DATE(YEAR($AA$2),MONTH($AA$2),1),DATEDIF($AA$2,$AA$3,"D")+1,DATEDIF(W17,$AA$3+1,"d")))</f>
        <v>46500</v>
      </c>
      <c r="AB17" s="2">
        <f t="shared" ref="AB17" ca="1" si="64">IFERROR(Z17+AA17,"")</f>
        <v>46500</v>
      </c>
      <c r="AC17" s="103"/>
      <c r="AD17" s="142">
        <v>10</v>
      </c>
      <c r="AE17" s="142">
        <v>2</v>
      </c>
      <c r="AF17" s="142">
        <v>2</v>
      </c>
    </row>
    <row r="18" spans="2:32" s="2" customFormat="1" ht="20.100000000000001" customHeight="1">
      <c r="B18" s="122">
        <v>46216</v>
      </c>
      <c r="C18" s="123" t="s">
        <v>704</v>
      </c>
      <c r="D18" s="124"/>
      <c r="E18" s="125" t="s">
        <v>705</v>
      </c>
      <c r="F18" s="126" t="s">
        <v>706</v>
      </c>
      <c r="G18" s="8" t="str">
        <f t="shared" ref="G18" si="65">C18&amp;F18</f>
        <v>PCSLDIC830260624산화마그네슘</v>
      </c>
      <c r="H18" s="28">
        <v>40</v>
      </c>
      <c r="I18" s="41">
        <f t="shared" ref="I18" si="66">ROUNDUP((H18/V18),0)</f>
        <v>40</v>
      </c>
      <c r="J18" s="29">
        <v>0</v>
      </c>
      <c r="K18" s="29">
        <v>0</v>
      </c>
      <c r="L18" s="41">
        <f t="shared" ref="L18" si="67">ROUNDUP((K18/V18),0)</f>
        <v>0</v>
      </c>
      <c r="M18" s="29">
        <v>0</v>
      </c>
      <c r="N18" s="31">
        <f t="shared" ref="N18" si="68">P18-K18+M18</f>
        <v>40</v>
      </c>
      <c r="O18" s="42">
        <f t="shared" ref="O18" si="69">ROUNDUP((N18/V18),0)</f>
        <v>40</v>
      </c>
      <c r="P18" s="31">
        <f t="shared" ref="P18" si="70">H18-T18</f>
        <v>40</v>
      </c>
      <c r="Q18" s="42">
        <f t="shared" ref="Q18" si="71">L18+O18</f>
        <v>40</v>
      </c>
      <c r="R18" s="28">
        <v>0</v>
      </c>
      <c r="S18" s="97">
        <f t="shared" si="15"/>
        <v>0</v>
      </c>
      <c r="T18" s="97">
        <f t="shared" ref="T18" si="72">R18+S18+J18+M18</f>
        <v>0</v>
      </c>
      <c r="U18" s="96"/>
      <c r="V18" s="28">
        <v>1</v>
      </c>
      <c r="W18" s="95">
        <f t="shared" ref="W18" si="73">B18+X18</f>
        <v>46231</v>
      </c>
      <c r="X18" s="79">
        <v>15</v>
      </c>
      <c r="Y18" s="79">
        <v>300</v>
      </c>
      <c r="Z18" s="2">
        <f t="shared" si="18"/>
        <v>0</v>
      </c>
      <c r="AA18" s="2">
        <f t="shared" ref="AA18" ca="1" si="74">IF(W18&gt;TODAY(),"프리타임기간중",Q18*Y18*IF(DATE(YEAR(W18),MONTH(W18),1)&lt;DATE(YEAR($AA$2),MONTH($AA$2),1),DATEDIF($AA$2,$AA$3,"D")+1,DATEDIF(W18,$AA$3+1,"d")))</f>
        <v>48000</v>
      </c>
      <c r="AB18" s="2">
        <f t="shared" ref="AB18" ca="1" si="75">IFERROR(Z18+AA18,"")</f>
        <v>48000</v>
      </c>
      <c r="AC18" s="103"/>
    </row>
    <row r="19" spans="2:32" s="2" customFormat="1" ht="20.100000000000001" customHeight="1">
      <c r="B19" s="81"/>
      <c r="C19" s="99"/>
      <c r="D19" s="98"/>
      <c r="E19" s="79"/>
      <c r="F19" s="8"/>
      <c r="G19" s="8" t="str">
        <f t="shared" ref="G19" si="76">C19&amp;F19</f>
        <v/>
      </c>
      <c r="H19" s="28"/>
      <c r="I19" s="41">
        <f t="shared" ref="I19" si="77">ROUNDUP((H19/V19),0)</f>
        <v>0</v>
      </c>
      <c r="J19" s="29">
        <v>0</v>
      </c>
      <c r="K19" s="29">
        <v>0</v>
      </c>
      <c r="L19" s="41">
        <f t="shared" ref="L19" si="78">ROUNDUP((K19/V19),0)</f>
        <v>0</v>
      </c>
      <c r="M19" s="29">
        <v>0</v>
      </c>
      <c r="N19" s="31">
        <f t="shared" ref="N19" si="79">P19-K19+M19</f>
        <v>0</v>
      </c>
      <c r="O19" s="42">
        <f t="shared" ref="O19" si="80">ROUNDUP((N19/V19),0)</f>
        <v>0</v>
      </c>
      <c r="P19" s="31">
        <f t="shared" ref="P19" si="81">H19-T19</f>
        <v>0</v>
      </c>
      <c r="Q19" s="42">
        <f t="shared" ref="Q19" si="82">L19+O19</f>
        <v>0</v>
      </c>
      <c r="R19" s="28">
        <v>0</v>
      </c>
      <c r="S19" s="97">
        <f t="shared" ref="S19" si="83">SUM(AD19:AG19)</f>
        <v>0</v>
      </c>
      <c r="T19" s="97">
        <f t="shared" ref="T19" si="84">R19+S19+J19+M19</f>
        <v>0</v>
      </c>
      <c r="U19" s="96"/>
      <c r="V19" s="28">
        <v>1</v>
      </c>
      <c r="W19" s="95">
        <f t="shared" ref="W19" si="85">B19+X19</f>
        <v>20</v>
      </c>
      <c r="X19" s="79">
        <v>20</v>
      </c>
      <c r="Y19" s="79">
        <v>300</v>
      </c>
      <c r="Z19" s="2">
        <f t="shared" ref="Z19" ca="1" si="86">SUMIF($AD$6:$CL$6,G19,$AD$12:$CL$12)</f>
        <v>0</v>
      </c>
      <c r="AA19" s="2">
        <f t="shared" ref="AA19" ca="1" si="87">IF(W19&gt;TODAY(),"프리타임기간중",Q19*Y19*IF(DATE(YEAR(W19),MONTH(W19),1)&lt;DATE(YEAR($AA$2),MONTH($AA$2),1),DATEDIF($AA$2,$AA$3,"D")+1,DATEDIF(W19,$AA$3+1,"d")))</f>
        <v>0</v>
      </c>
      <c r="AB19" s="2">
        <f t="shared" ref="AB19" ca="1" si="88">IFERROR(Z19+AA19,"")</f>
        <v>0</v>
      </c>
      <c r="AC19" s="103"/>
    </row>
    <row r="20" spans="2:32" s="2" customFormat="1" ht="19.5" customHeight="1">
      <c r="B20" s="81"/>
      <c r="C20" s="99"/>
      <c r="D20" s="98"/>
      <c r="E20" s="79"/>
      <c r="F20" s="8"/>
      <c r="G20" s="8"/>
      <c r="H20" s="28"/>
      <c r="I20" s="41"/>
      <c r="J20" s="29"/>
      <c r="K20" s="29"/>
      <c r="L20" s="41"/>
      <c r="M20" s="29"/>
      <c r="N20" s="31"/>
      <c r="O20" s="42"/>
      <c r="P20" s="31"/>
      <c r="Q20" s="42"/>
      <c r="R20" s="28"/>
      <c r="S20" s="97"/>
      <c r="T20" s="97"/>
      <c r="U20" s="96"/>
      <c r="V20" s="28"/>
      <c r="W20" s="95"/>
      <c r="X20" s="79"/>
      <c r="Y20" s="79"/>
      <c r="AC20" s="103"/>
    </row>
    <row r="21" spans="2:32" s="1" customFormat="1" ht="15" customHeight="1">
      <c r="B21" s="6"/>
      <c r="C21" s="7"/>
      <c r="D21" s="7"/>
      <c r="E21" s="6"/>
      <c r="F21" s="6"/>
      <c r="G21" s="6"/>
      <c r="H21" s="16"/>
      <c r="I21" s="40"/>
      <c r="J21" s="16"/>
      <c r="K21" s="16"/>
      <c r="L21" s="40"/>
      <c r="M21" s="16"/>
      <c r="N21" s="16"/>
      <c r="O21" s="40"/>
      <c r="P21" s="21"/>
      <c r="Q21" s="22"/>
      <c r="R21" s="16">
        <v>0</v>
      </c>
      <c r="S21" s="30"/>
      <c r="T21" s="30"/>
      <c r="U21" s="94"/>
      <c r="V21" s="21"/>
      <c r="W21" s="7"/>
      <c r="X21" s="7"/>
      <c r="Y21" s="7"/>
      <c r="AC21" s="60"/>
    </row>
    <row r="22" spans="2:32" ht="15" customHeight="1">
      <c r="E22" s="115"/>
      <c r="F22" s="115"/>
      <c r="G22" s="115"/>
      <c r="H22" s="6"/>
    </row>
    <row r="23" spans="2:32" ht="15" customHeight="1">
      <c r="C23" s="7" t="s">
        <v>181</v>
      </c>
      <c r="E23" s="115"/>
      <c r="F23" s="115"/>
      <c r="G23" s="115"/>
    </row>
    <row r="24" spans="2:32" ht="15" customHeight="1">
      <c r="B24" s="7"/>
      <c r="C24" s="7" t="s">
        <v>180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Z24" s="7"/>
      <c r="AA24" s="7"/>
      <c r="AB24" s="7"/>
      <c r="AC24" s="7"/>
    </row>
    <row r="25" spans="2:32" ht="15" customHeight="1">
      <c r="B25" s="7"/>
      <c r="C25" s="7" t="s">
        <v>182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Z25" s="7"/>
      <c r="AA25" s="7"/>
      <c r="AB25" s="7"/>
      <c r="AC25" s="7"/>
    </row>
    <row r="26" spans="2:32" ht="15" customHeight="1">
      <c r="B26" s="7"/>
      <c r="C26" s="7" t="s">
        <v>193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Z26" s="7"/>
      <c r="AA26" s="7"/>
      <c r="AB26" s="7"/>
      <c r="AC26" s="7"/>
    </row>
    <row r="27" spans="2:32" ht="15" customHeight="1">
      <c r="B27" s="7"/>
      <c r="C27" s="7" t="s">
        <v>199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Z27" s="7"/>
      <c r="AA27" s="7"/>
      <c r="AB27" s="7"/>
      <c r="AC27" s="7"/>
    </row>
    <row r="28" spans="2:32" ht="15" customHeight="1">
      <c r="B28" s="7"/>
      <c r="C28" s="7" t="s">
        <v>208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Z28" s="7"/>
      <c r="AA28" s="7"/>
      <c r="AB28" s="7"/>
      <c r="AC28" s="7"/>
    </row>
    <row r="29" spans="2:32" ht="15" customHeight="1">
      <c r="B29" s="7"/>
      <c r="C29" s="7" t="s">
        <v>209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Z29" s="7"/>
      <c r="AA29" s="7"/>
      <c r="AB29" s="7"/>
      <c r="AC29" s="7"/>
    </row>
    <row r="30" spans="2:32" ht="15" customHeight="1">
      <c r="B30" s="7"/>
      <c r="C30" s="7" t="s">
        <v>369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Z30" s="7"/>
      <c r="AA30" s="7"/>
      <c r="AB30" s="7"/>
      <c r="AC30" s="7"/>
    </row>
    <row r="31" spans="2:32" ht="15" customHeight="1">
      <c r="B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Z31" s="7"/>
      <c r="AA31" s="7"/>
      <c r="AB31" s="7"/>
      <c r="AC31" s="7"/>
    </row>
    <row r="32" spans="2:32" ht="15" customHeight="1">
      <c r="B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Z32" s="7"/>
      <c r="AA32" s="7"/>
      <c r="AB32" s="7"/>
      <c r="AC32" s="7"/>
    </row>
    <row r="33" s="7" customFormat="1" ht="15" customHeight="1"/>
    <row r="34" s="7" customFormat="1" ht="15" customHeight="1"/>
    <row r="35" s="7" customFormat="1" ht="15" customHeight="1"/>
    <row r="36" s="7" customFormat="1" ht="15" customHeight="1"/>
    <row r="37" s="7" customFormat="1" ht="15" customHeight="1"/>
    <row r="38" s="7" customFormat="1" ht="15" customHeight="1"/>
  </sheetData>
  <autoFilter ref="A12:AC15" xr:uid="{A69E1309-9012-4744-B7F3-0020D0B844AA}"/>
  <mergeCells count="27">
    <mergeCell ref="G4:G12"/>
    <mergeCell ref="B4:B12"/>
    <mergeCell ref="C4:C12"/>
    <mergeCell ref="D4:D12"/>
    <mergeCell ref="E4:E12"/>
    <mergeCell ref="F4:F12"/>
    <mergeCell ref="S4:S12"/>
    <mergeCell ref="H4:H12"/>
    <mergeCell ref="I4:I12"/>
    <mergeCell ref="J4:J12"/>
    <mergeCell ref="K4:K12"/>
    <mergeCell ref="L4:L12"/>
    <mergeCell ref="M4:M12"/>
    <mergeCell ref="N4:N12"/>
    <mergeCell ref="O4:O12"/>
    <mergeCell ref="P4:P12"/>
    <mergeCell ref="Q4:Q12"/>
    <mergeCell ref="R4:R12"/>
    <mergeCell ref="Z4:Z12"/>
    <mergeCell ref="AA4:AA12"/>
    <mergeCell ref="AB4:AB12"/>
    <mergeCell ref="T4:T12"/>
    <mergeCell ref="U4:U12"/>
    <mergeCell ref="V4:V12"/>
    <mergeCell ref="W4:W12"/>
    <mergeCell ref="X4:X12"/>
    <mergeCell ref="Y4:Y12"/>
  </mergeCells>
  <phoneticPr fontId="2" type="noConversion"/>
  <pageMargins left="0.70866141732283472" right="0.70866141732283472" top="0.74803149606299213" bottom="0.74803149606299213" header="0.31496062992125984" footer="0.31496062992125984"/>
  <pageSetup paperSize="9" orientation="landscape" horizontalDpi="200" verticalDpi="200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5EE9F-FA31-4202-99BD-2573E59C9A00}">
  <sheetPr codeName="Sheet36"/>
  <dimension ref="B1:DS138"/>
  <sheetViews>
    <sheetView zoomScaleNormal="100" workbookViewId="0">
      <pane xSplit="29" ySplit="12" topLeftCell="DA80" activePane="bottomRight" state="frozen"/>
      <selection activeCell="C17" sqref="C17"/>
      <selection pane="topRight" activeCell="C17" sqref="C17"/>
      <selection pane="bottomLeft" activeCell="C17" sqref="C17"/>
      <selection pane="bottomRight" activeCell="AC89" sqref="AC89"/>
    </sheetView>
  </sheetViews>
  <sheetFormatPr defaultColWidth="9" defaultRowHeight="11.25" outlineLevelCol="1"/>
  <cols>
    <col min="1" max="1" width="2" style="7" customWidth="1"/>
    <col min="2" max="2" width="9.25" style="6" customWidth="1"/>
    <col min="3" max="3" width="15.125" style="7" bestFit="1" customWidth="1"/>
    <col min="4" max="4" width="13.875" style="7" bestFit="1" customWidth="1"/>
    <col min="5" max="5" width="17.625" style="6" bestFit="1" customWidth="1"/>
    <col min="6" max="6" width="25.375" style="6" bestFit="1" customWidth="1"/>
    <col min="7" max="7" width="8.5" style="6" hidden="1" customWidth="1" outlineLevel="1"/>
    <col min="8" max="8" width="6.75" style="16" hidden="1" customWidth="1" outlineLevel="1"/>
    <col min="9" max="9" width="7" style="40" hidden="1" customWidth="1" outlineLevel="1"/>
    <col min="10" max="11" width="6.75" style="16" hidden="1" customWidth="1" outlineLevel="1"/>
    <col min="12" max="12" width="6.75" style="40" hidden="1" customWidth="1" outlineLevel="1"/>
    <col min="13" max="13" width="8.75" style="16" hidden="1" customWidth="1" outlineLevel="1"/>
    <col min="14" max="14" width="6.75" style="16" customWidth="1" collapsed="1"/>
    <col min="15" max="15" width="6.75" style="40" customWidth="1"/>
    <col min="16" max="16" width="6.5" style="21" customWidth="1"/>
    <col min="17" max="17" width="6.75" style="22" customWidth="1"/>
    <col min="18" max="18" width="6.75" style="16" hidden="1" customWidth="1" outlineLevel="1"/>
    <col min="19" max="20" width="6.75" style="30" hidden="1" customWidth="1" outlineLevel="1"/>
    <col min="21" max="21" width="17" style="94" hidden="1" customWidth="1" outlineLevel="1"/>
    <col min="22" max="22" width="4.625" style="30" hidden="1" customWidth="1" outlineLevel="1"/>
    <col min="23" max="23" width="9.25" style="7" hidden="1" customWidth="1" outlineLevel="1"/>
    <col min="24" max="24" width="5" style="7" hidden="1" customWidth="1" outlineLevel="1"/>
    <col min="25" max="25" width="4.5" style="7" hidden="1" customWidth="1" outlineLevel="1"/>
    <col min="26" max="26" width="7.25" style="1" hidden="1" customWidth="1" outlineLevel="1"/>
    <col min="27" max="27" width="11.25" style="1" hidden="1" customWidth="1" outlineLevel="1"/>
    <col min="28" max="28" width="7.25" style="1" hidden="1" customWidth="1" outlineLevel="1"/>
    <col min="29" max="29" width="15.375" style="60" bestFit="1" customWidth="1" collapsed="1"/>
    <col min="30" max="47" width="20.625" style="7" hidden="1" customWidth="1"/>
    <col min="48" max="48" width="19.125" style="7" hidden="1" customWidth="1"/>
    <col min="49" max="91" width="20.625" style="7" hidden="1" customWidth="1"/>
    <col min="92" max="93" width="33.625" style="7" hidden="1" customWidth="1"/>
    <col min="94" max="96" width="20.625" style="7" hidden="1" customWidth="1"/>
    <col min="97" max="97" width="15.375" style="7" hidden="1" customWidth="1"/>
    <col min="98" max="98" width="34.125" style="7" hidden="1" customWidth="1"/>
    <col min="99" max="99" width="15.375" style="7" hidden="1" customWidth="1"/>
    <col min="100" max="103" width="20.625" style="7" hidden="1" customWidth="1"/>
    <col min="104" max="123" width="20.625" style="7" customWidth="1"/>
    <col min="124" max="16384" width="9" style="7"/>
  </cols>
  <sheetData>
    <row r="1" spans="2:123" s="23" customFormat="1" ht="20.100000000000001" customHeight="1">
      <c r="H1" s="25"/>
      <c r="I1" s="36"/>
      <c r="J1" s="25"/>
      <c r="K1" s="25"/>
      <c r="L1" s="36"/>
      <c r="M1" s="25"/>
      <c r="N1" s="25"/>
      <c r="O1" s="36"/>
      <c r="P1" s="25"/>
      <c r="Q1" s="36"/>
      <c r="R1" s="25"/>
      <c r="S1" s="25"/>
      <c r="T1" s="25"/>
      <c r="V1" s="25"/>
      <c r="AC1" s="54"/>
    </row>
    <row r="2" spans="2:123" s="23" customFormat="1" ht="20.100000000000001" customHeight="1">
      <c r="F2" s="63"/>
      <c r="H2" s="25"/>
      <c r="I2" s="36"/>
      <c r="J2" s="25"/>
      <c r="K2" s="25"/>
      <c r="L2" s="36"/>
      <c r="M2" s="25"/>
      <c r="N2" s="25"/>
      <c r="O2" s="36"/>
      <c r="P2" s="25"/>
      <c r="Q2" s="36"/>
      <c r="R2" s="25"/>
      <c r="S2" s="25"/>
      <c r="T2" s="25"/>
      <c r="V2" s="25"/>
      <c r="Z2" s="23" t="s">
        <v>87</v>
      </c>
      <c r="AA2" s="102">
        <v>46204</v>
      </c>
      <c r="AC2" s="54"/>
    </row>
    <row r="3" spans="2:123" s="23" customFormat="1" ht="20.100000000000001" customHeight="1" thickBot="1">
      <c r="H3" s="25"/>
      <c r="I3" s="36"/>
      <c r="J3" s="25"/>
      <c r="K3" s="25"/>
      <c r="L3" s="36"/>
      <c r="M3" s="25"/>
      <c r="N3" s="25"/>
      <c r="O3" s="36"/>
      <c r="P3" s="25"/>
      <c r="Q3" s="36"/>
      <c r="R3" s="25"/>
      <c r="S3" s="25"/>
      <c r="T3" s="25"/>
      <c r="V3" s="25"/>
      <c r="Z3" s="23" t="s">
        <v>86</v>
      </c>
      <c r="AA3" s="102">
        <v>46234</v>
      </c>
      <c r="AC3" s="54"/>
    </row>
    <row r="4" spans="2:123" ht="22.5" customHeight="1">
      <c r="B4" s="187" t="s">
        <v>16</v>
      </c>
      <c r="C4" s="173" t="s">
        <v>17</v>
      </c>
      <c r="D4" s="173" t="s">
        <v>18</v>
      </c>
      <c r="E4" s="173" t="s">
        <v>19</v>
      </c>
      <c r="F4" s="173" t="s">
        <v>20</v>
      </c>
      <c r="G4" s="173" t="s">
        <v>49</v>
      </c>
      <c r="H4" s="179" t="s">
        <v>21</v>
      </c>
      <c r="I4" s="182" t="s">
        <v>22</v>
      </c>
      <c r="J4" s="185" t="s">
        <v>71</v>
      </c>
      <c r="K4" s="185" t="s">
        <v>23</v>
      </c>
      <c r="L4" s="186" t="s">
        <v>9</v>
      </c>
      <c r="M4" s="179" t="s">
        <v>24</v>
      </c>
      <c r="N4" s="179" t="s">
        <v>25</v>
      </c>
      <c r="O4" s="182" t="s">
        <v>26</v>
      </c>
      <c r="P4" s="179" t="s">
        <v>27</v>
      </c>
      <c r="Q4" s="182" t="s">
        <v>28</v>
      </c>
      <c r="R4" s="179" t="s">
        <v>29</v>
      </c>
      <c r="S4" s="179" t="s">
        <v>30</v>
      </c>
      <c r="T4" s="179" t="s">
        <v>31</v>
      </c>
      <c r="U4" s="173" t="s">
        <v>32</v>
      </c>
      <c r="V4" s="179" t="s">
        <v>33</v>
      </c>
      <c r="W4" s="173" t="s">
        <v>34</v>
      </c>
      <c r="X4" s="173" t="s">
        <v>35</v>
      </c>
      <c r="Y4" s="173" t="s">
        <v>36</v>
      </c>
      <c r="Z4" s="173" t="s">
        <v>37</v>
      </c>
      <c r="AA4" s="173" t="s">
        <v>38</v>
      </c>
      <c r="AB4" s="176" t="s">
        <v>39</v>
      </c>
      <c r="AC4" s="70" t="s">
        <v>0</v>
      </c>
      <c r="AD4" s="73">
        <v>46204</v>
      </c>
      <c r="AE4" s="73">
        <v>46204</v>
      </c>
      <c r="AF4" s="73">
        <v>46204</v>
      </c>
      <c r="AG4" s="73">
        <v>46204</v>
      </c>
      <c r="AH4" s="73">
        <v>46204</v>
      </c>
      <c r="AI4" s="73">
        <v>46204</v>
      </c>
      <c r="AJ4" s="73">
        <v>46204</v>
      </c>
      <c r="AK4" s="73">
        <v>46204</v>
      </c>
      <c r="AL4" s="73">
        <v>46204</v>
      </c>
      <c r="AM4" s="73">
        <v>46204</v>
      </c>
      <c r="AN4" s="73">
        <v>46204</v>
      </c>
      <c r="AO4" s="73">
        <v>46204</v>
      </c>
      <c r="AP4" s="73">
        <v>46204</v>
      </c>
      <c r="AQ4" s="73">
        <v>46204</v>
      </c>
      <c r="AR4" s="73">
        <v>46210</v>
      </c>
      <c r="AS4" s="73">
        <v>46210</v>
      </c>
      <c r="AT4" s="73">
        <v>46213</v>
      </c>
      <c r="AU4" s="73">
        <v>46213</v>
      </c>
      <c r="AV4" s="73">
        <v>46213</v>
      </c>
      <c r="AW4" s="73">
        <v>46216</v>
      </c>
      <c r="AX4" s="73">
        <v>46216</v>
      </c>
      <c r="AY4" s="73">
        <v>46216</v>
      </c>
      <c r="AZ4" s="73">
        <v>46216</v>
      </c>
      <c r="BA4" s="73">
        <v>46216</v>
      </c>
      <c r="BB4" s="73">
        <v>46216</v>
      </c>
      <c r="BC4" s="73">
        <v>46216</v>
      </c>
      <c r="BD4" s="73">
        <v>46216</v>
      </c>
      <c r="BE4" s="73">
        <v>46216</v>
      </c>
      <c r="BF4" s="73">
        <v>46217</v>
      </c>
      <c r="BG4" s="73">
        <v>46217</v>
      </c>
      <c r="BH4" s="73">
        <v>46217</v>
      </c>
      <c r="BI4" s="73">
        <v>46217</v>
      </c>
      <c r="BJ4" s="73">
        <v>46217</v>
      </c>
      <c r="BK4" s="73">
        <v>46217</v>
      </c>
      <c r="BL4" s="73">
        <v>46217</v>
      </c>
      <c r="BM4" s="73">
        <v>46217</v>
      </c>
      <c r="BN4" s="73">
        <v>46218</v>
      </c>
      <c r="BO4" s="73">
        <v>46218</v>
      </c>
      <c r="BP4" s="73">
        <v>46218</v>
      </c>
      <c r="BQ4" s="73">
        <v>46218</v>
      </c>
      <c r="BR4" s="73">
        <v>46218</v>
      </c>
      <c r="BS4" s="73">
        <v>46218</v>
      </c>
      <c r="BT4" s="73">
        <v>46218</v>
      </c>
      <c r="BU4" s="73">
        <v>46218</v>
      </c>
      <c r="BV4" s="73">
        <v>46218</v>
      </c>
      <c r="BW4" s="73">
        <v>46219</v>
      </c>
      <c r="BX4" s="73">
        <v>46219</v>
      </c>
      <c r="BY4" s="73">
        <v>46219</v>
      </c>
      <c r="BZ4" s="73">
        <v>46219</v>
      </c>
      <c r="CA4" s="73">
        <v>46219</v>
      </c>
      <c r="CB4" s="73">
        <v>46219</v>
      </c>
      <c r="CC4" s="73">
        <v>46219</v>
      </c>
      <c r="CD4" s="73">
        <v>46224</v>
      </c>
      <c r="CE4" s="73">
        <v>46224</v>
      </c>
      <c r="CF4" s="73">
        <v>46224</v>
      </c>
      <c r="CG4" s="73">
        <v>46224</v>
      </c>
      <c r="CH4" s="73">
        <v>46224</v>
      </c>
      <c r="CI4" s="73">
        <v>46224</v>
      </c>
      <c r="CJ4" s="73">
        <v>46224</v>
      </c>
      <c r="CK4" s="73">
        <v>46224</v>
      </c>
      <c r="CL4" s="73">
        <v>46224</v>
      </c>
      <c r="CM4" s="73">
        <v>46224</v>
      </c>
      <c r="CN4" s="73">
        <v>46224</v>
      </c>
      <c r="CO4" s="73">
        <v>46224</v>
      </c>
      <c r="CP4" s="73">
        <v>46225</v>
      </c>
      <c r="CQ4" s="73">
        <v>46225</v>
      </c>
      <c r="CR4" s="73">
        <v>46225</v>
      </c>
      <c r="CS4" s="73">
        <v>46225</v>
      </c>
      <c r="CT4" s="73">
        <v>46227</v>
      </c>
      <c r="CU4" s="73">
        <v>46227</v>
      </c>
      <c r="CV4" s="73">
        <v>46227</v>
      </c>
      <c r="CW4" s="73">
        <v>46227</v>
      </c>
      <c r="CX4" s="73">
        <v>46227</v>
      </c>
      <c r="CY4" s="73">
        <v>46231</v>
      </c>
      <c r="CZ4" s="73">
        <v>46233</v>
      </c>
      <c r="DA4" s="73">
        <v>46233</v>
      </c>
      <c r="DB4" s="73">
        <v>46233</v>
      </c>
      <c r="DC4" s="73">
        <v>46233</v>
      </c>
      <c r="DD4" s="73">
        <v>46233</v>
      </c>
      <c r="DE4" s="73">
        <v>46233</v>
      </c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</row>
    <row r="5" spans="2:123" ht="20.100000000000001" customHeight="1">
      <c r="B5" s="188"/>
      <c r="C5" s="174"/>
      <c r="D5" s="174"/>
      <c r="E5" s="174"/>
      <c r="F5" s="174"/>
      <c r="G5" s="174"/>
      <c r="H5" s="180"/>
      <c r="I5" s="183"/>
      <c r="J5" s="180"/>
      <c r="K5" s="180"/>
      <c r="L5" s="183"/>
      <c r="M5" s="180"/>
      <c r="N5" s="180"/>
      <c r="O5" s="183"/>
      <c r="P5" s="180"/>
      <c r="Q5" s="183"/>
      <c r="R5" s="180"/>
      <c r="S5" s="180"/>
      <c r="T5" s="180"/>
      <c r="U5" s="174"/>
      <c r="V5" s="180"/>
      <c r="W5" s="174"/>
      <c r="X5" s="174"/>
      <c r="Y5" s="174"/>
      <c r="Z5" s="174"/>
      <c r="AA5" s="174"/>
      <c r="AB5" s="177"/>
      <c r="AC5" s="70" t="s">
        <v>1</v>
      </c>
      <c r="AD5" s="74" t="s">
        <v>585</v>
      </c>
      <c r="AE5" s="74" t="s">
        <v>585</v>
      </c>
      <c r="AF5" s="74" t="s">
        <v>585</v>
      </c>
      <c r="AG5" s="74" t="s">
        <v>585</v>
      </c>
      <c r="AH5" s="74" t="s">
        <v>585</v>
      </c>
      <c r="AI5" s="74" t="s">
        <v>585</v>
      </c>
      <c r="AJ5" s="74" t="s">
        <v>585</v>
      </c>
      <c r="AK5" s="74" t="s">
        <v>585</v>
      </c>
      <c r="AL5" s="74" t="s">
        <v>563</v>
      </c>
      <c r="AM5" s="74" t="s">
        <v>563</v>
      </c>
      <c r="AN5" s="74" t="s">
        <v>563</v>
      </c>
      <c r="AO5" s="74" t="s">
        <v>563</v>
      </c>
      <c r="AP5" s="74" t="s">
        <v>563</v>
      </c>
      <c r="AQ5" s="74" t="s">
        <v>628</v>
      </c>
      <c r="AR5" s="74" t="s">
        <v>674</v>
      </c>
      <c r="AS5" s="74" t="s">
        <v>628</v>
      </c>
      <c r="AT5" s="74" t="s">
        <v>629</v>
      </c>
      <c r="AU5" s="74" t="s">
        <v>629</v>
      </c>
      <c r="AV5" s="74" t="s">
        <v>674</v>
      </c>
      <c r="AW5" s="74" t="s">
        <v>699</v>
      </c>
      <c r="AX5" s="74" t="s">
        <v>699</v>
      </c>
      <c r="AY5" s="74" t="s">
        <v>699</v>
      </c>
      <c r="AZ5" s="74" t="s">
        <v>700</v>
      </c>
      <c r="BA5" s="74" t="s">
        <v>700</v>
      </c>
      <c r="BB5" s="74" t="s">
        <v>700</v>
      </c>
      <c r="BC5" s="74" t="s">
        <v>701</v>
      </c>
      <c r="BD5" s="74" t="s">
        <v>701</v>
      </c>
      <c r="BE5" s="74" t="s">
        <v>711</v>
      </c>
      <c r="BF5" s="74" t="s">
        <v>712</v>
      </c>
      <c r="BG5" s="74" t="s">
        <v>712</v>
      </c>
      <c r="BH5" s="74" t="s">
        <v>712</v>
      </c>
      <c r="BI5" s="74" t="s">
        <v>700</v>
      </c>
      <c r="BJ5" s="74" t="s">
        <v>700</v>
      </c>
      <c r="BK5" s="74" t="s">
        <v>700</v>
      </c>
      <c r="BL5" s="74" t="s">
        <v>700</v>
      </c>
      <c r="BM5" s="74" t="s">
        <v>700</v>
      </c>
      <c r="BN5" s="74" t="s">
        <v>712</v>
      </c>
      <c r="BO5" s="74" t="s">
        <v>712</v>
      </c>
      <c r="BP5" s="74" t="s">
        <v>751</v>
      </c>
      <c r="BQ5" s="74" t="s">
        <v>751</v>
      </c>
      <c r="BR5" s="74" t="s">
        <v>751</v>
      </c>
      <c r="BS5" s="74" t="s">
        <v>751</v>
      </c>
      <c r="BT5" s="74" t="s">
        <v>751</v>
      </c>
      <c r="BU5" s="74" t="s">
        <v>751</v>
      </c>
      <c r="BV5" s="74" t="s">
        <v>751</v>
      </c>
      <c r="BW5" s="74" t="s">
        <v>674</v>
      </c>
      <c r="BX5" s="74" t="s">
        <v>674</v>
      </c>
      <c r="BY5" s="74" t="s">
        <v>674</v>
      </c>
      <c r="BZ5" s="74" t="s">
        <v>674</v>
      </c>
      <c r="CA5" s="74" t="s">
        <v>751</v>
      </c>
      <c r="CB5" s="74" t="s">
        <v>700</v>
      </c>
      <c r="CC5" s="74" t="s">
        <v>700</v>
      </c>
      <c r="CD5" s="74" t="s">
        <v>806</v>
      </c>
      <c r="CE5" s="74" t="s">
        <v>806</v>
      </c>
      <c r="CF5" s="74" t="s">
        <v>806</v>
      </c>
      <c r="CG5" s="74" t="s">
        <v>806</v>
      </c>
      <c r="CH5" s="74" t="s">
        <v>806</v>
      </c>
      <c r="CI5" s="74" t="s">
        <v>806</v>
      </c>
      <c r="CJ5" s="74" t="s">
        <v>806</v>
      </c>
      <c r="CK5" s="74" t="s">
        <v>808</v>
      </c>
      <c r="CL5" s="74" t="s">
        <v>808</v>
      </c>
      <c r="CM5" s="74" t="s">
        <v>808</v>
      </c>
      <c r="CN5" s="74" t="s">
        <v>751</v>
      </c>
      <c r="CO5" s="74" t="s">
        <v>751</v>
      </c>
      <c r="CP5" s="74" t="s">
        <v>629</v>
      </c>
      <c r="CQ5" s="74" t="s">
        <v>629</v>
      </c>
      <c r="CR5" s="74" t="s">
        <v>629</v>
      </c>
      <c r="CS5" s="74" t="s">
        <v>674</v>
      </c>
      <c r="CT5" s="74" t="s">
        <v>585</v>
      </c>
      <c r="CU5" s="74" t="s">
        <v>585</v>
      </c>
      <c r="CV5" s="74" t="s">
        <v>585</v>
      </c>
      <c r="CW5" s="74" t="s">
        <v>563</v>
      </c>
      <c r="CX5" s="74" t="s">
        <v>628</v>
      </c>
      <c r="CY5" s="74" t="s">
        <v>674</v>
      </c>
      <c r="CZ5" s="74" t="s">
        <v>674</v>
      </c>
      <c r="DA5" s="74" t="s">
        <v>674</v>
      </c>
      <c r="DB5" s="74" t="s">
        <v>674</v>
      </c>
      <c r="DC5" s="74" t="s">
        <v>674</v>
      </c>
      <c r="DD5" s="74" t="s">
        <v>674</v>
      </c>
      <c r="DE5" s="74" t="s">
        <v>674</v>
      </c>
      <c r="DF5" s="74"/>
      <c r="DG5" s="74"/>
      <c r="DH5" s="74"/>
      <c r="DI5" s="74"/>
      <c r="DJ5" s="74"/>
      <c r="DK5" s="74"/>
      <c r="DL5" s="74"/>
      <c r="DM5" s="74"/>
      <c r="DN5" s="74"/>
      <c r="DO5" s="74"/>
      <c r="DP5" s="74"/>
      <c r="DQ5" s="74"/>
      <c r="DR5" s="74"/>
      <c r="DS5" s="74"/>
    </row>
    <row r="6" spans="2:123" ht="15" customHeight="1">
      <c r="B6" s="188"/>
      <c r="C6" s="174"/>
      <c r="D6" s="174"/>
      <c r="E6" s="174"/>
      <c r="F6" s="174"/>
      <c r="G6" s="174"/>
      <c r="H6" s="180"/>
      <c r="I6" s="183"/>
      <c r="J6" s="180"/>
      <c r="K6" s="180"/>
      <c r="L6" s="183"/>
      <c r="M6" s="180"/>
      <c r="N6" s="180"/>
      <c r="O6" s="183"/>
      <c r="P6" s="180"/>
      <c r="Q6" s="183"/>
      <c r="R6" s="180"/>
      <c r="S6" s="180"/>
      <c r="T6" s="180"/>
      <c r="U6" s="174"/>
      <c r="V6" s="180"/>
      <c r="W6" s="174"/>
      <c r="X6" s="174"/>
      <c r="Y6" s="174"/>
      <c r="Z6" s="174"/>
      <c r="AA6" s="174"/>
      <c r="AB6" s="177"/>
      <c r="AC6" s="58" t="s">
        <v>2</v>
      </c>
      <c r="AD6" s="17" t="str">
        <f t="shared" ref="AD6:CO6" si="0">IFERROR(INDEX($C$13:$C$379,MATCH(SUM(AD$13:AD$379),AD$13:AD$379,0),1),"")</f>
        <v>COHEAR675YN091H</v>
      </c>
      <c r="AE6" s="17" t="str">
        <f t="shared" si="0"/>
        <v>COHEAR675YN091H</v>
      </c>
      <c r="AF6" s="17" t="str">
        <f t="shared" si="0"/>
        <v>COHEAR675YN091H</v>
      </c>
      <c r="AG6" s="17" t="str">
        <f t="shared" si="0"/>
        <v>COHEAR675YN091H</v>
      </c>
      <c r="AH6" s="17" t="str">
        <f t="shared" si="0"/>
        <v>COHEAR675YN091H</v>
      </c>
      <c r="AI6" s="17" t="str">
        <f t="shared" si="0"/>
        <v>COHEAR675YN091H</v>
      </c>
      <c r="AJ6" s="17" t="str">
        <f t="shared" si="0"/>
        <v>COHEAR675YN091H</v>
      </c>
      <c r="AK6" s="17" t="str">
        <f t="shared" si="0"/>
        <v>COHEAR675YN091B</v>
      </c>
      <c r="AL6" s="17" t="str">
        <f t="shared" si="0"/>
        <v>COHEAR675YN091B</v>
      </c>
      <c r="AM6" s="17" t="str">
        <f t="shared" si="0"/>
        <v>COHEAR675YN091J</v>
      </c>
      <c r="AN6" s="17" t="str">
        <f t="shared" si="0"/>
        <v>COHEAR675YN091C</v>
      </c>
      <c r="AO6" s="17" t="str">
        <f t="shared" si="0"/>
        <v>COHEAR675YN091F</v>
      </c>
      <c r="AP6" s="17" t="str">
        <f t="shared" si="0"/>
        <v>DDCLADE193031</v>
      </c>
      <c r="AQ6" s="17" t="str">
        <f t="shared" si="0"/>
        <v>DDCLADE193031</v>
      </c>
      <c r="AR6" s="17" t="str">
        <f t="shared" si="0"/>
        <v>KMTCSWA0406734</v>
      </c>
      <c r="AS6" s="17" t="str">
        <f t="shared" si="0"/>
        <v>KMTCSWA0406734</v>
      </c>
      <c r="AT6" s="17" t="str">
        <f t="shared" si="0"/>
        <v>COHEAR689YN075</v>
      </c>
      <c r="AU6" s="17" t="str">
        <f t="shared" si="0"/>
        <v>COHEAR689YN075</v>
      </c>
      <c r="AV6" s="17" t="str">
        <f t="shared" si="0"/>
        <v>DDCLADE193031</v>
      </c>
      <c r="AW6" s="17" t="str">
        <f t="shared" si="0"/>
        <v>KMTCSWA0401955</v>
      </c>
      <c r="AX6" s="17" t="str">
        <f t="shared" si="0"/>
        <v>KMTCSWA0401955A</v>
      </c>
      <c r="AY6" s="17" t="str">
        <f t="shared" si="0"/>
        <v>KMTCSWA0401955A</v>
      </c>
      <c r="AZ6" s="17" t="str">
        <f t="shared" si="0"/>
        <v>KMTCSWA0401955</v>
      </c>
      <c r="BA6" s="17" t="str">
        <f t="shared" si="0"/>
        <v>KMTCSWA0401955A</v>
      </c>
      <c r="BB6" s="17" t="str">
        <f t="shared" si="0"/>
        <v>KMTCSWA0401955A</v>
      </c>
      <c r="BC6" s="17" t="str">
        <f t="shared" si="0"/>
        <v>KMTCSWA0401955</v>
      </c>
      <c r="BD6" s="17" t="str">
        <f t="shared" si="0"/>
        <v>KMTCSWA0401955</v>
      </c>
      <c r="BE6" s="17" t="str">
        <f t="shared" si="0"/>
        <v>KMTCSWA0406734</v>
      </c>
      <c r="BF6" s="17" t="str">
        <f t="shared" si="0"/>
        <v>COHEAR689YN075</v>
      </c>
      <c r="BG6" s="17" t="str">
        <f t="shared" si="0"/>
        <v>COHEAR689YN075</v>
      </c>
      <c r="BH6" s="17" t="str">
        <f t="shared" si="0"/>
        <v>COHEAR689YN075</v>
      </c>
      <c r="BI6" s="17" t="str">
        <f t="shared" si="0"/>
        <v>DDCLADE193031</v>
      </c>
      <c r="BJ6" s="17" t="str">
        <f t="shared" si="0"/>
        <v>COHEAR689YN075</v>
      </c>
      <c r="BK6" s="17" t="str">
        <f t="shared" si="0"/>
        <v>COHEAR689YN075</v>
      </c>
      <c r="BL6" s="17" t="str">
        <f t="shared" si="0"/>
        <v>COHEAR689YN075</v>
      </c>
      <c r="BM6" s="17" t="str">
        <f t="shared" si="0"/>
        <v>KMTCSWA0406734</v>
      </c>
      <c r="BN6" s="17" t="str">
        <f t="shared" si="0"/>
        <v>COHEAR693YN077HI</v>
      </c>
      <c r="BO6" s="17" t="str">
        <f t="shared" si="0"/>
        <v>COHEAR693YN077HI</v>
      </c>
      <c r="BP6" s="17" t="str">
        <f t="shared" si="0"/>
        <v>COHEAR693YN077HI</v>
      </c>
      <c r="BQ6" s="17" t="str">
        <f t="shared" si="0"/>
        <v>COHEAR693YN077HI</v>
      </c>
      <c r="BR6" s="17" t="str">
        <f t="shared" si="0"/>
        <v>COHEAR693YN077D</v>
      </c>
      <c r="BS6" s="17" t="str">
        <f t="shared" si="0"/>
        <v>COHEAR693YN077D</v>
      </c>
      <c r="BT6" s="17" t="str">
        <f t="shared" si="0"/>
        <v>KMTCSWA0406734</v>
      </c>
      <c r="BU6" s="17" t="str">
        <f t="shared" si="0"/>
        <v>COHEAR689YN075</v>
      </c>
      <c r="BV6" s="17" t="str">
        <f t="shared" si="0"/>
        <v>KMTCSWA0401955</v>
      </c>
      <c r="BW6" s="17" t="str">
        <f t="shared" si="0"/>
        <v>COHEAR689YN075</v>
      </c>
      <c r="BX6" s="17" t="str">
        <f t="shared" si="0"/>
        <v>COHEAR689YN075</v>
      </c>
      <c r="BY6" s="17" t="str">
        <f t="shared" si="0"/>
        <v>COHEAR693YN077AB</v>
      </c>
      <c r="BZ6" s="17" t="str">
        <f t="shared" si="0"/>
        <v>COHEAR693YN077AB</v>
      </c>
      <c r="CA6" s="17" t="str">
        <f t="shared" si="0"/>
        <v>COHEAR693YN077HI</v>
      </c>
      <c r="CB6" s="17" t="str">
        <f t="shared" si="0"/>
        <v>COHEAR693YN077EF</v>
      </c>
      <c r="CC6" s="17" t="str">
        <f t="shared" si="0"/>
        <v>COHEAR693YN077EF</v>
      </c>
      <c r="CD6" s="17" t="str">
        <f t="shared" si="0"/>
        <v>DDCLADE200007</v>
      </c>
      <c r="CE6" s="17" t="str">
        <f t="shared" si="0"/>
        <v>DDCLADE200007</v>
      </c>
      <c r="CF6" s="17" t="str">
        <f t="shared" si="0"/>
        <v>DDCLADE200007</v>
      </c>
      <c r="CG6" s="17" t="str">
        <f t="shared" si="0"/>
        <v>DDCLADE200007</v>
      </c>
      <c r="CH6" s="17" t="str">
        <f t="shared" si="0"/>
        <v>DDCLADE200007</v>
      </c>
      <c r="CI6" s="17" t="str">
        <f t="shared" si="0"/>
        <v>DDCLADE200007</v>
      </c>
      <c r="CJ6" s="17" t="str">
        <f t="shared" si="0"/>
        <v>DDCLADE200007</v>
      </c>
      <c r="CK6" s="17" t="str">
        <f t="shared" si="0"/>
        <v>KMTCSWA0401955</v>
      </c>
      <c r="CL6" s="17" t="str">
        <f t="shared" si="0"/>
        <v>KMTCSWA0401955A</v>
      </c>
      <c r="CM6" s="17" t="str">
        <f t="shared" si="0"/>
        <v>COHEAR693YN077EF</v>
      </c>
      <c r="CN6" s="17" t="str">
        <f t="shared" si="0"/>
        <v>KMTCSWA0401955</v>
      </c>
      <c r="CO6" s="17" t="str">
        <f t="shared" si="0"/>
        <v>KMTCSWA0401955A</v>
      </c>
      <c r="CP6" s="17" t="str">
        <f t="shared" ref="CP6:DS6" si="1">IFERROR(INDEX($C$13:$C$379,MATCH(SUM(CP$13:CP$379),CP$13:CP$379,0),1),"")</f>
        <v>DDCLADE200067</v>
      </c>
      <c r="CQ6" s="17" t="str">
        <f t="shared" si="1"/>
        <v>DDCLADE200067</v>
      </c>
      <c r="CR6" s="17" t="str">
        <f t="shared" si="1"/>
        <v>COHEAR693YN077G</v>
      </c>
      <c r="CS6" s="17" t="str">
        <f t="shared" si="1"/>
        <v>COHEAR693YN077G</v>
      </c>
      <c r="CT6" s="17" t="str">
        <f t="shared" si="1"/>
        <v>COHEAR699YN049D</v>
      </c>
      <c r="CU6" s="17" t="str">
        <f t="shared" si="1"/>
        <v>COHEAR693YN077HI</v>
      </c>
      <c r="CV6" s="17" t="str">
        <f t="shared" si="1"/>
        <v>COHEAR693YN077HI</v>
      </c>
      <c r="CW6" s="17" t="str">
        <f t="shared" si="1"/>
        <v>COHEAR693YN077J</v>
      </c>
      <c r="CX6" s="17" t="str">
        <f t="shared" si="1"/>
        <v>COHEAR693YN077J</v>
      </c>
      <c r="CY6" s="17" t="str">
        <f t="shared" si="1"/>
        <v>KMTCSWA0401955A</v>
      </c>
      <c r="CZ6" s="17" t="str">
        <f t="shared" si="1"/>
        <v>KMTCSWA0401955A</v>
      </c>
      <c r="DA6" s="17" t="str">
        <f t="shared" si="1"/>
        <v>KMTCSWA0401955</v>
      </c>
      <c r="DB6" s="17" t="str">
        <f t="shared" si="1"/>
        <v>COHEAR699YN049E</v>
      </c>
      <c r="DC6" s="17" t="str">
        <f t="shared" si="1"/>
        <v>COHEAR699YN049E</v>
      </c>
      <c r="DD6" s="17" t="str">
        <f t="shared" si="1"/>
        <v>COHEAR699YN049E</v>
      </c>
      <c r="DE6" s="17" t="str">
        <f t="shared" si="1"/>
        <v>COHEAR699YN049E</v>
      </c>
      <c r="DF6" s="17" t="str">
        <f t="shared" si="1"/>
        <v/>
      </c>
      <c r="DG6" s="17" t="str">
        <f t="shared" si="1"/>
        <v/>
      </c>
      <c r="DH6" s="17" t="str">
        <f t="shared" si="1"/>
        <v/>
      </c>
      <c r="DI6" s="17" t="str">
        <f t="shared" si="1"/>
        <v/>
      </c>
      <c r="DJ6" s="17" t="str">
        <f t="shared" si="1"/>
        <v/>
      </c>
      <c r="DK6" s="17" t="str">
        <f t="shared" si="1"/>
        <v/>
      </c>
      <c r="DL6" s="17" t="str">
        <f t="shared" si="1"/>
        <v/>
      </c>
      <c r="DM6" s="17" t="str">
        <f t="shared" si="1"/>
        <v/>
      </c>
      <c r="DN6" s="17" t="str">
        <f t="shared" si="1"/>
        <v/>
      </c>
      <c r="DO6" s="17" t="str">
        <f t="shared" si="1"/>
        <v/>
      </c>
      <c r="DP6" s="17" t="str">
        <f t="shared" si="1"/>
        <v/>
      </c>
      <c r="DQ6" s="17" t="str">
        <f t="shared" si="1"/>
        <v/>
      </c>
      <c r="DR6" s="17" t="str">
        <f t="shared" si="1"/>
        <v/>
      </c>
      <c r="DS6" s="17" t="str">
        <f t="shared" si="1"/>
        <v/>
      </c>
    </row>
    <row r="7" spans="2:123" ht="15" customHeight="1">
      <c r="B7" s="188"/>
      <c r="C7" s="174"/>
      <c r="D7" s="174"/>
      <c r="E7" s="174"/>
      <c r="F7" s="174"/>
      <c r="G7" s="174"/>
      <c r="H7" s="180"/>
      <c r="I7" s="183"/>
      <c r="J7" s="180"/>
      <c r="K7" s="180"/>
      <c r="L7" s="183"/>
      <c r="M7" s="180"/>
      <c r="N7" s="180"/>
      <c r="O7" s="183"/>
      <c r="P7" s="180"/>
      <c r="Q7" s="183"/>
      <c r="R7" s="180"/>
      <c r="S7" s="180"/>
      <c r="T7" s="180"/>
      <c r="U7" s="174"/>
      <c r="V7" s="180"/>
      <c r="W7" s="174"/>
      <c r="X7" s="174"/>
      <c r="Y7" s="174"/>
      <c r="Z7" s="174"/>
      <c r="AA7" s="174"/>
      <c r="AB7" s="177"/>
      <c r="AC7" s="58" t="s">
        <v>3</v>
      </c>
      <c r="AD7" s="101" t="str">
        <f t="shared" ref="AD7:CO7" si="2">IFERROR(INDEX($F$13:$F$379,MATCH(SUM(AD$13:AD$379),AD$13:AD$379,0),1),"")</f>
        <v>호인가_쉐이주위</v>
      </c>
      <c r="AE7" s="101" t="str">
        <f t="shared" si="2"/>
        <v>호인가_마라샹궈</v>
      </c>
      <c r="AF7" s="101" t="str">
        <f t="shared" si="2"/>
        <v>호인가_마파두부용소스</v>
      </c>
      <c r="AG7" s="101" t="str">
        <f t="shared" si="2"/>
        <v>호인가 청유훠궈소스</v>
      </c>
      <c r="AH7" s="101" t="str">
        <f t="shared" si="2"/>
        <v>호인가_토마토소스</v>
      </c>
      <c r="AI7" s="101" t="str">
        <f t="shared" si="2"/>
        <v>호인가_청유훠궈소스</v>
      </c>
      <c r="AJ7" s="101" t="str">
        <f t="shared" si="2"/>
        <v>호인가_마라탕소스</v>
      </c>
      <c r="AK7" s="101" t="str">
        <f t="shared" si="2"/>
        <v>버터 레이즌 크래커</v>
      </c>
      <c r="AL7" s="101" t="str">
        <f t="shared" si="2"/>
        <v>버터 레이즌 크래커</v>
      </c>
      <c r="AM7" s="101" t="str">
        <f t="shared" si="2"/>
        <v>마자오유</v>
      </c>
      <c r="AN7" s="101" t="str">
        <f t="shared" si="2"/>
        <v>매듭곤약향라맛</v>
      </c>
      <c r="AO7" s="101" t="str">
        <f t="shared" si="2"/>
        <v>혼합즈마장</v>
      </c>
      <c r="AP7" s="101" t="str">
        <f t="shared" si="2"/>
        <v>옥수수국수 2.5KG*4BAG/CTN</v>
      </c>
      <c r="AQ7" s="101" t="str">
        <f t="shared" si="2"/>
        <v>옥수수국수 2.5KG*4BAG/CTN</v>
      </c>
      <c r="AR7" s="101" t="str">
        <f t="shared" si="2"/>
        <v>VITAMIN C MINT TABLET CANDY 800G*10/CTN</v>
      </c>
      <c r="AS7" s="101" t="str">
        <f t="shared" si="2"/>
        <v>VITAMIN C MINT TABLET CANDY 800G*10/CTN</v>
      </c>
      <c r="AT7" s="101" t="str">
        <f t="shared" si="2"/>
        <v>자른 푸주 BEAN CURD STICKS(500G)</v>
      </c>
      <c r="AU7" s="101" t="str">
        <f t="shared" si="2"/>
        <v>단정빙탕 SINGLE CRYSTAL ROCK SUGAR</v>
      </c>
      <c r="AV7" s="101" t="str">
        <f t="shared" si="2"/>
        <v>옥수수국수 1KG*10BAG/CT</v>
      </c>
      <c r="AW7" s="101" t="str">
        <f t="shared" si="2"/>
        <v>VITAMIN C MINT TABLET CANDY 80G*8BOT*6BOX/CTN</v>
      </c>
      <c r="AX7" s="101" t="str">
        <f t="shared" si="2"/>
        <v>VITAMIN C MINT TABLET CANDY 200G*20/CTN</v>
      </c>
      <c r="AY7" s="101" t="str">
        <f t="shared" si="2"/>
        <v>MANGO FLAVOR CANDY 1KG*15/CTN</v>
      </c>
      <c r="AZ7" s="101" t="str">
        <f t="shared" si="2"/>
        <v>VITAMIN C MINT TABLET CANDY 80G*8BOT*6BOX/CTN</v>
      </c>
      <c r="BA7" s="101" t="str">
        <f t="shared" si="2"/>
        <v>VITAMIN C MINT TABLET CANDY 200G*20/CTN</v>
      </c>
      <c r="BB7" s="101" t="str">
        <f t="shared" si="2"/>
        <v>VITAMIN C MINT TABLET CANDY 200G*20/CTN</v>
      </c>
      <c r="BC7" s="101" t="str">
        <f t="shared" si="2"/>
        <v>VITAMIN C MINT TABLET CANDY 80G*8BOT*6BOX/CTN</v>
      </c>
      <c r="BD7" s="101" t="str">
        <f t="shared" si="2"/>
        <v>VITAMIN C MINT TABLET CANDY 80G*8BOT*6BOX/CTN</v>
      </c>
      <c r="BE7" s="101" t="str">
        <f t="shared" si="2"/>
        <v>VITAMIN C MINT TABLET CANDY 800G*10/CTN</v>
      </c>
      <c r="BF7" s="101" t="str">
        <f t="shared" si="2"/>
        <v>향라맛 따콴펀 MA JIANG DA KUAN FEN-XIANGLA</v>
      </c>
      <c r="BG7" s="101" t="str">
        <f t="shared" si="2"/>
        <v>마장맛 둔분 MA JIANG DA KUAN FEN-MAJIANG</v>
      </c>
      <c r="BH7" s="101" t="str">
        <f t="shared" si="2"/>
        <v>따콴펀 로제맛  ZHI XINAG DA KUAN FEN</v>
      </c>
      <c r="BI7" s="101" t="str">
        <f t="shared" si="2"/>
        <v>옥수수국수 400G*25BAG/CTN</v>
      </c>
      <c r="BJ7" s="101" t="str">
        <f t="shared" si="2"/>
        <v>향라맛 따콴펀 MA JIANG DA KUAN FEN-XIANGLA</v>
      </c>
      <c r="BK7" s="101" t="str">
        <f t="shared" si="2"/>
        <v>마장맛 둔분 MA JIANG DA KUAN FEN-MAJIANG</v>
      </c>
      <c r="BL7" s="101" t="str">
        <f t="shared" si="2"/>
        <v>따콴펀 로제맛  ZHI XINAG DA KUAN FEN</v>
      </c>
      <c r="BM7" s="101" t="str">
        <f t="shared" si="2"/>
        <v>VITAMIN C MINT TABLET CANDY 800G*10/CTN</v>
      </c>
      <c r="BN7" s="101" t="str">
        <f t="shared" si="2"/>
        <v>호인가_우지수공훠궈소스(500g)</v>
      </c>
      <c r="BO7" s="101" t="str">
        <f t="shared" si="2"/>
        <v>호인가_우지수공조각훠궈(360g)</v>
      </c>
      <c r="BP7" s="101" t="str">
        <f t="shared" si="2"/>
        <v>호인가_우지수공조각훠궈(200g)</v>
      </c>
      <c r="BQ7" s="101" t="str">
        <f t="shared" si="2"/>
        <v>호인가_우지수공조각훠궈(90g)</v>
      </c>
      <c r="BR7" s="101" t="str">
        <f t="shared" si="2"/>
        <v>사천꿍차이곤약(고수맛)</v>
      </c>
      <c r="BS7" s="101" t="str">
        <f t="shared" si="2"/>
        <v>사천꿍차이곤약(마라탕맛)</v>
      </c>
      <c r="BT7" s="101" t="str">
        <f t="shared" si="2"/>
        <v>VITAMIN C MINT TABLET CANDY 800G*10/CTN</v>
      </c>
      <c r="BU7" s="101" t="str">
        <f t="shared" si="2"/>
        <v>푸주링롤 RINGING ROLLS</v>
      </c>
      <c r="BV7" s="101" t="str">
        <f t="shared" si="2"/>
        <v>VITAMIN C MINT TABLET CANDY 800G*10/CTN</v>
      </c>
      <c r="BW7" s="101" t="str">
        <f t="shared" si="2"/>
        <v>천미방 자른 푸주 BEAN CURD STICKS(1000G)</v>
      </c>
      <c r="BX7" s="101" t="str">
        <f t="shared" si="2"/>
        <v>천미방 자른 푸주 BEAN CURD STICKS(1000G)</v>
      </c>
      <c r="BY7" s="101" t="str">
        <f t="shared" si="2"/>
        <v>인조콩고기 2.5kg</v>
      </c>
      <c r="BZ7" s="101" t="str">
        <f t="shared" si="2"/>
        <v>인조콩고기 5kg</v>
      </c>
      <c r="CA7" s="101" t="str">
        <f t="shared" si="2"/>
        <v>호인가_사천유펜소스</v>
      </c>
      <c r="CB7" s="101" t="str">
        <f t="shared" si="2"/>
        <v>향신료혼합분말</v>
      </c>
      <c r="CC7" s="101" t="str">
        <f t="shared" si="2"/>
        <v>향신료혼합분말</v>
      </c>
      <c r="CD7" s="101" t="str">
        <f t="shared" si="2"/>
        <v>Traditional Beijing-style Mooncakes(전통경식월병)</v>
      </c>
      <c r="CE7" s="101" t="str">
        <f t="shared" si="2"/>
        <v>ORIGINAL TASTE BIG BISCUITS(올드 소프트 케이크)</v>
      </c>
      <c r="CF7" s="101" t="str">
        <f t="shared" si="2"/>
        <v>HAND MADE SOFT TWISTED MAHUA (YOGURT FLAVOR)(꽈배기(요구르트맛))</v>
      </c>
      <c r="CG7" s="101" t="str">
        <f t="shared" si="2"/>
        <v>HAND MADE SOFT TWISTED MAHUA (RED BEAN FLAVOR)(꽈배기(팥맛))</v>
      </c>
      <c r="CH7" s="101" t="str">
        <f t="shared" si="2"/>
        <v>Banana bread(바나나빵)</v>
      </c>
      <c r="CI7" s="101" t="str">
        <f t="shared" si="2"/>
        <v>BUTTER CHEESE STRIP(치즈소스브레드)</v>
      </c>
      <c r="CJ7" s="101" t="str">
        <f t="shared" si="2"/>
        <v>JUJUBE PASTRY(대추필링월병)</v>
      </c>
      <c r="CK7" s="101" t="str">
        <f t="shared" si="2"/>
        <v>VITAMIN C MINT TABLET CANDY 800G*10/CTN</v>
      </c>
      <c r="CL7" s="101" t="str">
        <f t="shared" si="2"/>
        <v>VITAMIN C MINT TABLET CANDY 800G*10/CTN</v>
      </c>
      <c r="CM7" s="101" t="str">
        <f t="shared" si="2"/>
        <v>눈육분</v>
      </c>
      <c r="CN7" s="101" t="str">
        <f t="shared" si="2"/>
        <v>VITAMIN C MINT TABLET CANDY 800G*10/CTN</v>
      </c>
      <c r="CO7" s="101" t="str">
        <f t="shared" si="2"/>
        <v>VITAMIN C MINT TABLET CANDY 800G*10/CTN</v>
      </c>
      <c r="CP7" s="101" t="str">
        <f t="shared" ref="CP7:DS7" si="3">IFERROR(INDEX($F$13:$F$379,MATCH(SUM(CP$13:CP$379),CP$13:CP$379,0),1),"")</f>
        <v>옥수수국수 2.5KG*4BAG/CTN</v>
      </c>
      <c r="CQ7" s="101" t="str">
        <f t="shared" si="3"/>
        <v>옥수수국수 2.5KG*4BAG/CTN</v>
      </c>
      <c r="CR7" s="101" t="str">
        <f t="shared" si="3"/>
        <v>마자오유</v>
      </c>
      <c r="CS7" s="101" t="str">
        <f t="shared" si="3"/>
        <v>마라유</v>
      </c>
      <c r="CT7" s="101" t="str">
        <f t="shared" si="3"/>
        <v>BEAN CURD STICKS 500G*15BAG/CTN(자른푸주)</v>
      </c>
      <c r="CU7" s="101" t="str">
        <f t="shared" si="3"/>
        <v>호인가_훠궈소스</v>
      </c>
      <c r="CV7" s="101" t="str">
        <f t="shared" si="3"/>
        <v>호인가_훠궈소스</v>
      </c>
      <c r="CW7" s="101" t="str">
        <f t="shared" si="3"/>
        <v>충칭 혼합훠궈소스</v>
      </c>
      <c r="CX7" s="101" t="str">
        <f t="shared" si="3"/>
        <v>충칭 혼합훠궈소스</v>
      </c>
      <c r="CY7" s="101" t="str">
        <f t="shared" si="3"/>
        <v>VITAMIN C MINT TABLET CANDY 800G*10/CTN</v>
      </c>
      <c r="CZ7" s="101" t="str">
        <f t="shared" si="3"/>
        <v>VITAMIN C MINT TABLET CANDY 800G*10/CTN</v>
      </c>
      <c r="DA7" s="101" t="str">
        <f t="shared" si="3"/>
        <v>VITAMIN C MINT TABLET CANDY 800G*10/CTN</v>
      </c>
      <c r="DB7" s="101" t="str">
        <f t="shared" si="3"/>
        <v>SQUID CUB-YUANWEI (오징어 오리지널_35G)</v>
      </c>
      <c r="DC7" s="101" t="str">
        <f t="shared" si="3"/>
        <v>SQUID STRING-XIANGLA(오징어_향라맛 25G)</v>
      </c>
      <c r="DD7" s="101" t="str">
        <f t="shared" si="3"/>
        <v>SQUID STRING-XIANGLA(오징어_향라맛 25G)</v>
      </c>
      <c r="DE7" s="101" t="str">
        <f t="shared" si="3"/>
        <v>A SQUID-XIANGLA(오징어_향라맛 68G)</v>
      </c>
      <c r="DF7" s="101" t="str">
        <f t="shared" si="3"/>
        <v/>
      </c>
      <c r="DG7" s="101" t="str">
        <f t="shared" si="3"/>
        <v/>
      </c>
      <c r="DH7" s="101" t="str">
        <f t="shared" si="3"/>
        <v/>
      </c>
      <c r="DI7" s="101" t="str">
        <f t="shared" si="3"/>
        <v/>
      </c>
      <c r="DJ7" s="101" t="str">
        <f t="shared" si="3"/>
        <v/>
      </c>
      <c r="DK7" s="101" t="str">
        <f t="shared" si="3"/>
        <v/>
      </c>
      <c r="DL7" s="101" t="str">
        <f t="shared" si="3"/>
        <v/>
      </c>
      <c r="DM7" s="101" t="str">
        <f t="shared" si="3"/>
        <v/>
      </c>
      <c r="DN7" s="101" t="str">
        <f t="shared" si="3"/>
        <v/>
      </c>
      <c r="DO7" s="101" t="str">
        <f t="shared" si="3"/>
        <v/>
      </c>
      <c r="DP7" s="101" t="str">
        <f t="shared" si="3"/>
        <v/>
      </c>
      <c r="DQ7" s="101" t="str">
        <f t="shared" si="3"/>
        <v/>
      </c>
      <c r="DR7" s="101" t="str">
        <f t="shared" si="3"/>
        <v/>
      </c>
      <c r="DS7" s="101" t="str">
        <f t="shared" si="3"/>
        <v/>
      </c>
    </row>
    <row r="8" spans="2:123" ht="15" customHeight="1">
      <c r="B8" s="188"/>
      <c r="C8" s="174"/>
      <c r="D8" s="174"/>
      <c r="E8" s="174"/>
      <c r="F8" s="174"/>
      <c r="G8" s="174"/>
      <c r="H8" s="180"/>
      <c r="I8" s="183"/>
      <c r="J8" s="180"/>
      <c r="K8" s="180"/>
      <c r="L8" s="183"/>
      <c r="M8" s="180"/>
      <c r="N8" s="180"/>
      <c r="O8" s="183"/>
      <c r="P8" s="180"/>
      <c r="Q8" s="183"/>
      <c r="R8" s="180"/>
      <c r="S8" s="180"/>
      <c r="T8" s="180"/>
      <c r="U8" s="174"/>
      <c r="V8" s="180"/>
      <c r="W8" s="174"/>
      <c r="X8" s="174"/>
      <c r="Y8" s="174"/>
      <c r="Z8" s="174"/>
      <c r="AA8" s="174"/>
      <c r="AB8" s="177"/>
      <c r="AC8" s="59" t="s">
        <v>4</v>
      </c>
      <c r="AD8" s="48">
        <f t="shared" ref="AD8:CO8" si="4">IFERROR(SUM(AD$13:AD$379),"")</f>
        <v>33</v>
      </c>
      <c r="AE8" s="48">
        <f t="shared" si="4"/>
        <v>65</v>
      </c>
      <c r="AF8" s="48">
        <f t="shared" si="4"/>
        <v>110</v>
      </c>
      <c r="AG8" s="48">
        <f t="shared" si="4"/>
        <v>120</v>
      </c>
      <c r="AH8" s="48">
        <f t="shared" si="4"/>
        <v>73</v>
      </c>
      <c r="AI8" s="48">
        <f t="shared" si="4"/>
        <v>33</v>
      </c>
      <c r="AJ8" s="48">
        <f t="shared" si="4"/>
        <v>51</v>
      </c>
      <c r="AK8" s="48">
        <f t="shared" si="4"/>
        <v>72</v>
      </c>
      <c r="AL8" s="48">
        <f t="shared" si="4"/>
        <v>28</v>
      </c>
      <c r="AM8" s="48">
        <f t="shared" si="4"/>
        <v>200</v>
      </c>
      <c r="AN8" s="48">
        <f t="shared" si="4"/>
        <v>50</v>
      </c>
      <c r="AO8" s="48">
        <f t="shared" si="4"/>
        <v>200</v>
      </c>
      <c r="AP8" s="48">
        <f t="shared" si="4"/>
        <v>400</v>
      </c>
      <c r="AQ8" s="48">
        <f t="shared" si="4"/>
        <v>30</v>
      </c>
      <c r="AR8" s="48">
        <f t="shared" si="4"/>
        <v>480</v>
      </c>
      <c r="AS8" s="48">
        <f t="shared" si="4"/>
        <v>480</v>
      </c>
      <c r="AT8" s="48">
        <f t="shared" si="4"/>
        <v>266</v>
      </c>
      <c r="AU8" s="48">
        <f t="shared" si="4"/>
        <v>100</v>
      </c>
      <c r="AV8" s="48">
        <f t="shared" si="4"/>
        <v>100</v>
      </c>
      <c r="AW8" s="48">
        <f t="shared" si="4"/>
        <v>80</v>
      </c>
      <c r="AX8" s="48">
        <f t="shared" si="4"/>
        <v>336</v>
      </c>
      <c r="AY8" s="48">
        <f t="shared" si="4"/>
        <v>100</v>
      </c>
      <c r="AZ8" s="48">
        <f t="shared" si="4"/>
        <v>120</v>
      </c>
      <c r="BA8" s="48">
        <f t="shared" si="4"/>
        <v>192</v>
      </c>
      <c r="BB8" s="48">
        <f t="shared" si="4"/>
        <v>32</v>
      </c>
      <c r="BC8" s="48">
        <f t="shared" si="4"/>
        <v>80</v>
      </c>
      <c r="BD8" s="48">
        <f t="shared" si="4"/>
        <v>20</v>
      </c>
      <c r="BE8" s="48">
        <f t="shared" si="4"/>
        <v>360</v>
      </c>
      <c r="BF8" s="48">
        <f t="shared" si="4"/>
        <v>280</v>
      </c>
      <c r="BG8" s="48">
        <f t="shared" si="4"/>
        <v>120</v>
      </c>
      <c r="BH8" s="48">
        <f t="shared" si="4"/>
        <v>80</v>
      </c>
      <c r="BI8" s="48">
        <f t="shared" si="4"/>
        <v>200</v>
      </c>
      <c r="BJ8" s="48">
        <f t="shared" si="4"/>
        <v>80</v>
      </c>
      <c r="BK8" s="48">
        <f t="shared" si="4"/>
        <v>40</v>
      </c>
      <c r="BL8" s="48">
        <f t="shared" si="4"/>
        <v>30</v>
      </c>
      <c r="BM8" s="48">
        <f t="shared" si="4"/>
        <v>240</v>
      </c>
      <c r="BN8" s="48">
        <f t="shared" si="4"/>
        <v>105</v>
      </c>
      <c r="BO8" s="48">
        <f t="shared" si="4"/>
        <v>525</v>
      </c>
      <c r="BP8" s="48">
        <f t="shared" si="4"/>
        <v>105</v>
      </c>
      <c r="BQ8" s="48">
        <f t="shared" si="4"/>
        <v>105</v>
      </c>
      <c r="BR8" s="48">
        <f t="shared" si="4"/>
        <v>50</v>
      </c>
      <c r="BS8" s="48">
        <f t="shared" si="4"/>
        <v>50</v>
      </c>
      <c r="BT8" s="48">
        <f t="shared" si="4"/>
        <v>40</v>
      </c>
      <c r="BU8" s="48">
        <f t="shared" si="4"/>
        <v>100</v>
      </c>
      <c r="BV8" s="48">
        <f t="shared" si="4"/>
        <v>80</v>
      </c>
      <c r="BW8" s="48">
        <f t="shared" si="4"/>
        <v>180</v>
      </c>
      <c r="BX8" s="48">
        <f t="shared" si="4"/>
        <v>20</v>
      </c>
      <c r="BY8" s="48">
        <f t="shared" si="4"/>
        <v>250</v>
      </c>
      <c r="BZ8" s="48">
        <f t="shared" si="4"/>
        <v>250</v>
      </c>
      <c r="CA8" s="48">
        <f t="shared" si="4"/>
        <v>20</v>
      </c>
      <c r="CB8" s="48">
        <f t="shared" si="4"/>
        <v>84</v>
      </c>
      <c r="CC8" s="48">
        <f t="shared" si="4"/>
        <v>66</v>
      </c>
      <c r="CD8" s="48">
        <f t="shared" si="4"/>
        <v>700</v>
      </c>
      <c r="CE8" s="48">
        <f t="shared" si="4"/>
        <v>200</v>
      </c>
      <c r="CF8" s="48">
        <f t="shared" si="4"/>
        <v>150</v>
      </c>
      <c r="CG8" s="48">
        <f t="shared" si="4"/>
        <v>142</v>
      </c>
      <c r="CH8" s="48">
        <f t="shared" si="4"/>
        <v>80</v>
      </c>
      <c r="CI8" s="48">
        <f t="shared" si="4"/>
        <v>80</v>
      </c>
      <c r="CJ8" s="48">
        <f t="shared" si="4"/>
        <v>46</v>
      </c>
      <c r="CK8" s="48">
        <f t="shared" si="4"/>
        <v>730</v>
      </c>
      <c r="CL8" s="48">
        <f t="shared" si="4"/>
        <v>240</v>
      </c>
      <c r="CM8" s="48">
        <f t="shared" si="4"/>
        <v>100</v>
      </c>
      <c r="CN8" s="48">
        <f t="shared" si="4"/>
        <v>240</v>
      </c>
      <c r="CO8" s="48">
        <f t="shared" si="4"/>
        <v>240</v>
      </c>
      <c r="CP8" s="48">
        <f t="shared" ref="CP8:DS8" si="5">IFERROR(SUM(CP$13:CP$379),"")</f>
        <v>900</v>
      </c>
      <c r="CQ8" s="48">
        <f t="shared" si="5"/>
        <v>35</v>
      </c>
      <c r="CR8" s="48">
        <f t="shared" si="5"/>
        <v>200</v>
      </c>
      <c r="CS8" s="48">
        <f t="shared" si="5"/>
        <v>100</v>
      </c>
      <c r="CT8" s="48">
        <f t="shared" si="5"/>
        <v>360</v>
      </c>
      <c r="CU8" s="48">
        <f t="shared" si="5"/>
        <v>64</v>
      </c>
      <c r="CV8" s="48">
        <f t="shared" si="5"/>
        <v>56</v>
      </c>
      <c r="CW8" s="48">
        <f t="shared" si="5"/>
        <v>48</v>
      </c>
      <c r="CX8" s="48">
        <f t="shared" si="5"/>
        <v>26</v>
      </c>
      <c r="CY8" s="48">
        <f t="shared" si="5"/>
        <v>480</v>
      </c>
      <c r="CZ8" s="48">
        <f t="shared" si="5"/>
        <v>160</v>
      </c>
      <c r="DA8" s="48">
        <f t="shared" si="5"/>
        <v>160</v>
      </c>
      <c r="DB8" s="48">
        <f t="shared" si="5"/>
        <v>30</v>
      </c>
      <c r="DC8" s="48">
        <f t="shared" si="5"/>
        <v>32</v>
      </c>
      <c r="DD8" s="48">
        <f t="shared" si="5"/>
        <v>28</v>
      </c>
      <c r="DE8" s="48">
        <f t="shared" si="5"/>
        <v>30</v>
      </c>
      <c r="DF8" s="48">
        <f t="shared" si="5"/>
        <v>0</v>
      </c>
      <c r="DG8" s="48">
        <f t="shared" si="5"/>
        <v>0</v>
      </c>
      <c r="DH8" s="48">
        <f t="shared" si="5"/>
        <v>0</v>
      </c>
      <c r="DI8" s="48">
        <f t="shared" si="5"/>
        <v>0</v>
      </c>
      <c r="DJ8" s="48">
        <f t="shared" si="5"/>
        <v>0</v>
      </c>
      <c r="DK8" s="48">
        <f t="shared" si="5"/>
        <v>0</v>
      </c>
      <c r="DL8" s="48">
        <f t="shared" si="5"/>
        <v>0</v>
      </c>
      <c r="DM8" s="48">
        <f t="shared" si="5"/>
        <v>0</v>
      </c>
      <c r="DN8" s="48">
        <f t="shared" si="5"/>
        <v>0</v>
      </c>
      <c r="DO8" s="48">
        <f t="shared" si="5"/>
        <v>0</v>
      </c>
      <c r="DP8" s="48">
        <f t="shared" si="5"/>
        <v>0</v>
      </c>
      <c r="DQ8" s="48">
        <f t="shared" si="5"/>
        <v>0</v>
      </c>
      <c r="DR8" s="48">
        <f t="shared" si="5"/>
        <v>0</v>
      </c>
      <c r="DS8" s="48">
        <f t="shared" si="5"/>
        <v>0</v>
      </c>
    </row>
    <row r="9" spans="2:123" ht="15" customHeight="1">
      <c r="B9" s="188"/>
      <c r="C9" s="174"/>
      <c r="D9" s="174"/>
      <c r="E9" s="174"/>
      <c r="F9" s="174"/>
      <c r="G9" s="174"/>
      <c r="H9" s="180"/>
      <c r="I9" s="183"/>
      <c r="J9" s="180"/>
      <c r="K9" s="180"/>
      <c r="L9" s="183"/>
      <c r="M9" s="180"/>
      <c r="N9" s="180"/>
      <c r="O9" s="183"/>
      <c r="P9" s="180"/>
      <c r="Q9" s="183"/>
      <c r="R9" s="180"/>
      <c r="S9" s="180"/>
      <c r="T9" s="180"/>
      <c r="U9" s="174"/>
      <c r="V9" s="180"/>
      <c r="W9" s="174"/>
      <c r="X9" s="174"/>
      <c r="Y9" s="174"/>
      <c r="Z9" s="174"/>
      <c r="AA9" s="174"/>
      <c r="AB9" s="177"/>
      <c r="AC9" s="58" t="s">
        <v>5</v>
      </c>
      <c r="AD9" s="20">
        <f t="shared" ref="AD9:BP9" si="6">IFERROR(ROUNDUP((SUM(AD13:AD379)/IFERROR(INDEX($V$13:$V$379,MATCH(SUM(AD$13:AD$379),AD$13:AD$379,0),1),"")),0),"")</f>
        <v>1</v>
      </c>
      <c r="AE9" s="20">
        <f t="shared" si="6"/>
        <v>1</v>
      </c>
      <c r="AF9" s="20">
        <f t="shared" si="6"/>
        <v>2</v>
      </c>
      <c r="AG9" s="20">
        <f t="shared" si="6"/>
        <v>2</v>
      </c>
      <c r="AH9" s="20">
        <f t="shared" si="6"/>
        <v>1</v>
      </c>
      <c r="AI9" s="20">
        <f t="shared" si="6"/>
        <v>1</v>
      </c>
      <c r="AJ9" s="20">
        <f t="shared" si="6"/>
        <v>1</v>
      </c>
      <c r="AK9" s="20">
        <f t="shared" si="6"/>
        <v>3</v>
      </c>
      <c r="AL9" s="20">
        <f t="shared" si="6"/>
        <v>1</v>
      </c>
      <c r="AM9" s="20">
        <f t="shared" si="6"/>
        <v>2</v>
      </c>
      <c r="AN9" s="20">
        <f t="shared" si="6"/>
        <v>2</v>
      </c>
      <c r="AO9" s="20">
        <f t="shared" si="6"/>
        <v>2</v>
      </c>
      <c r="AP9" s="20">
        <f t="shared" si="6"/>
        <v>4</v>
      </c>
      <c r="AQ9" s="20">
        <f t="shared" si="6"/>
        <v>1</v>
      </c>
      <c r="AR9" s="20">
        <f t="shared" si="6"/>
        <v>12</v>
      </c>
      <c r="AS9" s="20">
        <f t="shared" si="6"/>
        <v>12</v>
      </c>
      <c r="AT9" s="20">
        <f t="shared" si="6"/>
        <v>8</v>
      </c>
      <c r="AU9" s="20">
        <f t="shared" si="6"/>
        <v>3</v>
      </c>
      <c r="AV9" s="20">
        <f t="shared" si="6"/>
        <v>1</v>
      </c>
      <c r="AW9" s="20">
        <f t="shared" si="6"/>
        <v>2</v>
      </c>
      <c r="AX9" s="20">
        <f t="shared" si="6"/>
        <v>7</v>
      </c>
      <c r="AY9" s="20">
        <f t="shared" si="6"/>
        <v>3</v>
      </c>
      <c r="AZ9" s="20">
        <f t="shared" si="6"/>
        <v>3</v>
      </c>
      <c r="BA9" s="20">
        <f t="shared" si="6"/>
        <v>4</v>
      </c>
      <c r="BB9" s="20">
        <f t="shared" si="6"/>
        <v>1</v>
      </c>
      <c r="BC9" s="20">
        <f t="shared" si="6"/>
        <v>2</v>
      </c>
      <c r="BD9" s="20">
        <f t="shared" si="6"/>
        <v>1</v>
      </c>
      <c r="BE9" s="20">
        <f t="shared" si="6"/>
        <v>9</v>
      </c>
      <c r="BF9" s="20">
        <f t="shared" si="6"/>
        <v>7</v>
      </c>
      <c r="BG9" s="20">
        <f t="shared" si="6"/>
        <v>3</v>
      </c>
      <c r="BH9" s="20">
        <f t="shared" si="6"/>
        <v>2</v>
      </c>
      <c r="BI9" s="20">
        <f t="shared" si="6"/>
        <v>2</v>
      </c>
      <c r="BJ9" s="20">
        <f t="shared" si="6"/>
        <v>2</v>
      </c>
      <c r="BK9" s="20">
        <f t="shared" si="6"/>
        <v>1</v>
      </c>
      <c r="BL9" s="20">
        <f t="shared" si="6"/>
        <v>1</v>
      </c>
      <c r="BM9" s="20">
        <f t="shared" si="6"/>
        <v>6</v>
      </c>
      <c r="BN9" s="20">
        <f t="shared" si="6"/>
        <v>2</v>
      </c>
      <c r="BO9" s="20">
        <f t="shared" si="6"/>
        <v>10</v>
      </c>
      <c r="BP9" s="20">
        <f t="shared" si="6"/>
        <v>2</v>
      </c>
      <c r="BQ9" s="20">
        <f t="shared" ref="BQ9:DS9" si="7">IFERROR(ROUNDUP((SUM(BQ13:BQ379)/IFERROR(INDEX($V$13:$V$379,MATCH(SUM(BQ$13:BQ$379),BQ$13:BQ$379,0),1),"")),0),"")</f>
        <v>2</v>
      </c>
      <c r="BR9" s="20">
        <f t="shared" si="7"/>
        <v>1</v>
      </c>
      <c r="BS9" s="20">
        <f t="shared" si="7"/>
        <v>1</v>
      </c>
      <c r="BT9" s="20">
        <f t="shared" si="7"/>
        <v>1</v>
      </c>
      <c r="BU9" s="20">
        <f t="shared" si="7"/>
        <v>3</v>
      </c>
      <c r="BV9" s="20">
        <f t="shared" si="7"/>
        <v>2</v>
      </c>
      <c r="BW9" s="20">
        <f t="shared" si="7"/>
        <v>5</v>
      </c>
      <c r="BX9" s="20">
        <f t="shared" si="7"/>
        <v>1</v>
      </c>
      <c r="BY9" s="20">
        <f t="shared" si="7"/>
        <v>9</v>
      </c>
      <c r="BZ9" s="20">
        <f t="shared" si="7"/>
        <v>9</v>
      </c>
      <c r="CA9" s="20">
        <f t="shared" si="7"/>
        <v>1</v>
      </c>
      <c r="CB9" s="20">
        <f t="shared" si="7"/>
        <v>1</v>
      </c>
      <c r="CC9" s="20">
        <f t="shared" si="7"/>
        <v>1</v>
      </c>
      <c r="CD9" s="20">
        <f t="shared" si="7"/>
        <v>6</v>
      </c>
      <c r="CE9" s="20">
        <f t="shared" si="7"/>
        <v>6</v>
      </c>
      <c r="CF9" s="20">
        <f t="shared" si="7"/>
        <v>7</v>
      </c>
      <c r="CG9" s="20">
        <f t="shared" si="7"/>
        <v>6</v>
      </c>
      <c r="CH9" s="20">
        <f t="shared" si="7"/>
        <v>5</v>
      </c>
      <c r="CI9" s="20">
        <f t="shared" si="7"/>
        <v>5</v>
      </c>
      <c r="CJ9" s="20">
        <f t="shared" si="7"/>
        <v>2</v>
      </c>
      <c r="CK9" s="20">
        <f t="shared" si="7"/>
        <v>19</v>
      </c>
      <c r="CL9" s="20">
        <f t="shared" si="7"/>
        <v>6</v>
      </c>
      <c r="CM9" s="20">
        <f t="shared" si="7"/>
        <v>1</v>
      </c>
      <c r="CN9" s="20">
        <f t="shared" si="7"/>
        <v>6</v>
      </c>
      <c r="CO9" s="20">
        <f t="shared" si="7"/>
        <v>6</v>
      </c>
      <c r="CP9" s="20">
        <f t="shared" si="7"/>
        <v>9</v>
      </c>
      <c r="CQ9" s="20">
        <f t="shared" si="7"/>
        <v>1</v>
      </c>
      <c r="CR9" s="20">
        <f t="shared" si="7"/>
        <v>2</v>
      </c>
      <c r="CS9" s="20">
        <f t="shared" si="7"/>
        <v>1</v>
      </c>
      <c r="CT9" s="20">
        <f t="shared" si="7"/>
        <v>10</v>
      </c>
      <c r="CU9" s="20">
        <f t="shared" si="7"/>
        <v>1</v>
      </c>
      <c r="CV9" s="20">
        <f t="shared" si="7"/>
        <v>1</v>
      </c>
      <c r="CW9" s="20">
        <f t="shared" si="7"/>
        <v>1</v>
      </c>
      <c r="CX9" s="20">
        <f t="shared" si="7"/>
        <v>1</v>
      </c>
      <c r="CY9" s="20">
        <f t="shared" si="7"/>
        <v>12</v>
      </c>
      <c r="CZ9" s="20">
        <f t="shared" si="7"/>
        <v>4</v>
      </c>
      <c r="DA9" s="20">
        <f t="shared" si="7"/>
        <v>4</v>
      </c>
      <c r="DB9" s="20">
        <f t="shared" si="7"/>
        <v>1</v>
      </c>
      <c r="DC9" s="20">
        <f t="shared" si="7"/>
        <v>1</v>
      </c>
      <c r="DD9" s="20">
        <f t="shared" si="7"/>
        <v>1</v>
      </c>
      <c r="DE9" s="20">
        <f t="shared" si="7"/>
        <v>1</v>
      </c>
      <c r="DF9" s="20" t="str">
        <f t="shared" si="7"/>
        <v/>
      </c>
      <c r="DG9" s="20" t="str">
        <f t="shared" si="7"/>
        <v/>
      </c>
      <c r="DH9" s="20" t="str">
        <f t="shared" si="7"/>
        <v/>
      </c>
      <c r="DI9" s="20" t="str">
        <f t="shared" si="7"/>
        <v/>
      </c>
      <c r="DJ9" s="20" t="str">
        <f t="shared" si="7"/>
        <v/>
      </c>
      <c r="DK9" s="20" t="str">
        <f t="shared" si="7"/>
        <v/>
      </c>
      <c r="DL9" s="20" t="str">
        <f t="shared" si="7"/>
        <v/>
      </c>
      <c r="DM9" s="20" t="str">
        <f t="shared" si="7"/>
        <v/>
      </c>
      <c r="DN9" s="20" t="str">
        <f t="shared" si="7"/>
        <v/>
      </c>
      <c r="DO9" s="20" t="str">
        <f t="shared" si="7"/>
        <v/>
      </c>
      <c r="DP9" s="20" t="str">
        <f t="shared" si="7"/>
        <v/>
      </c>
      <c r="DQ9" s="20" t="str">
        <f t="shared" si="7"/>
        <v/>
      </c>
      <c r="DR9" s="20" t="str">
        <f t="shared" si="7"/>
        <v/>
      </c>
      <c r="DS9" s="20" t="str">
        <f t="shared" si="7"/>
        <v/>
      </c>
    </row>
    <row r="10" spans="2:123" ht="15" customHeight="1">
      <c r="B10" s="188"/>
      <c r="C10" s="174"/>
      <c r="D10" s="174"/>
      <c r="E10" s="174"/>
      <c r="F10" s="174"/>
      <c r="G10" s="174"/>
      <c r="H10" s="180"/>
      <c r="I10" s="183"/>
      <c r="J10" s="180"/>
      <c r="K10" s="180"/>
      <c r="L10" s="183"/>
      <c r="M10" s="180"/>
      <c r="N10" s="180"/>
      <c r="O10" s="183"/>
      <c r="P10" s="180"/>
      <c r="Q10" s="183"/>
      <c r="R10" s="180"/>
      <c r="S10" s="180"/>
      <c r="T10" s="180"/>
      <c r="U10" s="174"/>
      <c r="V10" s="180"/>
      <c r="W10" s="174"/>
      <c r="X10" s="174"/>
      <c r="Y10" s="174"/>
      <c r="Z10" s="174"/>
      <c r="AA10" s="174"/>
      <c r="AB10" s="177"/>
      <c r="AC10" s="58" t="s">
        <v>6</v>
      </c>
      <c r="AD10" s="17">
        <f t="shared" ref="AD10:CO10" si="8">IFERROR(INDEX($W$13:$W$379,MATCH(SUM(AD$13:AD$379),AD$13:AD$379,0),1),"")</f>
        <v>46217</v>
      </c>
      <c r="AE10" s="17">
        <f t="shared" si="8"/>
        <v>46217</v>
      </c>
      <c r="AF10" s="17">
        <f t="shared" si="8"/>
        <v>46217</v>
      </c>
      <c r="AG10" s="17">
        <f t="shared" si="8"/>
        <v>46217</v>
      </c>
      <c r="AH10" s="17">
        <f t="shared" si="8"/>
        <v>46217</v>
      </c>
      <c r="AI10" s="17">
        <f t="shared" si="8"/>
        <v>46217</v>
      </c>
      <c r="AJ10" s="17">
        <f t="shared" si="8"/>
        <v>46217</v>
      </c>
      <c r="AK10" s="17">
        <f t="shared" si="8"/>
        <v>46217</v>
      </c>
      <c r="AL10" s="17">
        <f t="shared" si="8"/>
        <v>46217</v>
      </c>
      <c r="AM10" s="17">
        <f t="shared" si="8"/>
        <v>46217</v>
      </c>
      <c r="AN10" s="17">
        <f t="shared" si="8"/>
        <v>46217</v>
      </c>
      <c r="AO10" s="17">
        <f t="shared" si="8"/>
        <v>46217</v>
      </c>
      <c r="AP10" s="17">
        <f t="shared" si="8"/>
        <v>46216</v>
      </c>
      <c r="AQ10" s="17">
        <f t="shared" si="8"/>
        <v>46216</v>
      </c>
      <c r="AR10" s="17">
        <f t="shared" si="8"/>
        <v>46229</v>
      </c>
      <c r="AS10" s="17">
        <f t="shared" si="8"/>
        <v>46229</v>
      </c>
      <c r="AT10" s="17">
        <f t="shared" si="8"/>
        <v>46232</v>
      </c>
      <c r="AU10" s="17">
        <f t="shared" si="8"/>
        <v>46232</v>
      </c>
      <c r="AV10" s="17">
        <f t="shared" si="8"/>
        <v>46216</v>
      </c>
      <c r="AW10" s="17">
        <f t="shared" si="8"/>
        <v>46233</v>
      </c>
      <c r="AX10" s="17">
        <f t="shared" si="8"/>
        <v>46233</v>
      </c>
      <c r="AY10" s="17">
        <f t="shared" si="8"/>
        <v>46233</v>
      </c>
      <c r="AZ10" s="17">
        <f t="shared" si="8"/>
        <v>46233</v>
      </c>
      <c r="BA10" s="17">
        <f t="shared" si="8"/>
        <v>46233</v>
      </c>
      <c r="BB10" s="17">
        <f t="shared" si="8"/>
        <v>46233</v>
      </c>
      <c r="BC10" s="17">
        <f t="shared" si="8"/>
        <v>46233</v>
      </c>
      <c r="BD10" s="17">
        <f t="shared" si="8"/>
        <v>46233</v>
      </c>
      <c r="BE10" s="17">
        <f t="shared" si="8"/>
        <v>46229</v>
      </c>
      <c r="BF10" s="17">
        <f t="shared" si="8"/>
        <v>46232</v>
      </c>
      <c r="BG10" s="17">
        <f t="shared" si="8"/>
        <v>46232</v>
      </c>
      <c r="BH10" s="17">
        <f t="shared" si="8"/>
        <v>46232</v>
      </c>
      <c r="BI10" s="17">
        <f t="shared" si="8"/>
        <v>46216</v>
      </c>
      <c r="BJ10" s="17">
        <f t="shared" si="8"/>
        <v>46232</v>
      </c>
      <c r="BK10" s="17">
        <f t="shared" si="8"/>
        <v>46232</v>
      </c>
      <c r="BL10" s="17">
        <f t="shared" si="8"/>
        <v>46232</v>
      </c>
      <c r="BM10" s="17">
        <f t="shared" si="8"/>
        <v>46229</v>
      </c>
      <c r="BN10" s="17">
        <f t="shared" si="8"/>
        <v>46238</v>
      </c>
      <c r="BO10" s="17">
        <f t="shared" si="8"/>
        <v>46238</v>
      </c>
      <c r="BP10" s="17">
        <f t="shared" si="8"/>
        <v>46238</v>
      </c>
      <c r="BQ10" s="17">
        <f t="shared" si="8"/>
        <v>46238</v>
      </c>
      <c r="BR10" s="17">
        <f t="shared" si="8"/>
        <v>46238</v>
      </c>
      <c r="BS10" s="17">
        <f t="shared" si="8"/>
        <v>46238</v>
      </c>
      <c r="BT10" s="17">
        <f t="shared" si="8"/>
        <v>46229</v>
      </c>
      <c r="BU10" s="17">
        <f t="shared" si="8"/>
        <v>46232</v>
      </c>
      <c r="BV10" s="17">
        <f t="shared" si="8"/>
        <v>46233</v>
      </c>
      <c r="BW10" s="17">
        <f t="shared" si="8"/>
        <v>46232</v>
      </c>
      <c r="BX10" s="17">
        <f t="shared" si="8"/>
        <v>46232</v>
      </c>
      <c r="BY10" s="17">
        <f t="shared" si="8"/>
        <v>46238</v>
      </c>
      <c r="BZ10" s="17">
        <f t="shared" si="8"/>
        <v>46238</v>
      </c>
      <c r="CA10" s="17">
        <f t="shared" si="8"/>
        <v>46238</v>
      </c>
      <c r="CB10" s="17">
        <f t="shared" si="8"/>
        <v>46238</v>
      </c>
      <c r="CC10" s="17">
        <f t="shared" si="8"/>
        <v>46238</v>
      </c>
      <c r="CD10" s="17">
        <f t="shared" si="8"/>
        <v>46243</v>
      </c>
      <c r="CE10" s="17">
        <f t="shared" si="8"/>
        <v>46243</v>
      </c>
      <c r="CF10" s="17">
        <f t="shared" si="8"/>
        <v>46243</v>
      </c>
      <c r="CG10" s="17">
        <f t="shared" si="8"/>
        <v>46243</v>
      </c>
      <c r="CH10" s="17">
        <f t="shared" si="8"/>
        <v>46243</v>
      </c>
      <c r="CI10" s="17">
        <f t="shared" si="8"/>
        <v>46243</v>
      </c>
      <c r="CJ10" s="17">
        <f t="shared" si="8"/>
        <v>46243</v>
      </c>
      <c r="CK10" s="17">
        <f t="shared" si="8"/>
        <v>46233</v>
      </c>
      <c r="CL10" s="17">
        <f t="shared" si="8"/>
        <v>46233</v>
      </c>
      <c r="CM10" s="17">
        <f t="shared" si="8"/>
        <v>46238</v>
      </c>
      <c r="CN10" s="17">
        <f t="shared" si="8"/>
        <v>46233</v>
      </c>
      <c r="CO10" s="17">
        <f t="shared" si="8"/>
        <v>46233</v>
      </c>
      <c r="CP10" s="17">
        <f t="shared" ref="CP10:DS10" si="9">IFERROR(INDEX($W$13:$W$379,MATCH(SUM(CP$13:CP$379),CP$13:CP$379,0),1),"")</f>
        <v>46243</v>
      </c>
      <c r="CQ10" s="17">
        <f t="shared" si="9"/>
        <v>46243</v>
      </c>
      <c r="CR10" s="17">
        <f t="shared" si="9"/>
        <v>46238</v>
      </c>
      <c r="CS10" s="17">
        <f t="shared" si="9"/>
        <v>46238</v>
      </c>
      <c r="CT10" s="17">
        <f t="shared" si="9"/>
        <v>46246</v>
      </c>
      <c r="CU10" s="17">
        <f t="shared" si="9"/>
        <v>46238</v>
      </c>
      <c r="CV10" s="17">
        <f t="shared" si="9"/>
        <v>46238</v>
      </c>
      <c r="CW10" s="17">
        <f t="shared" si="9"/>
        <v>46238</v>
      </c>
      <c r="CX10" s="17">
        <f t="shared" si="9"/>
        <v>46238</v>
      </c>
      <c r="CY10" s="17">
        <f t="shared" si="9"/>
        <v>46233</v>
      </c>
      <c r="CZ10" s="17">
        <f t="shared" si="9"/>
        <v>46233</v>
      </c>
      <c r="DA10" s="17">
        <f t="shared" si="9"/>
        <v>46233</v>
      </c>
      <c r="DB10" s="17">
        <f t="shared" si="9"/>
        <v>46246</v>
      </c>
      <c r="DC10" s="17">
        <f t="shared" si="9"/>
        <v>46246</v>
      </c>
      <c r="DD10" s="17">
        <f t="shared" si="9"/>
        <v>46246</v>
      </c>
      <c r="DE10" s="17">
        <f t="shared" si="9"/>
        <v>46246</v>
      </c>
      <c r="DF10" s="17" t="str">
        <f t="shared" si="9"/>
        <v/>
      </c>
      <c r="DG10" s="17" t="str">
        <f t="shared" si="9"/>
        <v/>
      </c>
      <c r="DH10" s="17" t="str">
        <f t="shared" si="9"/>
        <v/>
      </c>
      <c r="DI10" s="17" t="str">
        <f t="shared" si="9"/>
        <v/>
      </c>
      <c r="DJ10" s="17" t="str">
        <f t="shared" si="9"/>
        <v/>
      </c>
      <c r="DK10" s="17" t="str">
        <f t="shared" si="9"/>
        <v/>
      </c>
      <c r="DL10" s="17" t="str">
        <f t="shared" si="9"/>
        <v/>
      </c>
      <c r="DM10" s="17" t="str">
        <f t="shared" si="9"/>
        <v/>
      </c>
      <c r="DN10" s="17" t="str">
        <f t="shared" si="9"/>
        <v/>
      </c>
      <c r="DO10" s="17" t="str">
        <f t="shared" si="9"/>
        <v/>
      </c>
      <c r="DP10" s="17" t="str">
        <f t="shared" si="9"/>
        <v/>
      </c>
      <c r="DQ10" s="17" t="str">
        <f t="shared" si="9"/>
        <v/>
      </c>
      <c r="DR10" s="17" t="str">
        <f t="shared" si="9"/>
        <v/>
      </c>
      <c r="DS10" s="17" t="str">
        <f t="shared" si="9"/>
        <v/>
      </c>
    </row>
    <row r="11" spans="2:123" ht="15" customHeight="1">
      <c r="B11" s="188"/>
      <c r="C11" s="174"/>
      <c r="D11" s="174"/>
      <c r="E11" s="174"/>
      <c r="F11" s="174"/>
      <c r="G11" s="174"/>
      <c r="H11" s="180"/>
      <c r="I11" s="183"/>
      <c r="J11" s="180"/>
      <c r="K11" s="180"/>
      <c r="L11" s="183"/>
      <c r="M11" s="180"/>
      <c r="N11" s="180"/>
      <c r="O11" s="183"/>
      <c r="P11" s="180"/>
      <c r="Q11" s="183"/>
      <c r="R11" s="180"/>
      <c r="S11" s="180"/>
      <c r="T11" s="180"/>
      <c r="U11" s="174"/>
      <c r="V11" s="180"/>
      <c r="W11" s="174"/>
      <c r="X11" s="174"/>
      <c r="Y11" s="174"/>
      <c r="Z11" s="174"/>
      <c r="AA11" s="174"/>
      <c r="AB11" s="177"/>
      <c r="AC11" s="58" t="s">
        <v>7</v>
      </c>
      <c r="AD11" s="20" t="str">
        <f t="shared" ref="AD11:AV11" ca="1" si="10">IF(AD5="","",IF(AD10&gt;AD4,"프리타임 기간내 출고",IF(DATE(YEAR(AD4),MONTH(AD4),1)&gt;DATE(YEAR(AD10),MONTH(AD10),1),DATEDIF(DATE(YEAR(NOW()),MONTH(NOW()),1),(AD4)+1,"D"),DATEDIF(AD10,AD4+1,"D"))))</f>
        <v>프리타임 기간내 출고</v>
      </c>
      <c r="AE11" s="20" t="str">
        <f t="shared" ca="1" si="10"/>
        <v>프리타임 기간내 출고</v>
      </c>
      <c r="AF11" s="20" t="str">
        <f t="shared" ca="1" si="10"/>
        <v>프리타임 기간내 출고</v>
      </c>
      <c r="AG11" s="20" t="str">
        <f t="shared" ca="1" si="10"/>
        <v>프리타임 기간내 출고</v>
      </c>
      <c r="AH11" s="20" t="str">
        <f t="shared" ca="1" si="10"/>
        <v>프리타임 기간내 출고</v>
      </c>
      <c r="AI11" s="20" t="str">
        <f t="shared" ca="1" si="10"/>
        <v>프리타임 기간내 출고</v>
      </c>
      <c r="AJ11" s="20" t="str">
        <f t="shared" ca="1" si="10"/>
        <v>프리타임 기간내 출고</v>
      </c>
      <c r="AK11" s="20" t="str">
        <f t="shared" ca="1" si="10"/>
        <v>프리타임 기간내 출고</v>
      </c>
      <c r="AL11" s="20" t="str">
        <f t="shared" ca="1" si="10"/>
        <v>프리타임 기간내 출고</v>
      </c>
      <c r="AM11" s="20" t="str">
        <f t="shared" ca="1" si="10"/>
        <v>프리타임 기간내 출고</v>
      </c>
      <c r="AN11" s="20" t="str">
        <f t="shared" ca="1" si="10"/>
        <v>프리타임 기간내 출고</v>
      </c>
      <c r="AO11" s="20" t="str">
        <f t="shared" ca="1" si="10"/>
        <v>프리타임 기간내 출고</v>
      </c>
      <c r="AP11" s="20" t="str">
        <f t="shared" ca="1" si="10"/>
        <v>프리타임 기간내 출고</v>
      </c>
      <c r="AQ11" s="20" t="str">
        <f t="shared" ca="1" si="10"/>
        <v>프리타임 기간내 출고</v>
      </c>
      <c r="AR11" s="20" t="str">
        <f t="shared" ca="1" si="10"/>
        <v>프리타임 기간내 출고</v>
      </c>
      <c r="AS11" s="20" t="str">
        <f t="shared" ca="1" si="10"/>
        <v>프리타임 기간내 출고</v>
      </c>
      <c r="AT11" s="20" t="str">
        <f t="shared" ca="1" si="10"/>
        <v>프리타임 기간내 출고</v>
      </c>
      <c r="AU11" s="20" t="str">
        <f t="shared" ca="1" si="10"/>
        <v>프리타임 기간내 출고</v>
      </c>
      <c r="AV11" s="20" t="str">
        <f t="shared" ca="1" si="10"/>
        <v>프리타임 기간내 출고</v>
      </c>
      <c r="AW11" s="20" t="str">
        <f t="shared" ref="AW11:BP11" ca="1" si="11">IF(AW5="","",IF(AW10&gt;AW4,"프리타임 기간내 출고",IF(DATE(YEAR(AW4),MONTH(AW4),1)&gt;DATE(YEAR(AW10),MONTH(AW10),1),DATEDIF(DATE(YEAR(NOW()),MONTH(NOW()),1),(AW4)+1,"D"),DATEDIF(AW10,AW4+1,"D"))))</f>
        <v>프리타임 기간내 출고</v>
      </c>
      <c r="AX11" s="20" t="str">
        <f t="shared" ca="1" si="11"/>
        <v>프리타임 기간내 출고</v>
      </c>
      <c r="AY11" s="20" t="str">
        <f t="shared" ca="1" si="11"/>
        <v>프리타임 기간내 출고</v>
      </c>
      <c r="AZ11" s="20" t="str">
        <f t="shared" ca="1" si="11"/>
        <v>프리타임 기간내 출고</v>
      </c>
      <c r="BA11" s="20" t="str">
        <f t="shared" ca="1" si="11"/>
        <v>프리타임 기간내 출고</v>
      </c>
      <c r="BB11" s="20" t="str">
        <f t="shared" ca="1" si="11"/>
        <v>프리타임 기간내 출고</v>
      </c>
      <c r="BC11" s="20" t="str">
        <f t="shared" ca="1" si="11"/>
        <v>프리타임 기간내 출고</v>
      </c>
      <c r="BD11" s="20" t="str">
        <f t="shared" ca="1" si="11"/>
        <v>프리타임 기간내 출고</v>
      </c>
      <c r="BE11" s="20" t="str">
        <f t="shared" ca="1" si="11"/>
        <v>프리타임 기간내 출고</v>
      </c>
      <c r="BF11" s="20" t="str">
        <f t="shared" ca="1" si="11"/>
        <v>프리타임 기간내 출고</v>
      </c>
      <c r="BG11" s="20" t="str">
        <f t="shared" ca="1" si="11"/>
        <v>프리타임 기간내 출고</v>
      </c>
      <c r="BH11" s="20" t="str">
        <f t="shared" ca="1" si="11"/>
        <v>프리타임 기간내 출고</v>
      </c>
      <c r="BI11" s="20">
        <f t="shared" ca="1" si="11"/>
        <v>2</v>
      </c>
      <c r="BJ11" s="20" t="str">
        <f t="shared" ca="1" si="11"/>
        <v>프리타임 기간내 출고</v>
      </c>
      <c r="BK11" s="20" t="str">
        <f t="shared" ca="1" si="11"/>
        <v>프리타임 기간내 출고</v>
      </c>
      <c r="BL11" s="20" t="str">
        <f t="shared" ca="1" si="11"/>
        <v>프리타임 기간내 출고</v>
      </c>
      <c r="BM11" s="20" t="str">
        <f t="shared" ca="1" si="11"/>
        <v>프리타임 기간내 출고</v>
      </c>
      <c r="BN11" s="20" t="str">
        <f t="shared" ca="1" si="11"/>
        <v>프리타임 기간내 출고</v>
      </c>
      <c r="BO11" s="20" t="str">
        <f t="shared" ca="1" si="11"/>
        <v>프리타임 기간내 출고</v>
      </c>
      <c r="BP11" s="20" t="str">
        <f t="shared" ca="1" si="11"/>
        <v>프리타임 기간내 출고</v>
      </c>
      <c r="BQ11" s="20" t="str">
        <f t="shared" ref="BQ11:DS11" ca="1" si="12">IF(BQ5="","",IF(BQ10&gt;BQ4,"프리타임 기간내 출고",IF(DATE(YEAR(BQ4),MONTH(BQ4),1)&gt;DATE(YEAR(BQ10),MONTH(BQ10),1),DATEDIF(DATE(YEAR(NOW()),MONTH(NOW()),1),(BQ4)+1,"D"),DATEDIF(BQ10,BQ4+1,"D"))))</f>
        <v>프리타임 기간내 출고</v>
      </c>
      <c r="BR11" s="20" t="str">
        <f t="shared" ca="1" si="12"/>
        <v>프리타임 기간내 출고</v>
      </c>
      <c r="BS11" s="20" t="str">
        <f t="shared" ca="1" si="12"/>
        <v>프리타임 기간내 출고</v>
      </c>
      <c r="BT11" s="20" t="str">
        <f t="shared" ca="1" si="12"/>
        <v>프리타임 기간내 출고</v>
      </c>
      <c r="BU11" s="20" t="str">
        <f t="shared" ca="1" si="12"/>
        <v>프리타임 기간내 출고</v>
      </c>
      <c r="BV11" s="20" t="str">
        <f t="shared" ca="1" si="12"/>
        <v>프리타임 기간내 출고</v>
      </c>
      <c r="BW11" s="20" t="str">
        <f t="shared" ca="1" si="12"/>
        <v>프리타임 기간내 출고</v>
      </c>
      <c r="BX11" s="20" t="str">
        <f t="shared" ca="1" si="12"/>
        <v>프리타임 기간내 출고</v>
      </c>
      <c r="BY11" s="20" t="str">
        <f t="shared" ca="1" si="12"/>
        <v>프리타임 기간내 출고</v>
      </c>
      <c r="BZ11" s="20" t="str">
        <f t="shared" ca="1" si="12"/>
        <v>프리타임 기간내 출고</v>
      </c>
      <c r="CA11" s="20" t="str">
        <f t="shared" ca="1" si="12"/>
        <v>프리타임 기간내 출고</v>
      </c>
      <c r="CB11" s="20" t="str">
        <f t="shared" ca="1" si="12"/>
        <v>프리타임 기간내 출고</v>
      </c>
      <c r="CC11" s="20" t="str">
        <f t="shared" ca="1" si="12"/>
        <v>프리타임 기간내 출고</v>
      </c>
      <c r="CD11" s="20" t="str">
        <f t="shared" ca="1" si="12"/>
        <v>프리타임 기간내 출고</v>
      </c>
      <c r="CE11" s="20" t="str">
        <f t="shared" ca="1" si="12"/>
        <v>프리타임 기간내 출고</v>
      </c>
      <c r="CF11" s="20" t="str">
        <f t="shared" ca="1" si="12"/>
        <v>프리타임 기간내 출고</v>
      </c>
      <c r="CG11" s="20" t="str">
        <f t="shared" ca="1" si="12"/>
        <v>프리타임 기간내 출고</v>
      </c>
      <c r="CH11" s="20" t="str">
        <f t="shared" ca="1" si="12"/>
        <v>프리타임 기간내 출고</v>
      </c>
      <c r="CI11" s="20" t="str">
        <f t="shared" ca="1" si="12"/>
        <v>프리타임 기간내 출고</v>
      </c>
      <c r="CJ11" s="20" t="str">
        <f t="shared" ca="1" si="12"/>
        <v>프리타임 기간내 출고</v>
      </c>
      <c r="CK11" s="20" t="str">
        <f t="shared" ca="1" si="12"/>
        <v>프리타임 기간내 출고</v>
      </c>
      <c r="CL11" s="20" t="str">
        <f t="shared" ca="1" si="12"/>
        <v>프리타임 기간내 출고</v>
      </c>
      <c r="CM11" s="20" t="str">
        <f t="shared" ca="1" si="12"/>
        <v>프리타임 기간내 출고</v>
      </c>
      <c r="CN11" s="20" t="str">
        <f t="shared" ca="1" si="12"/>
        <v>프리타임 기간내 출고</v>
      </c>
      <c r="CO11" s="20" t="str">
        <f t="shared" ca="1" si="12"/>
        <v>프리타임 기간내 출고</v>
      </c>
      <c r="CP11" s="20" t="str">
        <f t="shared" ca="1" si="12"/>
        <v>프리타임 기간내 출고</v>
      </c>
      <c r="CQ11" s="20" t="str">
        <f t="shared" ca="1" si="12"/>
        <v>프리타임 기간내 출고</v>
      </c>
      <c r="CR11" s="20" t="str">
        <f t="shared" ca="1" si="12"/>
        <v>프리타임 기간내 출고</v>
      </c>
      <c r="CS11" s="20" t="str">
        <f t="shared" ca="1" si="12"/>
        <v>프리타임 기간내 출고</v>
      </c>
      <c r="CT11" s="20" t="str">
        <f t="shared" ca="1" si="12"/>
        <v>프리타임 기간내 출고</v>
      </c>
      <c r="CU11" s="20" t="str">
        <f t="shared" ca="1" si="12"/>
        <v>프리타임 기간내 출고</v>
      </c>
      <c r="CV11" s="20" t="str">
        <f t="shared" ca="1" si="12"/>
        <v>프리타임 기간내 출고</v>
      </c>
      <c r="CW11" s="20" t="str">
        <f t="shared" ca="1" si="12"/>
        <v>프리타임 기간내 출고</v>
      </c>
      <c r="CX11" s="20" t="str">
        <f t="shared" ca="1" si="12"/>
        <v>프리타임 기간내 출고</v>
      </c>
      <c r="CY11" s="20" t="str">
        <f t="shared" ca="1" si="12"/>
        <v>프리타임 기간내 출고</v>
      </c>
      <c r="CZ11" s="20">
        <f t="shared" ca="1" si="12"/>
        <v>1</v>
      </c>
      <c r="DA11" s="20">
        <f t="shared" ca="1" si="12"/>
        <v>1</v>
      </c>
      <c r="DB11" s="20" t="str">
        <f t="shared" ca="1" si="12"/>
        <v>프리타임 기간내 출고</v>
      </c>
      <c r="DC11" s="20" t="str">
        <f t="shared" ca="1" si="12"/>
        <v>프리타임 기간내 출고</v>
      </c>
      <c r="DD11" s="20" t="str">
        <f t="shared" ca="1" si="12"/>
        <v>프리타임 기간내 출고</v>
      </c>
      <c r="DE11" s="20" t="str">
        <f t="shared" ca="1" si="12"/>
        <v>프리타임 기간내 출고</v>
      </c>
      <c r="DF11" s="20" t="str">
        <f t="shared" ca="1" si="12"/>
        <v/>
      </c>
      <c r="DG11" s="20" t="str">
        <f t="shared" ca="1" si="12"/>
        <v/>
      </c>
      <c r="DH11" s="20" t="str">
        <f t="shared" ca="1" si="12"/>
        <v/>
      </c>
      <c r="DI11" s="20" t="str">
        <f t="shared" ca="1" si="12"/>
        <v/>
      </c>
      <c r="DJ11" s="20" t="str">
        <f t="shared" ca="1" si="12"/>
        <v/>
      </c>
      <c r="DK11" s="20" t="str">
        <f t="shared" ca="1" si="12"/>
        <v/>
      </c>
      <c r="DL11" s="20" t="str">
        <f t="shared" ca="1" si="12"/>
        <v/>
      </c>
      <c r="DM11" s="20" t="str">
        <f t="shared" ca="1" si="12"/>
        <v/>
      </c>
      <c r="DN11" s="20" t="str">
        <f t="shared" ca="1" si="12"/>
        <v/>
      </c>
      <c r="DO11" s="20" t="str">
        <f t="shared" ca="1" si="12"/>
        <v/>
      </c>
      <c r="DP11" s="20" t="str">
        <f t="shared" ca="1" si="12"/>
        <v/>
      </c>
      <c r="DQ11" s="20" t="str">
        <f t="shared" ca="1" si="12"/>
        <v/>
      </c>
      <c r="DR11" s="20" t="str">
        <f t="shared" ca="1" si="12"/>
        <v/>
      </c>
      <c r="DS11" s="20" t="str">
        <f t="shared" ca="1" si="12"/>
        <v/>
      </c>
    </row>
    <row r="12" spans="2:123" ht="15" customHeight="1" thickBot="1">
      <c r="B12" s="189"/>
      <c r="C12" s="175"/>
      <c r="D12" s="175"/>
      <c r="E12" s="175"/>
      <c r="F12" s="175"/>
      <c r="G12" s="175"/>
      <c r="H12" s="181"/>
      <c r="I12" s="184"/>
      <c r="J12" s="181"/>
      <c r="K12" s="181"/>
      <c r="L12" s="184"/>
      <c r="M12" s="181"/>
      <c r="N12" s="181"/>
      <c r="O12" s="184"/>
      <c r="P12" s="181"/>
      <c r="Q12" s="184"/>
      <c r="R12" s="181"/>
      <c r="S12" s="181"/>
      <c r="T12" s="181"/>
      <c r="U12" s="175"/>
      <c r="V12" s="181"/>
      <c r="W12" s="175"/>
      <c r="X12" s="175"/>
      <c r="Y12" s="175"/>
      <c r="Z12" s="175"/>
      <c r="AA12" s="175"/>
      <c r="AB12" s="178"/>
      <c r="AC12" s="100" t="s">
        <v>8</v>
      </c>
      <c r="AD12" s="19" t="str">
        <f t="shared" ref="AD12:BP12" ca="1" si="13">IFERROR(AD11*AD9*(INDEX($Y$13:$Y$379,MATCH(SUM(AD$13:AD$379),AD$13:AD$379,0),1)),"")</f>
        <v/>
      </c>
      <c r="AE12" s="19" t="str">
        <f t="shared" ca="1" si="13"/>
        <v/>
      </c>
      <c r="AF12" s="19" t="str">
        <f t="shared" ca="1" si="13"/>
        <v/>
      </c>
      <c r="AG12" s="19" t="str">
        <f t="shared" ca="1" si="13"/>
        <v/>
      </c>
      <c r="AH12" s="19" t="str">
        <f t="shared" ca="1" si="13"/>
        <v/>
      </c>
      <c r="AI12" s="19" t="str">
        <f t="shared" ca="1" si="13"/>
        <v/>
      </c>
      <c r="AJ12" s="19" t="str">
        <f t="shared" ca="1" si="13"/>
        <v/>
      </c>
      <c r="AK12" s="19" t="str">
        <f t="shared" ca="1" si="13"/>
        <v/>
      </c>
      <c r="AL12" s="19" t="str">
        <f t="shared" ca="1" si="13"/>
        <v/>
      </c>
      <c r="AM12" s="19" t="str">
        <f t="shared" ca="1" si="13"/>
        <v/>
      </c>
      <c r="AN12" s="19" t="str">
        <f t="shared" ca="1" si="13"/>
        <v/>
      </c>
      <c r="AO12" s="19" t="str">
        <f t="shared" ca="1" si="13"/>
        <v/>
      </c>
      <c r="AP12" s="19" t="str">
        <f t="shared" ca="1" si="13"/>
        <v/>
      </c>
      <c r="AQ12" s="19" t="str">
        <f t="shared" ca="1" si="13"/>
        <v/>
      </c>
      <c r="AR12" s="19" t="str">
        <f t="shared" ca="1" si="13"/>
        <v/>
      </c>
      <c r="AS12" s="19" t="str">
        <f t="shared" ca="1" si="13"/>
        <v/>
      </c>
      <c r="AT12" s="19" t="str">
        <f t="shared" ca="1" si="13"/>
        <v/>
      </c>
      <c r="AU12" s="19" t="str">
        <f t="shared" ca="1" si="13"/>
        <v/>
      </c>
      <c r="AV12" s="19" t="str">
        <f t="shared" ca="1" si="13"/>
        <v/>
      </c>
      <c r="AW12" s="19" t="str">
        <f t="shared" ca="1" si="13"/>
        <v/>
      </c>
      <c r="AX12" s="19" t="str">
        <f t="shared" ca="1" si="13"/>
        <v/>
      </c>
      <c r="AY12" s="19" t="str">
        <f t="shared" ca="1" si="13"/>
        <v/>
      </c>
      <c r="AZ12" s="19" t="str">
        <f t="shared" ca="1" si="13"/>
        <v/>
      </c>
      <c r="BA12" s="19" t="str">
        <f t="shared" ca="1" si="13"/>
        <v/>
      </c>
      <c r="BB12" s="19" t="str">
        <f t="shared" ca="1" si="13"/>
        <v/>
      </c>
      <c r="BC12" s="19" t="str">
        <f t="shared" ca="1" si="13"/>
        <v/>
      </c>
      <c r="BD12" s="19" t="str">
        <f t="shared" ca="1" si="13"/>
        <v/>
      </c>
      <c r="BE12" s="19" t="str">
        <f t="shared" ca="1" si="13"/>
        <v/>
      </c>
      <c r="BF12" s="19" t="str">
        <f t="shared" ca="1" si="13"/>
        <v/>
      </c>
      <c r="BG12" s="19" t="str">
        <f t="shared" ca="1" si="13"/>
        <v/>
      </c>
      <c r="BH12" s="19" t="str">
        <f t="shared" ca="1" si="13"/>
        <v/>
      </c>
      <c r="BI12" s="19">
        <f t="shared" ca="1" si="13"/>
        <v>4000</v>
      </c>
      <c r="BJ12" s="19" t="str">
        <f t="shared" ca="1" si="13"/>
        <v/>
      </c>
      <c r="BK12" s="19" t="str">
        <f t="shared" ca="1" si="13"/>
        <v/>
      </c>
      <c r="BL12" s="19" t="str">
        <f t="shared" ca="1" si="13"/>
        <v/>
      </c>
      <c r="BM12" s="19" t="str">
        <f t="shared" ca="1" si="13"/>
        <v/>
      </c>
      <c r="BN12" s="19" t="str">
        <f t="shared" ca="1" si="13"/>
        <v/>
      </c>
      <c r="BO12" s="19" t="str">
        <f t="shared" ca="1" si="13"/>
        <v/>
      </c>
      <c r="BP12" s="19" t="str">
        <f t="shared" ca="1" si="13"/>
        <v/>
      </c>
      <c r="BQ12" s="19" t="str">
        <f t="shared" ref="BQ12:DS12" ca="1" si="14">IFERROR(BQ11*BQ9*(INDEX($Y$13:$Y$379,MATCH(SUM(BQ$13:BQ$379),BQ$13:BQ$379,0),1)),"")</f>
        <v/>
      </c>
      <c r="BR12" s="19" t="str">
        <f t="shared" ca="1" si="14"/>
        <v/>
      </c>
      <c r="BS12" s="19" t="str">
        <f t="shared" ca="1" si="14"/>
        <v/>
      </c>
      <c r="BT12" s="19" t="str">
        <f t="shared" ca="1" si="14"/>
        <v/>
      </c>
      <c r="BU12" s="19" t="str">
        <f t="shared" ca="1" si="14"/>
        <v/>
      </c>
      <c r="BV12" s="19" t="str">
        <f t="shared" ca="1" si="14"/>
        <v/>
      </c>
      <c r="BW12" s="19" t="str">
        <f t="shared" ca="1" si="14"/>
        <v/>
      </c>
      <c r="BX12" s="19" t="str">
        <f t="shared" ca="1" si="14"/>
        <v/>
      </c>
      <c r="BY12" s="19" t="str">
        <f t="shared" ca="1" si="14"/>
        <v/>
      </c>
      <c r="BZ12" s="19" t="str">
        <f t="shared" ca="1" si="14"/>
        <v/>
      </c>
      <c r="CA12" s="19" t="str">
        <f t="shared" ca="1" si="14"/>
        <v/>
      </c>
      <c r="CB12" s="19" t="str">
        <f t="shared" ca="1" si="14"/>
        <v/>
      </c>
      <c r="CC12" s="19" t="str">
        <f t="shared" ca="1" si="14"/>
        <v/>
      </c>
      <c r="CD12" s="19" t="str">
        <f t="shared" ca="1" si="14"/>
        <v/>
      </c>
      <c r="CE12" s="19" t="str">
        <f t="shared" ca="1" si="14"/>
        <v/>
      </c>
      <c r="CF12" s="19" t="str">
        <f t="shared" ca="1" si="14"/>
        <v/>
      </c>
      <c r="CG12" s="19" t="str">
        <f t="shared" ca="1" si="14"/>
        <v/>
      </c>
      <c r="CH12" s="19" t="str">
        <f t="shared" ca="1" si="14"/>
        <v/>
      </c>
      <c r="CI12" s="19" t="str">
        <f t="shared" ca="1" si="14"/>
        <v/>
      </c>
      <c r="CJ12" s="19" t="str">
        <f t="shared" ca="1" si="14"/>
        <v/>
      </c>
      <c r="CK12" s="19" t="str">
        <f t="shared" ca="1" si="14"/>
        <v/>
      </c>
      <c r="CL12" s="19" t="str">
        <f t="shared" ca="1" si="14"/>
        <v/>
      </c>
      <c r="CM12" s="19" t="str">
        <f t="shared" ca="1" si="14"/>
        <v/>
      </c>
      <c r="CN12" s="19" t="str">
        <f t="shared" ca="1" si="14"/>
        <v/>
      </c>
      <c r="CO12" s="19" t="str">
        <f t="shared" ca="1" si="14"/>
        <v/>
      </c>
      <c r="CP12" s="19" t="str">
        <f t="shared" ca="1" si="14"/>
        <v/>
      </c>
      <c r="CQ12" s="19" t="str">
        <f t="shared" ca="1" si="14"/>
        <v/>
      </c>
      <c r="CR12" s="19" t="str">
        <f t="shared" ca="1" si="14"/>
        <v/>
      </c>
      <c r="CS12" s="19" t="str">
        <f t="shared" ca="1" si="14"/>
        <v/>
      </c>
      <c r="CT12" s="19" t="str">
        <f t="shared" ca="1" si="14"/>
        <v/>
      </c>
      <c r="CU12" s="19" t="str">
        <f t="shared" ca="1" si="14"/>
        <v/>
      </c>
      <c r="CV12" s="19" t="str">
        <f t="shared" ca="1" si="14"/>
        <v/>
      </c>
      <c r="CW12" s="19" t="str">
        <f t="shared" ca="1" si="14"/>
        <v/>
      </c>
      <c r="CX12" s="19" t="str">
        <f t="shared" ca="1" si="14"/>
        <v/>
      </c>
      <c r="CY12" s="19" t="str">
        <f t="shared" ca="1" si="14"/>
        <v/>
      </c>
      <c r="CZ12" s="19">
        <f t="shared" ca="1" si="14"/>
        <v>4000</v>
      </c>
      <c r="DA12" s="19">
        <f t="shared" ca="1" si="14"/>
        <v>4000</v>
      </c>
      <c r="DB12" s="19" t="str">
        <f t="shared" ca="1" si="14"/>
        <v/>
      </c>
      <c r="DC12" s="19" t="str">
        <f t="shared" ca="1" si="14"/>
        <v/>
      </c>
      <c r="DD12" s="19" t="str">
        <f t="shared" ca="1" si="14"/>
        <v/>
      </c>
      <c r="DE12" s="19" t="str">
        <f t="shared" ca="1" si="14"/>
        <v/>
      </c>
      <c r="DF12" s="19" t="str">
        <f t="shared" ca="1" si="14"/>
        <v/>
      </c>
      <c r="DG12" s="19" t="str">
        <f t="shared" ca="1" si="14"/>
        <v/>
      </c>
      <c r="DH12" s="19" t="str">
        <f t="shared" ca="1" si="14"/>
        <v/>
      </c>
      <c r="DI12" s="19" t="str">
        <f t="shared" ca="1" si="14"/>
        <v/>
      </c>
      <c r="DJ12" s="19" t="str">
        <f t="shared" ca="1" si="14"/>
        <v/>
      </c>
      <c r="DK12" s="19" t="str">
        <f t="shared" ca="1" si="14"/>
        <v/>
      </c>
      <c r="DL12" s="19" t="str">
        <f t="shared" ca="1" si="14"/>
        <v/>
      </c>
      <c r="DM12" s="19" t="str">
        <f t="shared" ca="1" si="14"/>
        <v/>
      </c>
      <c r="DN12" s="19" t="str">
        <f t="shared" ca="1" si="14"/>
        <v/>
      </c>
      <c r="DO12" s="19" t="str">
        <f t="shared" ca="1" si="14"/>
        <v/>
      </c>
      <c r="DP12" s="19" t="str">
        <f t="shared" ca="1" si="14"/>
        <v/>
      </c>
      <c r="DQ12" s="19" t="str">
        <f t="shared" ca="1" si="14"/>
        <v/>
      </c>
      <c r="DR12" s="19" t="str">
        <f t="shared" ca="1" si="14"/>
        <v/>
      </c>
      <c r="DS12" s="19" t="str">
        <f t="shared" ca="1" si="14"/>
        <v/>
      </c>
    </row>
    <row r="13" spans="2:123" s="2" customFormat="1" ht="20.100000000000001" customHeight="1" thickTop="1">
      <c r="B13" s="110">
        <v>46196</v>
      </c>
      <c r="C13" s="111" t="s">
        <v>556</v>
      </c>
      <c r="D13" s="112" t="s">
        <v>240</v>
      </c>
      <c r="E13" s="113"/>
      <c r="F13" s="114" t="s">
        <v>546</v>
      </c>
      <c r="G13" s="8" t="str">
        <f t="shared" ref="G13:G14" si="15">C13&amp;F13</f>
        <v>DDCLADE193031옥수수국수 2.5KG*4BAG/CTN</v>
      </c>
      <c r="H13" s="28">
        <v>1630</v>
      </c>
      <c r="I13" s="41">
        <f t="shared" ref="I13:I14" si="16">ROUNDUP((H13/V13),0)</f>
        <v>17</v>
      </c>
      <c r="J13" s="29">
        <v>0</v>
      </c>
      <c r="K13" s="29">
        <v>0</v>
      </c>
      <c r="L13" s="41">
        <f t="shared" ref="L13:L14" si="17">ROUNDUP((K13/V13),0)</f>
        <v>0</v>
      </c>
      <c r="M13" s="29">
        <v>0</v>
      </c>
      <c r="N13" s="31">
        <f t="shared" ref="N13:N14" si="18">P13-K13+M13</f>
        <v>0</v>
      </c>
      <c r="O13" s="42">
        <f t="shared" ref="O13:O14" si="19">ROUNDUP((N13/V13),0)</f>
        <v>0</v>
      </c>
      <c r="P13" s="31">
        <f t="shared" ref="P13:P14" si="20">H13-T13</f>
        <v>0</v>
      </c>
      <c r="Q13" s="42">
        <f t="shared" ref="Q13:Q14" si="21">L13+O13</f>
        <v>0</v>
      </c>
      <c r="R13" s="28">
        <v>1200</v>
      </c>
      <c r="S13" s="97">
        <f t="shared" ref="S13:S44" si="22">SUM(AD13:FS13)</f>
        <v>430</v>
      </c>
      <c r="T13" s="97">
        <f t="shared" ref="T13:T14" si="23">R13+S13+J13+M13</f>
        <v>1630</v>
      </c>
      <c r="V13" s="28">
        <v>100</v>
      </c>
      <c r="W13" s="95">
        <f t="shared" ref="W13:W14" si="24">B13+X13</f>
        <v>46216</v>
      </c>
      <c r="X13" s="79">
        <v>20</v>
      </c>
      <c r="Y13" s="79">
        <v>1000</v>
      </c>
      <c r="Z13" s="2" t="e">
        <f>SUMIF(#REF!,G13,#REF!)</f>
        <v>#REF!</v>
      </c>
      <c r="AA13" s="2">
        <f t="shared" ref="AA13:AA14" ca="1" si="25">IF(W13&gt;TODAY(),"프리타임기간중",Q13*Y13*IF(DATE(YEAR(W13),MONTH(W13),1)&lt;DATE(YEAR($AA$2),MONTH($AA$2),1),DATEDIF($AA$2,$AA$3,"D")+1,DATEDIF(W13,$AA$3+1,"d")))</f>
        <v>0</v>
      </c>
      <c r="AB13" s="2" t="str">
        <f t="shared" ref="AB13:AB14" ca="1" si="26">IFERROR(Z13+AA13,"")</f>
        <v/>
      </c>
      <c r="AC13" s="103"/>
      <c r="AP13" s="2">
        <v>400</v>
      </c>
      <c r="AQ13" s="2">
        <v>30</v>
      </c>
    </row>
    <row r="14" spans="2:123" s="2" customFormat="1" ht="20.100000000000001" customHeight="1">
      <c r="B14" s="110">
        <v>46196</v>
      </c>
      <c r="C14" s="111" t="s">
        <v>556</v>
      </c>
      <c r="D14" s="112"/>
      <c r="E14" s="113"/>
      <c r="F14" s="114" t="s">
        <v>497</v>
      </c>
      <c r="G14" s="8" t="str">
        <f t="shared" si="15"/>
        <v>DDCLADE193031옥수수국수 400G*25BAG/CTN</v>
      </c>
      <c r="H14" s="28">
        <v>200</v>
      </c>
      <c r="I14" s="41">
        <f t="shared" si="16"/>
        <v>2</v>
      </c>
      <c r="J14" s="29">
        <v>0</v>
      </c>
      <c r="K14" s="29">
        <v>0</v>
      </c>
      <c r="L14" s="41">
        <f t="shared" si="17"/>
        <v>0</v>
      </c>
      <c r="M14" s="29">
        <v>0</v>
      </c>
      <c r="N14" s="31">
        <f t="shared" si="18"/>
        <v>0</v>
      </c>
      <c r="O14" s="42">
        <f t="shared" si="19"/>
        <v>0</v>
      </c>
      <c r="P14" s="31">
        <f t="shared" si="20"/>
        <v>0</v>
      </c>
      <c r="Q14" s="42">
        <f t="shared" si="21"/>
        <v>0</v>
      </c>
      <c r="R14" s="28">
        <v>0</v>
      </c>
      <c r="S14" s="97">
        <f t="shared" si="22"/>
        <v>200</v>
      </c>
      <c r="T14" s="97">
        <f t="shared" si="23"/>
        <v>200</v>
      </c>
      <c r="V14" s="28">
        <v>100</v>
      </c>
      <c r="W14" s="95">
        <f t="shared" si="24"/>
        <v>46216</v>
      </c>
      <c r="X14" s="79">
        <v>20</v>
      </c>
      <c r="Y14" s="79">
        <v>1000</v>
      </c>
      <c r="Z14" s="2" t="e">
        <f>SUMIF(#REF!,G14,#REF!)</f>
        <v>#REF!</v>
      </c>
      <c r="AA14" s="2">
        <f t="shared" ca="1" si="25"/>
        <v>0</v>
      </c>
      <c r="AB14" s="2" t="str">
        <f t="shared" ca="1" si="26"/>
        <v/>
      </c>
      <c r="AC14" s="103"/>
      <c r="BI14" s="142">
        <v>200</v>
      </c>
    </row>
    <row r="15" spans="2:123" s="2" customFormat="1" ht="20.100000000000001" customHeight="1">
      <c r="B15" s="110">
        <v>46196</v>
      </c>
      <c r="C15" s="111" t="s">
        <v>556</v>
      </c>
      <c r="D15" s="112"/>
      <c r="E15" s="113"/>
      <c r="F15" s="114" t="s">
        <v>498</v>
      </c>
      <c r="G15" s="8" t="str">
        <f t="shared" ref="G15:G18" si="27">C15&amp;F15</f>
        <v>DDCLADE193031옥수수국수 1KG*10BAG/CT</v>
      </c>
      <c r="H15" s="28">
        <v>100</v>
      </c>
      <c r="I15" s="41">
        <f t="shared" ref="I15:I18" si="28">ROUNDUP((H15/V15),0)</f>
        <v>1</v>
      </c>
      <c r="J15" s="29">
        <v>0</v>
      </c>
      <c r="K15" s="29">
        <v>0</v>
      </c>
      <c r="L15" s="41">
        <f t="shared" ref="L15:L18" si="29">ROUNDUP((K15/V15),0)</f>
        <v>0</v>
      </c>
      <c r="M15" s="29">
        <v>0</v>
      </c>
      <c r="N15" s="31">
        <f t="shared" ref="N15:N18" si="30">P15-K15+M15</f>
        <v>0</v>
      </c>
      <c r="O15" s="42">
        <f t="shared" ref="O15:O18" si="31">ROUNDUP((N15/V15),0)</f>
        <v>0</v>
      </c>
      <c r="P15" s="31">
        <f t="shared" ref="P15:P18" si="32">H15-T15</f>
        <v>0</v>
      </c>
      <c r="Q15" s="42">
        <f t="shared" ref="Q15:Q18" si="33">L15+O15</f>
        <v>0</v>
      </c>
      <c r="R15" s="28">
        <v>0</v>
      </c>
      <c r="S15" s="97">
        <f t="shared" si="22"/>
        <v>100</v>
      </c>
      <c r="T15" s="97">
        <f t="shared" ref="T15:T18" si="34">R15+S15+J15+M15</f>
        <v>100</v>
      </c>
      <c r="V15" s="28">
        <v>100</v>
      </c>
      <c r="W15" s="95">
        <f t="shared" ref="W15:W18" si="35">B15+X15</f>
        <v>46216</v>
      </c>
      <c r="X15" s="79">
        <v>20</v>
      </c>
      <c r="Y15" s="79">
        <v>1000</v>
      </c>
      <c r="Z15" s="2" t="e">
        <f>SUMIF(#REF!,G15,#REF!)</f>
        <v>#REF!</v>
      </c>
      <c r="AA15" s="2">
        <f t="shared" ref="AA15:AA18" ca="1" si="36">IF(W15&gt;TODAY(),"프리타임기간중",Q15*Y15*IF(DATE(YEAR(W15),MONTH(W15),1)&lt;DATE(YEAR($AA$2),MONTH($AA$2),1),DATEDIF($AA$2,$AA$3,"D")+1,DATEDIF(W15,$AA$3+1,"d")))</f>
        <v>0</v>
      </c>
      <c r="AB15" s="2" t="str">
        <f t="shared" ref="AB15:AB18" ca="1" si="37">IFERROR(Z15+AA15,"")</f>
        <v/>
      </c>
      <c r="AC15" s="103"/>
      <c r="AV15" s="2">
        <v>100</v>
      </c>
    </row>
    <row r="16" spans="2:123" s="2" customFormat="1" ht="20.100000000000001" customHeight="1">
      <c r="B16" s="110">
        <v>46197</v>
      </c>
      <c r="C16" s="111" t="s">
        <v>525</v>
      </c>
      <c r="D16" s="112"/>
      <c r="E16" s="113"/>
      <c r="F16" s="114" t="s">
        <v>507</v>
      </c>
      <c r="G16" s="8" t="str">
        <f t="shared" si="27"/>
        <v>COHEAR675YN091A소이빈 밀크 파우더</v>
      </c>
      <c r="H16" s="28">
        <v>200</v>
      </c>
      <c r="I16" s="41">
        <f t="shared" si="28"/>
        <v>6</v>
      </c>
      <c r="J16" s="29">
        <v>0</v>
      </c>
      <c r="K16" s="29">
        <v>0</v>
      </c>
      <c r="L16" s="41">
        <f t="shared" si="29"/>
        <v>0</v>
      </c>
      <c r="M16" s="29">
        <v>0</v>
      </c>
      <c r="N16" s="31">
        <f t="shared" si="30"/>
        <v>0</v>
      </c>
      <c r="O16" s="42">
        <f t="shared" si="31"/>
        <v>0</v>
      </c>
      <c r="P16" s="31">
        <f t="shared" si="32"/>
        <v>0</v>
      </c>
      <c r="Q16" s="42">
        <f t="shared" si="33"/>
        <v>0</v>
      </c>
      <c r="R16" s="28">
        <v>200</v>
      </c>
      <c r="S16" s="97">
        <f t="shared" si="22"/>
        <v>0</v>
      </c>
      <c r="T16" s="97">
        <f t="shared" si="34"/>
        <v>200</v>
      </c>
      <c r="V16" s="28">
        <v>36</v>
      </c>
      <c r="W16" s="95">
        <f t="shared" si="35"/>
        <v>46217</v>
      </c>
      <c r="X16" s="79">
        <v>20</v>
      </c>
      <c r="Y16" s="79">
        <v>1000</v>
      </c>
      <c r="Z16" s="2" t="e">
        <f>SUMIF(#REF!,G16,#REF!)</f>
        <v>#REF!</v>
      </c>
      <c r="AA16" s="2">
        <f t="shared" ca="1" si="36"/>
        <v>0</v>
      </c>
      <c r="AB16" s="2" t="str">
        <f t="shared" ca="1" si="37"/>
        <v/>
      </c>
      <c r="AC16" s="103"/>
    </row>
    <row r="17" spans="2:41" s="2" customFormat="1" ht="20.100000000000001" customHeight="1">
      <c r="B17" s="110">
        <v>46197</v>
      </c>
      <c r="C17" s="111" t="s">
        <v>583</v>
      </c>
      <c r="D17" s="112"/>
      <c r="E17" s="113"/>
      <c r="F17" s="114" t="s">
        <v>584</v>
      </c>
      <c r="G17" s="8" t="str">
        <f t="shared" si="27"/>
        <v>COHEAR675YN091B버터 레이즌 크래커</v>
      </c>
      <c r="H17" s="28">
        <v>100</v>
      </c>
      <c r="I17" s="41">
        <f t="shared" si="28"/>
        <v>4</v>
      </c>
      <c r="J17" s="29">
        <v>0</v>
      </c>
      <c r="K17" s="29">
        <v>0</v>
      </c>
      <c r="L17" s="41">
        <f t="shared" si="29"/>
        <v>0</v>
      </c>
      <c r="M17" s="29">
        <v>0</v>
      </c>
      <c r="N17" s="31">
        <f t="shared" si="30"/>
        <v>0</v>
      </c>
      <c r="O17" s="42">
        <f t="shared" si="31"/>
        <v>0</v>
      </c>
      <c r="P17" s="31">
        <f t="shared" si="32"/>
        <v>0</v>
      </c>
      <c r="Q17" s="42">
        <f t="shared" si="33"/>
        <v>0</v>
      </c>
      <c r="R17" s="28">
        <v>0</v>
      </c>
      <c r="S17" s="97">
        <f t="shared" si="22"/>
        <v>100</v>
      </c>
      <c r="T17" s="97">
        <f t="shared" si="34"/>
        <v>100</v>
      </c>
      <c r="U17" s="2" t="s">
        <v>524</v>
      </c>
      <c r="V17" s="28">
        <v>28</v>
      </c>
      <c r="W17" s="95">
        <f t="shared" si="35"/>
        <v>46217</v>
      </c>
      <c r="X17" s="79">
        <v>20</v>
      </c>
      <c r="Y17" s="79">
        <v>1000</v>
      </c>
      <c r="Z17" s="2" t="e">
        <f>SUMIF(#REF!,G17,#REF!)</f>
        <v>#REF!</v>
      </c>
      <c r="AA17" s="2">
        <f t="shared" ca="1" si="36"/>
        <v>0</v>
      </c>
      <c r="AB17" s="2" t="str">
        <f t="shared" ca="1" si="37"/>
        <v/>
      </c>
      <c r="AC17" s="103"/>
      <c r="AK17" s="2">
        <f>24*3</f>
        <v>72</v>
      </c>
      <c r="AL17" s="142">
        <v>28</v>
      </c>
    </row>
    <row r="18" spans="2:41" s="2" customFormat="1" ht="20.100000000000001" customHeight="1">
      <c r="B18" s="110">
        <v>46197</v>
      </c>
      <c r="C18" s="111" t="s">
        <v>535</v>
      </c>
      <c r="D18" s="112"/>
      <c r="E18" s="113"/>
      <c r="F18" s="114" t="s">
        <v>508</v>
      </c>
      <c r="G18" s="8" t="str">
        <f t="shared" si="27"/>
        <v>COHEAR675YN091C향라맛 따콴펀</v>
      </c>
      <c r="H18" s="28">
        <v>300</v>
      </c>
      <c r="I18" s="41">
        <f t="shared" si="28"/>
        <v>10</v>
      </c>
      <c r="J18" s="29">
        <v>0</v>
      </c>
      <c r="K18" s="29">
        <v>0</v>
      </c>
      <c r="L18" s="41">
        <f t="shared" si="29"/>
        <v>0</v>
      </c>
      <c r="M18" s="29">
        <v>0</v>
      </c>
      <c r="N18" s="31">
        <f t="shared" si="30"/>
        <v>0</v>
      </c>
      <c r="O18" s="42">
        <f t="shared" si="31"/>
        <v>0</v>
      </c>
      <c r="P18" s="31">
        <f t="shared" si="32"/>
        <v>0</v>
      </c>
      <c r="Q18" s="42">
        <f t="shared" si="33"/>
        <v>0</v>
      </c>
      <c r="R18" s="28">
        <v>300</v>
      </c>
      <c r="S18" s="97">
        <f t="shared" si="22"/>
        <v>0</v>
      </c>
      <c r="T18" s="97">
        <f t="shared" si="34"/>
        <v>300</v>
      </c>
      <c r="V18" s="28">
        <v>30</v>
      </c>
      <c r="W18" s="95">
        <f t="shared" si="35"/>
        <v>46217</v>
      </c>
      <c r="X18" s="79">
        <v>20</v>
      </c>
      <c r="Y18" s="79">
        <v>1000</v>
      </c>
      <c r="Z18" s="2" t="e">
        <f>SUMIF(#REF!,G18,#REF!)</f>
        <v>#REF!</v>
      </c>
      <c r="AA18" s="2">
        <f t="shared" ca="1" si="36"/>
        <v>0</v>
      </c>
      <c r="AB18" s="2" t="str">
        <f t="shared" ca="1" si="37"/>
        <v/>
      </c>
      <c r="AC18" s="103"/>
    </row>
    <row r="19" spans="2:41" s="2" customFormat="1" ht="20.100000000000001" customHeight="1">
      <c r="B19" s="110">
        <v>46197</v>
      </c>
      <c r="C19" s="111" t="s">
        <v>503</v>
      </c>
      <c r="D19" s="112"/>
      <c r="E19" s="113"/>
      <c r="F19" s="114" t="s">
        <v>509</v>
      </c>
      <c r="G19" s="8" t="str">
        <f t="shared" ref="G19:G28" si="38">C19&amp;F19</f>
        <v>COHEAR675YN091C마장맛 둔분</v>
      </c>
      <c r="H19" s="28">
        <v>70</v>
      </c>
      <c r="I19" s="41">
        <f t="shared" ref="I19:I28" si="39">ROUNDUP((H19/V19),0)</f>
        <v>3</v>
      </c>
      <c r="J19" s="29">
        <v>0</v>
      </c>
      <c r="K19" s="29">
        <v>0</v>
      </c>
      <c r="L19" s="41">
        <f t="shared" ref="L19:L28" si="40">ROUNDUP((K19/V19),0)</f>
        <v>0</v>
      </c>
      <c r="M19" s="29">
        <v>0</v>
      </c>
      <c r="N19" s="31">
        <f t="shared" ref="N19:N28" si="41">P19-K19+M19</f>
        <v>0</v>
      </c>
      <c r="O19" s="42">
        <f t="shared" ref="O19:O28" si="42">ROUNDUP((N19/V19),0)</f>
        <v>0</v>
      </c>
      <c r="P19" s="31">
        <f t="shared" ref="P19:P28" si="43">H19-T19</f>
        <v>0</v>
      </c>
      <c r="Q19" s="42">
        <f t="shared" ref="Q19:Q28" si="44">L19+O19</f>
        <v>0</v>
      </c>
      <c r="R19" s="28">
        <v>70</v>
      </c>
      <c r="S19" s="97">
        <f t="shared" si="22"/>
        <v>0</v>
      </c>
      <c r="T19" s="97">
        <f t="shared" ref="T19:T28" si="45">R19+S19+J19+M19</f>
        <v>70</v>
      </c>
      <c r="V19" s="28">
        <v>30</v>
      </c>
      <c r="W19" s="95">
        <f t="shared" ref="W19:W28" si="46">B19+X19</f>
        <v>46217</v>
      </c>
      <c r="X19" s="79">
        <v>20</v>
      </c>
      <c r="Y19" s="79">
        <v>1000</v>
      </c>
      <c r="Z19" s="2" t="e">
        <f>SUMIF(#REF!,G19,#REF!)</f>
        <v>#REF!</v>
      </c>
      <c r="AA19" s="2">
        <f t="shared" ref="AA19:AA28" ca="1" si="47">IF(W19&gt;TODAY(),"프리타임기간중",Q19*Y19*IF(DATE(YEAR(W19),MONTH(W19),1)&lt;DATE(YEAR($AA$2),MONTH($AA$2),1),DATEDIF($AA$2,$AA$3,"D")+1,DATEDIF(W19,$AA$3+1,"d")))</f>
        <v>0</v>
      </c>
      <c r="AB19" s="2" t="str">
        <f t="shared" ref="AB19:AB28" ca="1" si="48">IFERROR(Z19+AA19,"")</f>
        <v/>
      </c>
      <c r="AC19" s="103"/>
    </row>
    <row r="20" spans="2:41" s="2" customFormat="1" ht="20.100000000000001" customHeight="1">
      <c r="B20" s="110">
        <v>46197</v>
      </c>
      <c r="C20" s="111" t="s">
        <v>535</v>
      </c>
      <c r="D20" s="112"/>
      <c r="E20" s="113"/>
      <c r="F20" s="114" t="s">
        <v>537</v>
      </c>
      <c r="G20" s="8" t="str">
        <f t="shared" si="38"/>
        <v>COHEAR675YN091C매듭곤약향라맛</v>
      </c>
      <c r="H20" s="28">
        <v>50</v>
      </c>
      <c r="I20" s="41">
        <f t="shared" si="39"/>
        <v>2</v>
      </c>
      <c r="J20" s="29">
        <v>0</v>
      </c>
      <c r="K20" s="29">
        <v>0</v>
      </c>
      <c r="L20" s="41">
        <f t="shared" si="40"/>
        <v>0</v>
      </c>
      <c r="M20" s="29">
        <v>0</v>
      </c>
      <c r="N20" s="31">
        <f t="shared" si="41"/>
        <v>0</v>
      </c>
      <c r="O20" s="42">
        <f t="shared" si="42"/>
        <v>0</v>
      </c>
      <c r="P20" s="31">
        <f t="shared" si="43"/>
        <v>0</v>
      </c>
      <c r="Q20" s="42">
        <f t="shared" si="44"/>
        <v>0</v>
      </c>
      <c r="R20" s="28">
        <v>0</v>
      </c>
      <c r="S20" s="97">
        <f t="shared" si="22"/>
        <v>50</v>
      </c>
      <c r="T20" s="97">
        <f t="shared" si="45"/>
        <v>50</v>
      </c>
      <c r="V20" s="28">
        <v>36</v>
      </c>
      <c r="W20" s="95">
        <f t="shared" si="46"/>
        <v>46217</v>
      </c>
      <c r="X20" s="79">
        <v>20</v>
      </c>
      <c r="Y20" s="79">
        <v>1000</v>
      </c>
      <c r="Z20" s="2" t="e">
        <f>SUMIF(#REF!,G20,#REF!)</f>
        <v>#REF!</v>
      </c>
      <c r="AA20" s="2">
        <f t="shared" ca="1" si="47"/>
        <v>0</v>
      </c>
      <c r="AB20" s="2" t="str">
        <f t="shared" ca="1" si="48"/>
        <v/>
      </c>
      <c r="AC20" s="103"/>
      <c r="AN20" s="2">
        <v>50</v>
      </c>
    </row>
    <row r="21" spans="2:41" s="2" customFormat="1" ht="20.100000000000001" customHeight="1">
      <c r="B21" s="110">
        <v>46197</v>
      </c>
      <c r="C21" s="111" t="s">
        <v>536</v>
      </c>
      <c r="D21" s="112"/>
      <c r="E21" s="113"/>
      <c r="F21" s="114" t="s">
        <v>510</v>
      </c>
      <c r="G21" s="8" t="str">
        <f t="shared" si="38"/>
        <v>COHEAR675YN091D카오렁미엔(Grilled Cold Noodles)</v>
      </c>
      <c r="H21" s="28">
        <v>200</v>
      </c>
      <c r="I21" s="41">
        <f t="shared" si="39"/>
        <v>4</v>
      </c>
      <c r="J21" s="29">
        <v>0</v>
      </c>
      <c r="K21" s="29">
        <v>0</v>
      </c>
      <c r="L21" s="41">
        <f t="shared" si="40"/>
        <v>0</v>
      </c>
      <c r="M21" s="29">
        <v>0</v>
      </c>
      <c r="N21" s="31">
        <f t="shared" si="41"/>
        <v>0</v>
      </c>
      <c r="O21" s="42">
        <f t="shared" si="42"/>
        <v>0</v>
      </c>
      <c r="P21" s="31">
        <f t="shared" si="43"/>
        <v>0</v>
      </c>
      <c r="Q21" s="42">
        <f t="shared" si="44"/>
        <v>0</v>
      </c>
      <c r="R21" s="28">
        <v>200</v>
      </c>
      <c r="S21" s="97">
        <f t="shared" si="22"/>
        <v>0</v>
      </c>
      <c r="T21" s="97">
        <f t="shared" si="45"/>
        <v>200</v>
      </c>
      <c r="V21" s="28">
        <v>56</v>
      </c>
      <c r="W21" s="95">
        <f t="shared" si="46"/>
        <v>46217</v>
      </c>
      <c r="X21" s="79">
        <v>20</v>
      </c>
      <c r="Y21" s="79">
        <v>1000</v>
      </c>
      <c r="Z21" s="2" t="e">
        <f>SUMIF(#REF!,G21,#REF!)</f>
        <v>#REF!</v>
      </c>
      <c r="AA21" s="2">
        <f t="shared" ca="1" si="47"/>
        <v>0</v>
      </c>
      <c r="AB21" s="2" t="str">
        <f t="shared" ca="1" si="48"/>
        <v/>
      </c>
      <c r="AC21" s="103"/>
    </row>
    <row r="22" spans="2:41" s="2" customFormat="1" ht="20.100000000000001" customHeight="1">
      <c r="B22" s="110">
        <v>46197</v>
      </c>
      <c r="C22" s="111" t="s">
        <v>526</v>
      </c>
      <c r="D22" s="112"/>
      <c r="E22" s="113"/>
      <c r="F22" s="114" t="s">
        <v>511</v>
      </c>
      <c r="G22" s="8" t="str">
        <f t="shared" si="38"/>
        <v>COHEAR675YN091E오징어(오리지널_35G)</v>
      </c>
      <c r="H22" s="28">
        <v>60</v>
      </c>
      <c r="I22" s="41">
        <f t="shared" si="39"/>
        <v>2</v>
      </c>
      <c r="J22" s="29">
        <v>0</v>
      </c>
      <c r="K22" s="29">
        <v>0</v>
      </c>
      <c r="L22" s="41">
        <f t="shared" si="40"/>
        <v>0</v>
      </c>
      <c r="M22" s="29">
        <v>0</v>
      </c>
      <c r="N22" s="31">
        <f t="shared" si="41"/>
        <v>0</v>
      </c>
      <c r="O22" s="42">
        <f t="shared" si="42"/>
        <v>0</v>
      </c>
      <c r="P22" s="31">
        <f t="shared" si="43"/>
        <v>0</v>
      </c>
      <c r="Q22" s="42">
        <f t="shared" si="44"/>
        <v>0</v>
      </c>
      <c r="R22" s="28">
        <v>60</v>
      </c>
      <c r="S22" s="97">
        <f t="shared" si="22"/>
        <v>0</v>
      </c>
      <c r="T22" s="97">
        <f t="shared" si="45"/>
        <v>60</v>
      </c>
      <c r="V22" s="28">
        <v>48</v>
      </c>
      <c r="W22" s="95">
        <f t="shared" si="46"/>
        <v>46217</v>
      </c>
      <c r="X22" s="79">
        <v>20</v>
      </c>
      <c r="Y22" s="79">
        <v>1000</v>
      </c>
      <c r="Z22" s="2" t="e">
        <f>SUMIF(#REF!,G22,#REF!)</f>
        <v>#REF!</v>
      </c>
      <c r="AA22" s="2">
        <f t="shared" ca="1" si="47"/>
        <v>0</v>
      </c>
      <c r="AB22" s="2" t="str">
        <f t="shared" ca="1" si="48"/>
        <v/>
      </c>
      <c r="AC22" s="103"/>
    </row>
    <row r="23" spans="2:41" s="2" customFormat="1" ht="20.100000000000001" customHeight="1">
      <c r="B23" s="110">
        <v>46197</v>
      </c>
      <c r="C23" s="111" t="s">
        <v>504</v>
      </c>
      <c r="D23" s="112"/>
      <c r="E23" s="113"/>
      <c r="F23" s="114" t="s">
        <v>512</v>
      </c>
      <c r="G23" s="8" t="str">
        <f t="shared" si="38"/>
        <v>COHEAR675YN091E오징어(향라맛_25G)</v>
      </c>
      <c r="H23" s="28">
        <v>60</v>
      </c>
      <c r="I23" s="41">
        <f t="shared" si="39"/>
        <v>2</v>
      </c>
      <c r="J23" s="29">
        <v>0</v>
      </c>
      <c r="K23" s="29">
        <v>0</v>
      </c>
      <c r="L23" s="41">
        <f t="shared" si="40"/>
        <v>0</v>
      </c>
      <c r="M23" s="29">
        <v>0</v>
      </c>
      <c r="N23" s="31">
        <f t="shared" si="41"/>
        <v>0</v>
      </c>
      <c r="O23" s="42">
        <f t="shared" si="42"/>
        <v>0</v>
      </c>
      <c r="P23" s="31">
        <f t="shared" si="43"/>
        <v>0</v>
      </c>
      <c r="Q23" s="42">
        <f t="shared" si="44"/>
        <v>0</v>
      </c>
      <c r="R23" s="28">
        <v>60</v>
      </c>
      <c r="S23" s="97">
        <f t="shared" si="22"/>
        <v>0</v>
      </c>
      <c r="T23" s="97">
        <f t="shared" si="45"/>
        <v>60</v>
      </c>
      <c r="V23" s="28">
        <v>48</v>
      </c>
      <c r="W23" s="95">
        <f t="shared" si="46"/>
        <v>46217</v>
      </c>
      <c r="X23" s="79">
        <v>20</v>
      </c>
      <c r="Y23" s="79">
        <v>1000</v>
      </c>
      <c r="Z23" s="2" t="e">
        <f>SUMIF(#REF!,G23,#REF!)</f>
        <v>#REF!</v>
      </c>
      <c r="AA23" s="2">
        <f t="shared" ca="1" si="47"/>
        <v>0</v>
      </c>
      <c r="AB23" s="2" t="str">
        <f t="shared" ca="1" si="48"/>
        <v/>
      </c>
      <c r="AC23" s="103"/>
    </row>
    <row r="24" spans="2:41" s="2" customFormat="1" ht="20.100000000000001" customHeight="1">
      <c r="B24" s="110">
        <v>46197</v>
      </c>
      <c r="C24" s="111" t="s">
        <v>504</v>
      </c>
      <c r="D24" s="112"/>
      <c r="E24" s="113"/>
      <c r="F24" s="114" t="s">
        <v>513</v>
      </c>
      <c r="G24" s="8" t="str">
        <f t="shared" si="38"/>
        <v>COHEAR675YN091E오징어(향라맛_68G)</v>
      </c>
      <c r="H24" s="28">
        <v>30</v>
      </c>
      <c r="I24" s="41">
        <f t="shared" si="39"/>
        <v>1</v>
      </c>
      <c r="J24" s="29">
        <v>0</v>
      </c>
      <c r="K24" s="29">
        <v>0</v>
      </c>
      <c r="L24" s="41">
        <f t="shared" si="40"/>
        <v>0</v>
      </c>
      <c r="M24" s="29">
        <v>0</v>
      </c>
      <c r="N24" s="31">
        <f t="shared" si="41"/>
        <v>0</v>
      </c>
      <c r="O24" s="42">
        <f t="shared" si="42"/>
        <v>0</v>
      </c>
      <c r="P24" s="31">
        <f t="shared" si="43"/>
        <v>0</v>
      </c>
      <c r="Q24" s="42">
        <f t="shared" si="44"/>
        <v>0</v>
      </c>
      <c r="R24" s="28">
        <v>30</v>
      </c>
      <c r="S24" s="97">
        <f t="shared" si="22"/>
        <v>0</v>
      </c>
      <c r="T24" s="97">
        <f t="shared" si="45"/>
        <v>30</v>
      </c>
      <c r="V24" s="28">
        <v>30</v>
      </c>
      <c r="W24" s="95">
        <f t="shared" si="46"/>
        <v>46217</v>
      </c>
      <c r="X24" s="79">
        <v>20</v>
      </c>
      <c r="Y24" s="79">
        <v>1000</v>
      </c>
      <c r="Z24" s="2" t="e">
        <f>SUMIF(#REF!,G24,#REF!)</f>
        <v>#REF!</v>
      </c>
      <c r="AA24" s="2">
        <f t="shared" ca="1" si="47"/>
        <v>0</v>
      </c>
      <c r="AB24" s="2" t="str">
        <f t="shared" ca="1" si="48"/>
        <v/>
      </c>
      <c r="AC24" s="103"/>
    </row>
    <row r="25" spans="2:41" s="2" customFormat="1" ht="20.100000000000001" customHeight="1">
      <c r="B25" s="110">
        <v>46197</v>
      </c>
      <c r="C25" s="111" t="s">
        <v>560</v>
      </c>
      <c r="D25" s="112"/>
      <c r="E25" s="113"/>
      <c r="F25" s="114" t="s">
        <v>587</v>
      </c>
      <c r="G25" s="8" t="str">
        <f t="shared" ref="G25:G27" si="49">C25&amp;F25</f>
        <v>COHEAR675YN091F혼합즈마장</v>
      </c>
      <c r="H25" s="28">
        <v>200</v>
      </c>
      <c r="I25" s="41">
        <f t="shared" ref="I25:I27" si="50">ROUNDUP((H25/V25),0)</f>
        <v>2</v>
      </c>
      <c r="J25" s="29">
        <v>0</v>
      </c>
      <c r="K25" s="29">
        <v>0</v>
      </c>
      <c r="L25" s="41">
        <f t="shared" ref="L25:L27" si="51">ROUNDUP((K25/V25),0)</f>
        <v>0</v>
      </c>
      <c r="M25" s="29">
        <v>0</v>
      </c>
      <c r="N25" s="31">
        <f t="shared" ref="N25:N27" si="52">P25-K25+M25</f>
        <v>0</v>
      </c>
      <c r="O25" s="42">
        <f t="shared" ref="O25:O27" si="53">ROUNDUP((N25/V25),0)</f>
        <v>0</v>
      </c>
      <c r="P25" s="31">
        <f t="shared" ref="P25:P27" si="54">H25-T25</f>
        <v>0</v>
      </c>
      <c r="Q25" s="42">
        <f t="shared" ref="Q25:Q27" si="55">L25+O25</f>
        <v>0</v>
      </c>
      <c r="R25" s="28">
        <v>0</v>
      </c>
      <c r="S25" s="97">
        <f t="shared" si="22"/>
        <v>200</v>
      </c>
      <c r="T25" s="97">
        <f t="shared" ref="T25:T27" si="56">R25+S25+J25+M25</f>
        <v>200</v>
      </c>
      <c r="V25" s="28">
        <v>104</v>
      </c>
      <c r="W25" s="95">
        <f t="shared" ref="W25:W27" si="57">B25+X25</f>
        <v>46217</v>
      </c>
      <c r="X25" s="79">
        <v>20</v>
      </c>
      <c r="Y25" s="79">
        <v>1000</v>
      </c>
      <c r="Z25" s="2" t="e">
        <f>SUMIF(#REF!,G25,#REF!)</f>
        <v>#REF!</v>
      </c>
      <c r="AA25" s="2">
        <f t="shared" ref="AA25:AA27" ca="1" si="58">IF(W25&gt;TODAY(),"프리타임기간중",Q25*Y25*IF(DATE(YEAR(W25),MONTH(W25),1)&lt;DATE(YEAR($AA$2),MONTH($AA$2),1),DATEDIF($AA$2,$AA$3,"D")+1,DATEDIF(W25,$AA$3+1,"d")))</f>
        <v>0</v>
      </c>
      <c r="AB25" s="2" t="str">
        <f t="shared" ref="AB25:AB27" ca="1" si="59">IFERROR(Z25+AA25,"")</f>
        <v/>
      </c>
      <c r="AC25" s="103"/>
      <c r="AO25" s="2">
        <v>200</v>
      </c>
    </row>
    <row r="26" spans="2:41" s="2" customFormat="1" ht="20.100000000000001" customHeight="1">
      <c r="B26" s="110">
        <v>46197</v>
      </c>
      <c r="C26" s="111" t="s">
        <v>561</v>
      </c>
      <c r="D26" s="112"/>
      <c r="E26" s="113"/>
      <c r="F26" s="114" t="s">
        <v>752</v>
      </c>
      <c r="G26" s="8" t="str">
        <f t="shared" si="49"/>
        <v>COHEAR675YN091G호인가_우육칭탕용 소스</v>
      </c>
      <c r="H26" s="28">
        <v>30</v>
      </c>
      <c r="I26" s="41">
        <f t="shared" si="50"/>
        <v>1</v>
      </c>
      <c r="J26" s="29">
        <v>0</v>
      </c>
      <c r="K26" s="29">
        <v>0</v>
      </c>
      <c r="L26" s="41">
        <f t="shared" si="51"/>
        <v>0</v>
      </c>
      <c r="M26" s="29">
        <v>0</v>
      </c>
      <c r="N26" s="31">
        <f t="shared" si="52"/>
        <v>30</v>
      </c>
      <c r="O26" s="42">
        <f t="shared" si="53"/>
        <v>1</v>
      </c>
      <c r="P26" s="31">
        <f t="shared" si="54"/>
        <v>30</v>
      </c>
      <c r="Q26" s="42">
        <f t="shared" si="55"/>
        <v>1</v>
      </c>
      <c r="R26" s="28">
        <v>0</v>
      </c>
      <c r="S26" s="97">
        <f t="shared" si="22"/>
        <v>0</v>
      </c>
      <c r="T26" s="97">
        <f t="shared" si="56"/>
        <v>0</v>
      </c>
      <c r="V26" s="28">
        <v>30</v>
      </c>
      <c r="W26" s="95">
        <f t="shared" si="57"/>
        <v>46217</v>
      </c>
      <c r="X26" s="79">
        <v>20</v>
      </c>
      <c r="Y26" s="79">
        <v>1000</v>
      </c>
      <c r="Z26" s="2" t="e">
        <f>SUMIF(#REF!,G26,#REF!)</f>
        <v>#REF!</v>
      </c>
      <c r="AA26" s="2">
        <f t="shared" ca="1" si="58"/>
        <v>18000</v>
      </c>
      <c r="AB26" s="2" t="str">
        <f t="shared" ca="1" si="59"/>
        <v/>
      </c>
      <c r="AC26" s="103"/>
    </row>
    <row r="27" spans="2:41" s="2" customFormat="1" ht="20.100000000000001" customHeight="1">
      <c r="B27" s="110">
        <v>46197</v>
      </c>
      <c r="C27" s="111" t="s">
        <v>582</v>
      </c>
      <c r="D27" s="112"/>
      <c r="E27" s="113"/>
      <c r="F27" s="114" t="s">
        <v>514</v>
      </c>
      <c r="G27" s="8" t="str">
        <f t="shared" si="49"/>
        <v>COHEAR675YN091H호인가_쉐이주위</v>
      </c>
      <c r="H27" s="28">
        <v>33</v>
      </c>
      <c r="I27" s="41">
        <f t="shared" si="50"/>
        <v>1</v>
      </c>
      <c r="J27" s="29">
        <v>0</v>
      </c>
      <c r="K27" s="29">
        <v>0</v>
      </c>
      <c r="L27" s="41">
        <f t="shared" si="51"/>
        <v>0</v>
      </c>
      <c r="M27" s="29">
        <v>0</v>
      </c>
      <c r="N27" s="31">
        <f t="shared" si="52"/>
        <v>0</v>
      </c>
      <c r="O27" s="42">
        <f t="shared" si="53"/>
        <v>0</v>
      </c>
      <c r="P27" s="31">
        <f t="shared" si="54"/>
        <v>0</v>
      </c>
      <c r="Q27" s="42">
        <f t="shared" si="55"/>
        <v>0</v>
      </c>
      <c r="R27" s="28">
        <v>0</v>
      </c>
      <c r="S27" s="97">
        <f t="shared" si="22"/>
        <v>33</v>
      </c>
      <c r="T27" s="97">
        <f t="shared" si="56"/>
        <v>33</v>
      </c>
      <c r="V27" s="28">
        <v>33</v>
      </c>
      <c r="W27" s="95">
        <f t="shared" si="57"/>
        <v>46217</v>
      </c>
      <c r="X27" s="79">
        <v>20</v>
      </c>
      <c r="Y27" s="79">
        <v>1000</v>
      </c>
      <c r="Z27" s="2" t="e">
        <f>SUMIF(#REF!,G27,#REF!)</f>
        <v>#REF!</v>
      </c>
      <c r="AA27" s="2">
        <f t="shared" ca="1" si="58"/>
        <v>0</v>
      </c>
      <c r="AB27" s="2" t="str">
        <f t="shared" ca="1" si="59"/>
        <v/>
      </c>
      <c r="AC27" s="103"/>
      <c r="AD27" s="142">
        <v>33</v>
      </c>
    </row>
    <row r="28" spans="2:41" s="2" customFormat="1" ht="20.100000000000001" customHeight="1">
      <c r="B28" s="110">
        <v>46197</v>
      </c>
      <c r="C28" s="111" t="s">
        <v>505</v>
      </c>
      <c r="D28" s="112"/>
      <c r="E28" s="113"/>
      <c r="F28" s="114" t="s">
        <v>515</v>
      </c>
      <c r="G28" s="8" t="str">
        <f t="shared" si="38"/>
        <v>COHEAR675YN091H호인가_마라샹궈</v>
      </c>
      <c r="H28" s="28">
        <v>65</v>
      </c>
      <c r="I28" s="41">
        <f t="shared" si="39"/>
        <v>1</v>
      </c>
      <c r="J28" s="29">
        <v>0</v>
      </c>
      <c r="K28" s="29">
        <v>0</v>
      </c>
      <c r="L28" s="41">
        <f t="shared" si="40"/>
        <v>0</v>
      </c>
      <c r="M28" s="29">
        <v>0</v>
      </c>
      <c r="N28" s="31">
        <f t="shared" si="41"/>
        <v>0</v>
      </c>
      <c r="O28" s="42">
        <f t="shared" si="42"/>
        <v>0</v>
      </c>
      <c r="P28" s="31">
        <f t="shared" si="43"/>
        <v>0</v>
      </c>
      <c r="Q28" s="42">
        <f t="shared" si="44"/>
        <v>0</v>
      </c>
      <c r="R28" s="28">
        <v>0</v>
      </c>
      <c r="S28" s="97">
        <f t="shared" si="22"/>
        <v>65</v>
      </c>
      <c r="T28" s="97">
        <f t="shared" si="45"/>
        <v>65</v>
      </c>
      <c r="V28" s="28">
        <v>65</v>
      </c>
      <c r="W28" s="95">
        <f t="shared" si="46"/>
        <v>46217</v>
      </c>
      <c r="X28" s="79">
        <v>20</v>
      </c>
      <c r="Y28" s="79">
        <v>1000</v>
      </c>
      <c r="Z28" s="2" t="e">
        <f>SUMIF(#REF!,G28,#REF!)</f>
        <v>#REF!</v>
      </c>
      <c r="AA28" s="2">
        <f t="shared" ca="1" si="47"/>
        <v>0</v>
      </c>
      <c r="AB28" s="2" t="str">
        <f t="shared" ca="1" si="48"/>
        <v/>
      </c>
      <c r="AC28" s="103"/>
      <c r="AE28" s="2">
        <v>65</v>
      </c>
    </row>
    <row r="29" spans="2:41" s="2" customFormat="1" ht="20.100000000000001" customHeight="1">
      <c r="B29" s="110">
        <v>46197</v>
      </c>
      <c r="C29" s="111" t="s">
        <v>505</v>
      </c>
      <c r="D29" s="112"/>
      <c r="E29" s="113"/>
      <c r="F29" s="114" t="s">
        <v>516</v>
      </c>
      <c r="G29" s="8" t="str">
        <f t="shared" ref="G29:G34" si="60">C29&amp;F29</f>
        <v>COHEAR675YN091H호인가_마파두부용소스</v>
      </c>
      <c r="H29" s="28">
        <v>110</v>
      </c>
      <c r="I29" s="41">
        <f t="shared" ref="I29:I34" si="61">ROUNDUP((H29/V29),0)</f>
        <v>2</v>
      </c>
      <c r="J29" s="29">
        <v>0</v>
      </c>
      <c r="K29" s="29">
        <v>0</v>
      </c>
      <c r="L29" s="41">
        <f t="shared" ref="L29:L34" si="62">ROUNDUP((K29/V29),0)</f>
        <v>0</v>
      </c>
      <c r="M29" s="29">
        <v>0</v>
      </c>
      <c r="N29" s="31">
        <f t="shared" ref="N29:N34" si="63">P29-K29+M29</f>
        <v>0</v>
      </c>
      <c r="O29" s="42">
        <f t="shared" ref="O29:O34" si="64">ROUNDUP((N29/V29),0)</f>
        <v>0</v>
      </c>
      <c r="P29" s="31">
        <f t="shared" ref="P29:P34" si="65">H29-T29</f>
        <v>0</v>
      </c>
      <c r="Q29" s="42">
        <f t="shared" ref="Q29:Q34" si="66">L29+O29</f>
        <v>0</v>
      </c>
      <c r="R29" s="28">
        <v>0</v>
      </c>
      <c r="S29" s="97">
        <f t="shared" si="22"/>
        <v>110</v>
      </c>
      <c r="T29" s="97">
        <f t="shared" ref="T29:T34" si="67">R29+S29+J29+M29</f>
        <v>110</v>
      </c>
      <c r="V29" s="28">
        <v>80</v>
      </c>
      <c r="W29" s="95">
        <f t="shared" ref="W29:W34" si="68">B29+X29</f>
        <v>46217</v>
      </c>
      <c r="X29" s="79">
        <v>20</v>
      </c>
      <c r="Y29" s="79">
        <v>1000</v>
      </c>
      <c r="Z29" s="2" t="e">
        <f>SUMIF(#REF!,G29,#REF!)</f>
        <v>#REF!</v>
      </c>
      <c r="AA29" s="2">
        <f t="shared" ref="AA29:AA34" ca="1" si="69">IF(W29&gt;TODAY(),"프리타임기간중",Q29*Y29*IF(DATE(YEAR(W29),MONTH(W29),1)&lt;DATE(YEAR($AA$2),MONTH($AA$2),1),DATEDIF($AA$2,$AA$3,"D")+1,DATEDIF(W29,$AA$3+1,"d")))</f>
        <v>0</v>
      </c>
      <c r="AB29" s="2" t="str">
        <f t="shared" ref="AB29:AB34" ca="1" si="70">IFERROR(Z29+AA29,"")</f>
        <v/>
      </c>
      <c r="AC29" s="103"/>
      <c r="AF29" s="2">
        <v>110</v>
      </c>
    </row>
    <row r="30" spans="2:41" s="2" customFormat="1" ht="20.100000000000001" customHeight="1">
      <c r="B30" s="110">
        <v>46197</v>
      </c>
      <c r="C30" s="111" t="s">
        <v>505</v>
      </c>
      <c r="D30" s="112"/>
      <c r="E30" s="113"/>
      <c r="F30" s="114" t="s">
        <v>517</v>
      </c>
      <c r="G30" s="8" t="str">
        <f t="shared" si="60"/>
        <v>COHEAR675YN091H호인가 청유훠궈소스</v>
      </c>
      <c r="H30" s="28">
        <v>120</v>
      </c>
      <c r="I30" s="41">
        <f t="shared" si="61"/>
        <v>2</v>
      </c>
      <c r="J30" s="29">
        <v>0</v>
      </c>
      <c r="K30" s="29">
        <v>0</v>
      </c>
      <c r="L30" s="41">
        <f t="shared" si="62"/>
        <v>0</v>
      </c>
      <c r="M30" s="29">
        <v>0</v>
      </c>
      <c r="N30" s="31">
        <f t="shared" si="63"/>
        <v>0</v>
      </c>
      <c r="O30" s="42">
        <f t="shared" si="64"/>
        <v>0</v>
      </c>
      <c r="P30" s="31">
        <f t="shared" si="65"/>
        <v>0</v>
      </c>
      <c r="Q30" s="42">
        <f t="shared" si="66"/>
        <v>0</v>
      </c>
      <c r="R30" s="28">
        <v>0</v>
      </c>
      <c r="S30" s="97">
        <f t="shared" si="22"/>
        <v>120</v>
      </c>
      <c r="T30" s="97">
        <f t="shared" si="67"/>
        <v>120</v>
      </c>
      <c r="V30" s="28">
        <v>80</v>
      </c>
      <c r="W30" s="95">
        <f t="shared" si="68"/>
        <v>46217</v>
      </c>
      <c r="X30" s="79">
        <v>20</v>
      </c>
      <c r="Y30" s="79">
        <v>1000</v>
      </c>
      <c r="Z30" s="2" t="e">
        <f>SUMIF(#REF!,G30,#REF!)</f>
        <v>#REF!</v>
      </c>
      <c r="AA30" s="2">
        <f t="shared" ca="1" si="69"/>
        <v>0</v>
      </c>
      <c r="AB30" s="2" t="str">
        <f t="shared" ca="1" si="70"/>
        <v/>
      </c>
      <c r="AC30" s="103"/>
      <c r="AG30" s="2">
        <v>120</v>
      </c>
    </row>
    <row r="31" spans="2:41" s="2" customFormat="1" ht="20.100000000000001" customHeight="1">
      <c r="B31" s="110">
        <v>46197</v>
      </c>
      <c r="C31" s="111" t="s">
        <v>505</v>
      </c>
      <c r="D31" s="112"/>
      <c r="E31" s="113"/>
      <c r="F31" s="114" t="s">
        <v>518</v>
      </c>
      <c r="G31" s="8" t="str">
        <f t="shared" si="60"/>
        <v>COHEAR675YN091H호인가_토마토소스</v>
      </c>
      <c r="H31" s="28">
        <v>73</v>
      </c>
      <c r="I31" s="41">
        <f t="shared" si="61"/>
        <v>1</v>
      </c>
      <c r="J31" s="29">
        <v>0</v>
      </c>
      <c r="K31" s="29">
        <v>0</v>
      </c>
      <c r="L31" s="41">
        <f t="shared" si="62"/>
        <v>0</v>
      </c>
      <c r="M31" s="29">
        <v>0</v>
      </c>
      <c r="N31" s="31">
        <f t="shared" si="63"/>
        <v>0</v>
      </c>
      <c r="O31" s="42">
        <f t="shared" si="64"/>
        <v>0</v>
      </c>
      <c r="P31" s="31">
        <f t="shared" si="65"/>
        <v>0</v>
      </c>
      <c r="Q31" s="42">
        <f t="shared" si="66"/>
        <v>0</v>
      </c>
      <c r="R31" s="28">
        <v>0</v>
      </c>
      <c r="S31" s="97">
        <f t="shared" si="22"/>
        <v>73</v>
      </c>
      <c r="T31" s="97">
        <f t="shared" si="67"/>
        <v>73</v>
      </c>
      <c r="V31" s="28">
        <v>73</v>
      </c>
      <c r="W31" s="95">
        <f t="shared" si="68"/>
        <v>46217</v>
      </c>
      <c r="X31" s="79">
        <v>20</v>
      </c>
      <c r="Y31" s="79">
        <v>1000</v>
      </c>
      <c r="Z31" s="2" t="e">
        <f>SUMIF(#REF!,G31,#REF!)</f>
        <v>#REF!</v>
      </c>
      <c r="AA31" s="2">
        <f t="shared" ca="1" si="69"/>
        <v>0</v>
      </c>
      <c r="AB31" s="2" t="str">
        <f t="shared" ca="1" si="70"/>
        <v/>
      </c>
      <c r="AC31" s="103"/>
      <c r="AH31" s="2">
        <v>73</v>
      </c>
    </row>
    <row r="32" spans="2:41" s="2" customFormat="1" ht="20.100000000000001" customHeight="1">
      <c r="B32" s="110">
        <v>46197</v>
      </c>
      <c r="C32" s="111" t="s">
        <v>505</v>
      </c>
      <c r="D32" s="112"/>
      <c r="E32" s="113"/>
      <c r="F32" s="114" t="s">
        <v>519</v>
      </c>
      <c r="G32" s="8" t="str">
        <f t="shared" si="60"/>
        <v>COHEAR675YN091H호인가_청유훠궈소스</v>
      </c>
      <c r="H32" s="28">
        <v>33</v>
      </c>
      <c r="I32" s="41">
        <f t="shared" si="61"/>
        <v>1</v>
      </c>
      <c r="J32" s="29">
        <v>0</v>
      </c>
      <c r="K32" s="29">
        <v>0</v>
      </c>
      <c r="L32" s="41">
        <f t="shared" si="62"/>
        <v>0</v>
      </c>
      <c r="M32" s="29">
        <v>0</v>
      </c>
      <c r="N32" s="31">
        <f t="shared" si="63"/>
        <v>0</v>
      </c>
      <c r="O32" s="42">
        <f t="shared" si="64"/>
        <v>0</v>
      </c>
      <c r="P32" s="31">
        <f t="shared" si="65"/>
        <v>0</v>
      </c>
      <c r="Q32" s="42">
        <f t="shared" si="66"/>
        <v>0</v>
      </c>
      <c r="R32" s="28">
        <v>0</v>
      </c>
      <c r="S32" s="97">
        <f t="shared" si="22"/>
        <v>33</v>
      </c>
      <c r="T32" s="97">
        <f t="shared" si="67"/>
        <v>33</v>
      </c>
      <c r="V32" s="28">
        <v>33</v>
      </c>
      <c r="W32" s="95">
        <f t="shared" si="68"/>
        <v>46217</v>
      </c>
      <c r="X32" s="79">
        <v>20</v>
      </c>
      <c r="Y32" s="79">
        <v>1000</v>
      </c>
      <c r="Z32" s="2" t="e">
        <f>SUMIF(#REF!,G32,#REF!)</f>
        <v>#REF!</v>
      </c>
      <c r="AA32" s="2">
        <f t="shared" ca="1" si="69"/>
        <v>0</v>
      </c>
      <c r="AB32" s="2" t="str">
        <f t="shared" ca="1" si="70"/>
        <v/>
      </c>
      <c r="AC32" s="103"/>
      <c r="AI32" s="2">
        <v>33</v>
      </c>
    </row>
    <row r="33" spans="2:105" s="2" customFormat="1" ht="20.100000000000001" customHeight="1">
      <c r="B33" s="110">
        <v>46197</v>
      </c>
      <c r="C33" s="111" t="s">
        <v>505</v>
      </c>
      <c r="D33" s="112"/>
      <c r="E33" s="113"/>
      <c r="F33" s="114" t="s">
        <v>520</v>
      </c>
      <c r="G33" s="8" t="str">
        <f t="shared" si="60"/>
        <v>COHEAR675YN091H호인가_마라탕소스</v>
      </c>
      <c r="H33" s="28">
        <v>51</v>
      </c>
      <c r="I33" s="41">
        <f t="shared" si="61"/>
        <v>1</v>
      </c>
      <c r="J33" s="29">
        <v>0</v>
      </c>
      <c r="K33" s="29">
        <v>0</v>
      </c>
      <c r="L33" s="41">
        <f t="shared" si="62"/>
        <v>0</v>
      </c>
      <c r="M33" s="29">
        <v>0</v>
      </c>
      <c r="N33" s="31">
        <f t="shared" si="63"/>
        <v>0</v>
      </c>
      <c r="O33" s="42">
        <f t="shared" si="64"/>
        <v>0</v>
      </c>
      <c r="P33" s="31">
        <f t="shared" si="65"/>
        <v>0</v>
      </c>
      <c r="Q33" s="42">
        <f t="shared" si="66"/>
        <v>0</v>
      </c>
      <c r="R33" s="28">
        <v>0</v>
      </c>
      <c r="S33" s="97">
        <f t="shared" si="22"/>
        <v>51</v>
      </c>
      <c r="T33" s="97">
        <f t="shared" si="67"/>
        <v>51</v>
      </c>
      <c r="V33" s="28">
        <v>51</v>
      </c>
      <c r="W33" s="95">
        <f t="shared" si="68"/>
        <v>46217</v>
      </c>
      <c r="X33" s="79">
        <v>20</v>
      </c>
      <c r="Y33" s="79">
        <v>1000</v>
      </c>
      <c r="Z33" s="2" t="e">
        <f>SUMIF(#REF!,G33,#REF!)</f>
        <v>#REF!</v>
      </c>
      <c r="AA33" s="2">
        <f t="shared" ca="1" si="69"/>
        <v>0</v>
      </c>
      <c r="AB33" s="2" t="str">
        <f t="shared" ca="1" si="70"/>
        <v/>
      </c>
      <c r="AC33" s="103"/>
      <c r="AJ33" s="2">
        <v>51</v>
      </c>
    </row>
    <row r="34" spans="2:105" s="2" customFormat="1" ht="20.100000000000001" customHeight="1">
      <c r="B34" s="110">
        <v>46197</v>
      </c>
      <c r="C34" s="111" t="s">
        <v>542</v>
      </c>
      <c r="D34" s="112"/>
      <c r="E34" s="113"/>
      <c r="F34" s="114" t="s">
        <v>521</v>
      </c>
      <c r="G34" s="8" t="str">
        <f t="shared" si="60"/>
        <v>COHEAR675YN091I마라소스</v>
      </c>
      <c r="H34" s="28">
        <v>20</v>
      </c>
      <c r="I34" s="41">
        <f t="shared" si="61"/>
        <v>1</v>
      </c>
      <c r="J34" s="29">
        <v>0</v>
      </c>
      <c r="K34" s="29">
        <v>0</v>
      </c>
      <c r="L34" s="41">
        <f t="shared" si="62"/>
        <v>0</v>
      </c>
      <c r="M34" s="29">
        <v>0</v>
      </c>
      <c r="N34" s="31">
        <f t="shared" si="63"/>
        <v>0</v>
      </c>
      <c r="O34" s="42">
        <f t="shared" si="64"/>
        <v>0</v>
      </c>
      <c r="P34" s="31">
        <f t="shared" si="65"/>
        <v>0</v>
      </c>
      <c r="Q34" s="42">
        <f t="shared" si="66"/>
        <v>0</v>
      </c>
      <c r="R34" s="28">
        <v>20</v>
      </c>
      <c r="S34" s="97">
        <f t="shared" si="22"/>
        <v>0</v>
      </c>
      <c r="T34" s="97">
        <f t="shared" si="67"/>
        <v>20</v>
      </c>
      <c r="V34" s="28">
        <v>20</v>
      </c>
      <c r="W34" s="95">
        <f t="shared" si="68"/>
        <v>46217</v>
      </c>
      <c r="X34" s="79">
        <v>20</v>
      </c>
      <c r="Y34" s="79">
        <v>1000</v>
      </c>
      <c r="Z34" s="2" t="e">
        <f>SUMIF(#REF!,G34,#REF!)</f>
        <v>#REF!</v>
      </c>
      <c r="AA34" s="2">
        <f t="shared" ca="1" si="69"/>
        <v>0</v>
      </c>
      <c r="AB34" s="2" t="str">
        <f t="shared" ca="1" si="70"/>
        <v/>
      </c>
      <c r="AC34" s="103"/>
    </row>
    <row r="35" spans="2:105" s="2" customFormat="1" ht="20.100000000000001" customHeight="1">
      <c r="B35" s="110">
        <v>46197</v>
      </c>
      <c r="C35" s="111" t="s">
        <v>506</v>
      </c>
      <c r="D35" s="112"/>
      <c r="E35" s="113"/>
      <c r="F35" s="114" t="s">
        <v>522</v>
      </c>
      <c r="G35" s="8" t="str">
        <f t="shared" ref="G35:G37" si="71">C35&amp;F35</f>
        <v>COHEAR675YN091I오향맛소스</v>
      </c>
      <c r="H35" s="28">
        <v>20</v>
      </c>
      <c r="I35" s="41">
        <f t="shared" ref="I35:I37" si="72">ROUNDUP((H35/V35),0)</f>
        <v>1</v>
      </c>
      <c r="J35" s="29">
        <v>0</v>
      </c>
      <c r="K35" s="29">
        <v>0</v>
      </c>
      <c r="L35" s="41">
        <f t="shared" ref="L35:L37" si="73">ROUNDUP((K35/V35),0)</f>
        <v>0</v>
      </c>
      <c r="M35" s="29">
        <v>0</v>
      </c>
      <c r="N35" s="31">
        <f t="shared" ref="N35:N37" si="74">P35-K35+M35</f>
        <v>0</v>
      </c>
      <c r="O35" s="42">
        <f t="shared" ref="O35:O37" si="75">ROUNDUP((N35/V35),0)</f>
        <v>0</v>
      </c>
      <c r="P35" s="31">
        <f t="shared" ref="P35:P37" si="76">H35-T35</f>
        <v>0</v>
      </c>
      <c r="Q35" s="42">
        <f t="shared" ref="Q35:Q37" si="77">L35+O35</f>
        <v>0</v>
      </c>
      <c r="R35" s="28">
        <v>20</v>
      </c>
      <c r="S35" s="97">
        <f t="shared" si="22"/>
        <v>0</v>
      </c>
      <c r="T35" s="97">
        <f t="shared" ref="T35:T37" si="78">R35+S35+J35+M35</f>
        <v>20</v>
      </c>
      <c r="V35" s="28">
        <v>20</v>
      </c>
      <c r="W35" s="95">
        <f t="shared" ref="W35:W37" si="79">B35+X35</f>
        <v>46217</v>
      </c>
      <c r="X35" s="79">
        <v>20</v>
      </c>
      <c r="Y35" s="79">
        <v>1000</v>
      </c>
      <c r="Z35" s="2" t="e">
        <f>SUMIF(#REF!,G35,#REF!)</f>
        <v>#REF!</v>
      </c>
      <c r="AA35" s="2">
        <f t="shared" ref="AA35:AA37" ca="1" si="80">IF(W35&gt;TODAY(),"프리타임기간중",Q35*Y35*IF(DATE(YEAR(W35),MONTH(W35),1)&lt;DATE(YEAR($AA$2),MONTH($AA$2),1),DATEDIF($AA$2,$AA$3,"D")+1,DATEDIF(W35,$AA$3+1,"d")))</f>
        <v>0</v>
      </c>
      <c r="AB35" s="2" t="str">
        <f t="shared" ref="AB35:AB37" ca="1" si="81">IFERROR(Z35+AA35,"")</f>
        <v/>
      </c>
      <c r="AC35" s="103"/>
    </row>
    <row r="36" spans="2:105" s="2" customFormat="1" ht="20.100000000000001" customHeight="1">
      <c r="B36" s="110">
        <v>46197</v>
      </c>
      <c r="C36" s="111" t="s">
        <v>562</v>
      </c>
      <c r="D36" s="112"/>
      <c r="E36" s="113"/>
      <c r="F36" s="114" t="s">
        <v>586</v>
      </c>
      <c r="G36" s="8" t="str">
        <f t="shared" si="71"/>
        <v>COHEAR675YN091J마자오유</v>
      </c>
      <c r="H36" s="28">
        <v>200</v>
      </c>
      <c r="I36" s="41">
        <f t="shared" si="72"/>
        <v>2</v>
      </c>
      <c r="J36" s="29">
        <v>0</v>
      </c>
      <c r="K36" s="29">
        <v>0</v>
      </c>
      <c r="L36" s="41">
        <f t="shared" si="73"/>
        <v>0</v>
      </c>
      <c r="M36" s="29">
        <v>0</v>
      </c>
      <c r="N36" s="31">
        <f t="shared" si="74"/>
        <v>0</v>
      </c>
      <c r="O36" s="42">
        <f t="shared" si="75"/>
        <v>0</v>
      </c>
      <c r="P36" s="31">
        <f t="shared" si="76"/>
        <v>0</v>
      </c>
      <c r="Q36" s="42">
        <f t="shared" si="77"/>
        <v>0</v>
      </c>
      <c r="R36" s="28">
        <v>0</v>
      </c>
      <c r="S36" s="97">
        <f t="shared" si="22"/>
        <v>200</v>
      </c>
      <c r="T36" s="97">
        <f t="shared" si="78"/>
        <v>200</v>
      </c>
      <c r="V36" s="28">
        <v>120</v>
      </c>
      <c r="W36" s="95">
        <f t="shared" si="79"/>
        <v>46217</v>
      </c>
      <c r="X36" s="79">
        <v>20</v>
      </c>
      <c r="Y36" s="79">
        <v>1000</v>
      </c>
      <c r="Z36" s="2" t="e">
        <f>SUMIF(#REF!,G36,#REF!)</f>
        <v>#REF!</v>
      </c>
      <c r="AA36" s="2">
        <f t="shared" ca="1" si="80"/>
        <v>0</v>
      </c>
      <c r="AB36" s="2" t="str">
        <f t="shared" ca="1" si="81"/>
        <v/>
      </c>
      <c r="AC36" s="103"/>
      <c r="AM36" s="142">
        <v>200</v>
      </c>
    </row>
    <row r="37" spans="2:105" s="2" customFormat="1" ht="20.100000000000001" customHeight="1">
      <c r="B37" s="110">
        <v>46209</v>
      </c>
      <c r="C37" s="111" t="s">
        <v>623</v>
      </c>
      <c r="D37" s="112" t="s">
        <v>240</v>
      </c>
      <c r="E37" s="113"/>
      <c r="F37" s="114" t="s">
        <v>624</v>
      </c>
      <c r="G37" s="8" t="str">
        <f t="shared" si="71"/>
        <v>KMTCSWA0406734VITAMIN C MINT TABLET CANDY 800G*10/CTN</v>
      </c>
      <c r="H37" s="28">
        <v>1600</v>
      </c>
      <c r="I37" s="41">
        <f t="shared" si="72"/>
        <v>40</v>
      </c>
      <c r="J37" s="29">
        <v>0</v>
      </c>
      <c r="K37" s="29">
        <v>0</v>
      </c>
      <c r="L37" s="41">
        <f t="shared" si="73"/>
        <v>0</v>
      </c>
      <c r="M37" s="29">
        <v>0</v>
      </c>
      <c r="N37" s="31">
        <f t="shared" si="74"/>
        <v>0</v>
      </c>
      <c r="O37" s="42">
        <f t="shared" si="75"/>
        <v>0</v>
      </c>
      <c r="P37" s="31">
        <f t="shared" si="76"/>
        <v>0</v>
      </c>
      <c r="Q37" s="42">
        <f t="shared" si="77"/>
        <v>0</v>
      </c>
      <c r="R37" s="28">
        <v>0</v>
      </c>
      <c r="S37" s="97">
        <f t="shared" si="22"/>
        <v>1600</v>
      </c>
      <c r="T37" s="97">
        <f t="shared" si="78"/>
        <v>1600</v>
      </c>
      <c r="V37" s="28">
        <v>40</v>
      </c>
      <c r="W37" s="95">
        <f t="shared" si="79"/>
        <v>46229</v>
      </c>
      <c r="X37" s="79">
        <v>20</v>
      </c>
      <c r="Y37" s="79">
        <v>1000</v>
      </c>
      <c r="Z37" s="2" t="e">
        <f>SUMIF(#REF!,G37,#REF!)</f>
        <v>#REF!</v>
      </c>
      <c r="AA37" s="2">
        <f t="shared" ca="1" si="80"/>
        <v>0</v>
      </c>
      <c r="AB37" s="2" t="str">
        <f t="shared" ca="1" si="81"/>
        <v/>
      </c>
      <c r="AC37" s="103"/>
      <c r="AR37" s="142">
        <v>480</v>
      </c>
      <c r="AS37" s="142">
        <v>480</v>
      </c>
      <c r="BE37" s="142">
        <v>360</v>
      </c>
      <c r="BM37" s="2">
        <f>40*6</f>
        <v>240</v>
      </c>
      <c r="BT37" s="2">
        <v>40</v>
      </c>
    </row>
    <row r="38" spans="2:105" s="2" customFormat="1" ht="20.100000000000001" customHeight="1">
      <c r="B38" s="110">
        <v>46212</v>
      </c>
      <c r="C38" s="111" t="s">
        <v>672</v>
      </c>
      <c r="D38" s="112" t="s">
        <v>240</v>
      </c>
      <c r="E38" s="113"/>
      <c r="F38" s="114" t="s">
        <v>663</v>
      </c>
      <c r="G38" s="8" t="str">
        <f t="shared" ref="G38:G39" si="82">C38&amp;F38</f>
        <v>COHEAR689YN075자른 푸주 BEAN CURD STICKS(500G)</v>
      </c>
      <c r="H38" s="28">
        <v>266</v>
      </c>
      <c r="I38" s="41">
        <f t="shared" ref="I38:I39" si="83">ROUNDUP((H38/V38),0)</f>
        <v>8</v>
      </c>
      <c r="J38" s="29">
        <v>0</v>
      </c>
      <c r="K38" s="29">
        <v>0</v>
      </c>
      <c r="L38" s="41">
        <f t="shared" ref="L38:L39" si="84">ROUNDUP((K38/V38),0)</f>
        <v>0</v>
      </c>
      <c r="M38" s="29">
        <v>0</v>
      </c>
      <c r="N38" s="31">
        <f t="shared" ref="N38:N39" si="85">P38-K38+M38</f>
        <v>0</v>
      </c>
      <c r="O38" s="42">
        <f t="shared" ref="O38:O39" si="86">ROUNDUP((N38/V38),0)</f>
        <v>0</v>
      </c>
      <c r="P38" s="31">
        <f t="shared" ref="P38:P39" si="87">H38-T38</f>
        <v>0</v>
      </c>
      <c r="Q38" s="42">
        <f t="shared" ref="Q38:Q39" si="88">L38+O38</f>
        <v>0</v>
      </c>
      <c r="R38" s="28">
        <v>0</v>
      </c>
      <c r="S38" s="97">
        <f t="shared" si="22"/>
        <v>266</v>
      </c>
      <c r="T38" s="97">
        <f t="shared" ref="T38:T39" si="89">R38+S38+J38+M38</f>
        <v>266</v>
      </c>
      <c r="V38" s="28">
        <v>36</v>
      </c>
      <c r="W38" s="95">
        <f t="shared" ref="W38:W39" si="90">B38+X38</f>
        <v>46232</v>
      </c>
      <c r="X38" s="79">
        <v>20</v>
      </c>
      <c r="Y38" s="79">
        <v>1000</v>
      </c>
      <c r="Z38" s="2" t="e">
        <f>SUMIF(#REF!,G38,#REF!)</f>
        <v>#REF!</v>
      </c>
      <c r="AA38" s="2">
        <f t="shared" ref="AA38:AA39" ca="1" si="91">IF(W38&gt;TODAY(),"프리타임기간중",Q38*Y38*IF(DATE(YEAR(W38),MONTH(W38),1)&lt;DATE(YEAR($AA$2),MONTH($AA$2),1),DATEDIF($AA$2,$AA$3,"D")+1,DATEDIF(W38,$AA$3+1,"d")))</f>
        <v>0</v>
      </c>
      <c r="AB38" s="2" t="str">
        <f t="shared" ref="AB38:AB39" ca="1" si="92">IFERROR(Z38+AA38,"")</f>
        <v/>
      </c>
      <c r="AC38" s="103"/>
      <c r="AT38" s="142">
        <v>266</v>
      </c>
    </row>
    <row r="39" spans="2:105" s="2" customFormat="1" ht="20.100000000000001" customHeight="1">
      <c r="B39" s="110">
        <v>46212</v>
      </c>
      <c r="C39" s="111" t="s">
        <v>672</v>
      </c>
      <c r="D39" s="112"/>
      <c r="E39" s="113"/>
      <c r="F39" s="114" t="s">
        <v>750</v>
      </c>
      <c r="G39" s="8" t="str">
        <f t="shared" si="82"/>
        <v>COHEAR689YN075푸주링롤 RINGING ROLLS</v>
      </c>
      <c r="H39" s="28">
        <v>100</v>
      </c>
      <c r="I39" s="41">
        <f t="shared" si="83"/>
        <v>3</v>
      </c>
      <c r="J39" s="29">
        <v>0</v>
      </c>
      <c r="K39" s="29">
        <v>0</v>
      </c>
      <c r="L39" s="41">
        <f t="shared" si="84"/>
        <v>0</v>
      </c>
      <c r="M39" s="29">
        <v>0</v>
      </c>
      <c r="N39" s="31">
        <f t="shared" si="85"/>
        <v>0</v>
      </c>
      <c r="O39" s="42">
        <f t="shared" si="86"/>
        <v>0</v>
      </c>
      <c r="P39" s="31">
        <f t="shared" si="87"/>
        <v>0</v>
      </c>
      <c r="Q39" s="42">
        <f t="shared" si="88"/>
        <v>0</v>
      </c>
      <c r="R39" s="28">
        <v>0</v>
      </c>
      <c r="S39" s="97">
        <f t="shared" si="22"/>
        <v>100</v>
      </c>
      <c r="T39" s="97">
        <f t="shared" si="89"/>
        <v>100</v>
      </c>
      <c r="V39" s="28">
        <v>36</v>
      </c>
      <c r="W39" s="95">
        <f t="shared" si="90"/>
        <v>46232</v>
      </c>
      <c r="X39" s="79">
        <v>20</v>
      </c>
      <c r="Y39" s="79">
        <v>1000</v>
      </c>
      <c r="Z39" s="2" t="e">
        <f>SUMIF(#REF!,G39,#REF!)</f>
        <v>#REF!</v>
      </c>
      <c r="AA39" s="2">
        <f t="shared" ca="1" si="91"/>
        <v>0</v>
      </c>
      <c r="AB39" s="2" t="str">
        <f t="shared" ca="1" si="92"/>
        <v/>
      </c>
      <c r="AC39" s="103"/>
      <c r="BU39" s="2">
        <v>100</v>
      </c>
    </row>
    <row r="40" spans="2:105" s="2" customFormat="1" ht="20.100000000000001" customHeight="1">
      <c r="B40" s="110">
        <v>46212</v>
      </c>
      <c r="C40" s="111" t="s">
        <v>672</v>
      </c>
      <c r="D40" s="112"/>
      <c r="E40" s="113"/>
      <c r="F40" s="114" t="s">
        <v>761</v>
      </c>
      <c r="G40" s="8" t="str">
        <f t="shared" ref="G40:G42" si="93">C40&amp;F40</f>
        <v>COHEAR689YN075천미방 자른 푸주 BEAN CURD STICKS(1000G)</v>
      </c>
      <c r="H40" s="28">
        <v>200</v>
      </c>
      <c r="I40" s="41">
        <f t="shared" ref="I40:I42" si="94">ROUNDUP((H40/V40),0)</f>
        <v>6</v>
      </c>
      <c r="J40" s="29">
        <v>0</v>
      </c>
      <c r="K40" s="29">
        <v>0</v>
      </c>
      <c r="L40" s="41">
        <f t="shared" ref="L40:L42" si="95">ROUNDUP((K40/V40),0)</f>
        <v>0</v>
      </c>
      <c r="M40" s="29">
        <v>0</v>
      </c>
      <c r="N40" s="31">
        <f t="shared" ref="N40:N42" si="96">P40-K40+M40</f>
        <v>0</v>
      </c>
      <c r="O40" s="42">
        <f t="shared" ref="O40:O42" si="97">ROUNDUP((N40/V40),0)</f>
        <v>0</v>
      </c>
      <c r="P40" s="31">
        <f t="shared" ref="P40:P42" si="98">H40-T40</f>
        <v>0</v>
      </c>
      <c r="Q40" s="42">
        <f t="shared" ref="Q40:Q42" si="99">L40+O40</f>
        <v>0</v>
      </c>
      <c r="R40" s="28">
        <v>0</v>
      </c>
      <c r="S40" s="97">
        <f t="shared" si="22"/>
        <v>200</v>
      </c>
      <c r="T40" s="97">
        <f t="shared" ref="T40:T42" si="100">R40+S40+J40+M40</f>
        <v>200</v>
      </c>
      <c r="V40" s="28">
        <v>36</v>
      </c>
      <c r="W40" s="95">
        <f t="shared" ref="W40:W42" si="101">B40+X40</f>
        <v>46232</v>
      </c>
      <c r="X40" s="79">
        <v>20</v>
      </c>
      <c r="Y40" s="79">
        <v>1000</v>
      </c>
      <c r="Z40" s="2" t="e">
        <f>SUMIF(#REF!,G40,#REF!)</f>
        <v>#REF!</v>
      </c>
      <c r="AA40" s="2">
        <f t="shared" ref="AA40:AA42" ca="1" si="102">IF(W40&gt;TODAY(),"프리타임기간중",Q40*Y40*IF(DATE(YEAR(W40),MONTH(W40),1)&lt;DATE(YEAR($AA$2),MONTH($AA$2),1),DATEDIF($AA$2,$AA$3,"D")+1,DATEDIF(W40,$AA$3+1,"d")))</f>
        <v>0</v>
      </c>
      <c r="AB40" s="2" t="str">
        <f t="shared" ref="AB40:AB42" ca="1" si="103">IFERROR(Z40+AA40,"")</f>
        <v/>
      </c>
      <c r="AC40" s="103"/>
      <c r="BW40" s="2">
        <v>180</v>
      </c>
      <c r="BX40" s="2">
        <v>20</v>
      </c>
    </row>
    <row r="41" spans="2:105" s="2" customFormat="1" ht="20.100000000000001" customHeight="1">
      <c r="B41" s="110">
        <v>46212</v>
      </c>
      <c r="C41" s="111" t="s">
        <v>672</v>
      </c>
      <c r="D41" s="112"/>
      <c r="E41" s="113"/>
      <c r="F41" s="114" t="s">
        <v>713</v>
      </c>
      <c r="G41" s="8" t="str">
        <f t="shared" si="93"/>
        <v>COHEAR689YN075향라맛 따콴펀 MA JIANG DA KUAN FEN-XIANGLA</v>
      </c>
      <c r="H41" s="28">
        <v>360</v>
      </c>
      <c r="I41" s="41">
        <f t="shared" si="94"/>
        <v>9</v>
      </c>
      <c r="J41" s="29">
        <v>0</v>
      </c>
      <c r="K41" s="29">
        <v>0</v>
      </c>
      <c r="L41" s="41">
        <f t="shared" si="95"/>
        <v>0</v>
      </c>
      <c r="M41" s="29">
        <v>0</v>
      </c>
      <c r="N41" s="31">
        <f t="shared" si="96"/>
        <v>0</v>
      </c>
      <c r="O41" s="42">
        <f t="shared" si="97"/>
        <v>0</v>
      </c>
      <c r="P41" s="31">
        <f t="shared" si="98"/>
        <v>0</v>
      </c>
      <c r="Q41" s="42">
        <f t="shared" si="99"/>
        <v>0</v>
      </c>
      <c r="R41" s="28">
        <v>0</v>
      </c>
      <c r="S41" s="97">
        <f t="shared" si="22"/>
        <v>360</v>
      </c>
      <c r="T41" s="97">
        <f t="shared" si="100"/>
        <v>360</v>
      </c>
      <c r="V41" s="28">
        <v>40</v>
      </c>
      <c r="W41" s="95">
        <f t="shared" si="101"/>
        <v>46232</v>
      </c>
      <c r="X41" s="79">
        <v>20</v>
      </c>
      <c r="Y41" s="79">
        <v>1000</v>
      </c>
      <c r="Z41" s="2" t="e">
        <f>SUMIF(#REF!,G41,#REF!)</f>
        <v>#REF!</v>
      </c>
      <c r="AA41" s="2">
        <f t="shared" ca="1" si="102"/>
        <v>0</v>
      </c>
      <c r="AB41" s="2" t="str">
        <f t="shared" ca="1" si="103"/>
        <v/>
      </c>
      <c r="AC41" s="103"/>
      <c r="BF41" s="2">
        <f>40*7</f>
        <v>280</v>
      </c>
      <c r="BJ41" s="2">
        <v>80</v>
      </c>
    </row>
    <row r="42" spans="2:105" s="2" customFormat="1" ht="20.100000000000001" customHeight="1">
      <c r="B42" s="110">
        <v>46212</v>
      </c>
      <c r="C42" s="111" t="s">
        <v>662</v>
      </c>
      <c r="D42" s="112"/>
      <c r="E42" s="113"/>
      <c r="F42" s="114" t="s">
        <v>714</v>
      </c>
      <c r="G42" s="8" t="str">
        <f t="shared" si="93"/>
        <v>COHEAR689YN075마장맛 둔분 MA JIANG DA KUAN FEN-MAJIANG</v>
      </c>
      <c r="H42" s="28">
        <v>160</v>
      </c>
      <c r="I42" s="41">
        <f t="shared" si="94"/>
        <v>4</v>
      </c>
      <c r="J42" s="29">
        <v>0</v>
      </c>
      <c r="K42" s="29">
        <v>0</v>
      </c>
      <c r="L42" s="41">
        <f t="shared" si="95"/>
        <v>0</v>
      </c>
      <c r="M42" s="29">
        <v>0</v>
      </c>
      <c r="N42" s="31">
        <f t="shared" si="96"/>
        <v>0</v>
      </c>
      <c r="O42" s="42">
        <f t="shared" si="97"/>
        <v>0</v>
      </c>
      <c r="P42" s="31">
        <f t="shared" si="98"/>
        <v>0</v>
      </c>
      <c r="Q42" s="42">
        <f t="shared" si="99"/>
        <v>0</v>
      </c>
      <c r="R42" s="28">
        <v>0</v>
      </c>
      <c r="S42" s="97">
        <f t="shared" si="22"/>
        <v>160</v>
      </c>
      <c r="T42" s="97">
        <f t="shared" si="100"/>
        <v>160</v>
      </c>
      <c r="V42" s="28">
        <v>40</v>
      </c>
      <c r="W42" s="95">
        <f t="shared" si="101"/>
        <v>46232</v>
      </c>
      <c r="X42" s="79">
        <v>20</v>
      </c>
      <c r="Y42" s="79">
        <v>1000</v>
      </c>
      <c r="Z42" s="2" t="e">
        <f>SUMIF(#REF!,G42,#REF!)</f>
        <v>#REF!</v>
      </c>
      <c r="AA42" s="2">
        <f t="shared" ca="1" si="102"/>
        <v>0</v>
      </c>
      <c r="AB42" s="2" t="str">
        <f t="shared" ca="1" si="103"/>
        <v/>
      </c>
      <c r="AC42" s="103"/>
      <c r="BG42" s="2">
        <f>40*3</f>
        <v>120</v>
      </c>
      <c r="BK42" s="2">
        <v>40</v>
      </c>
    </row>
    <row r="43" spans="2:105" s="2" customFormat="1" ht="20.100000000000001" customHeight="1">
      <c r="B43" s="110">
        <v>46212</v>
      </c>
      <c r="C43" s="111" t="s">
        <v>662</v>
      </c>
      <c r="D43" s="112"/>
      <c r="E43" s="113"/>
      <c r="F43" s="114" t="s">
        <v>715</v>
      </c>
      <c r="G43" s="8" t="str">
        <f t="shared" ref="G43:G61" si="104">C43&amp;F43</f>
        <v>COHEAR689YN075따콴펀 로제맛  ZHI XINAG DA KUAN FEN</v>
      </c>
      <c r="H43" s="28">
        <v>110</v>
      </c>
      <c r="I43" s="41">
        <f t="shared" ref="I43:I61" si="105">ROUNDUP((H43/V43),0)</f>
        <v>3</v>
      </c>
      <c r="J43" s="29">
        <v>0</v>
      </c>
      <c r="K43" s="29">
        <v>0</v>
      </c>
      <c r="L43" s="41">
        <f t="shared" ref="L43:L61" si="106">ROUNDUP((K43/V43),0)</f>
        <v>0</v>
      </c>
      <c r="M43" s="29">
        <v>0</v>
      </c>
      <c r="N43" s="31">
        <f t="shared" ref="N43:N61" si="107">P43-K43+M43</f>
        <v>0</v>
      </c>
      <c r="O43" s="42">
        <f t="shared" ref="O43:O61" si="108">ROUNDUP((N43/V43),0)</f>
        <v>0</v>
      </c>
      <c r="P43" s="31">
        <f t="shared" ref="P43:P61" si="109">H43-T43</f>
        <v>0</v>
      </c>
      <c r="Q43" s="42">
        <f t="shared" ref="Q43:Q61" si="110">L43+O43</f>
        <v>0</v>
      </c>
      <c r="R43" s="28">
        <v>0</v>
      </c>
      <c r="S43" s="97">
        <f t="shared" si="22"/>
        <v>110</v>
      </c>
      <c r="T43" s="97">
        <f t="shared" ref="T43:T61" si="111">R43+S43+J43+M43</f>
        <v>110</v>
      </c>
      <c r="V43" s="28">
        <v>40</v>
      </c>
      <c r="W43" s="95">
        <f t="shared" ref="W43:W61" si="112">B43+X43</f>
        <v>46232</v>
      </c>
      <c r="X43" s="79">
        <v>20</v>
      </c>
      <c r="Y43" s="79">
        <v>1000</v>
      </c>
      <c r="Z43" s="2" t="e">
        <f>SUMIF(#REF!,G43,#REF!)</f>
        <v>#REF!</v>
      </c>
      <c r="AA43" s="2">
        <f t="shared" ref="AA43:AA61" ca="1" si="113">IF(W43&gt;TODAY(),"프리타임기간중",Q43*Y43*IF(DATE(YEAR(W43),MONTH(W43),1)&lt;DATE(YEAR($AA$2),MONTH($AA$2),1),DATEDIF($AA$2,$AA$3,"D")+1,DATEDIF(W43,$AA$3+1,"d")))</f>
        <v>0</v>
      </c>
      <c r="AB43" s="2" t="str">
        <f t="shared" ref="AB43:AB61" ca="1" si="114">IFERROR(Z43+AA43,"")</f>
        <v/>
      </c>
      <c r="AC43" s="103"/>
      <c r="BH43" s="2">
        <f>40*2</f>
        <v>80</v>
      </c>
      <c r="BL43" s="2">
        <v>30</v>
      </c>
    </row>
    <row r="44" spans="2:105" s="2" customFormat="1" ht="20.100000000000001" customHeight="1">
      <c r="B44" s="110">
        <v>46212</v>
      </c>
      <c r="C44" s="111" t="s">
        <v>672</v>
      </c>
      <c r="D44" s="112"/>
      <c r="E44" s="113"/>
      <c r="F44" s="114" t="s">
        <v>664</v>
      </c>
      <c r="G44" s="8" t="str">
        <f t="shared" si="104"/>
        <v>COHEAR689YN075단정빙탕 SINGLE CRYSTAL ROCK SUGAR</v>
      </c>
      <c r="H44" s="28">
        <v>100</v>
      </c>
      <c r="I44" s="41">
        <f t="shared" si="105"/>
        <v>3</v>
      </c>
      <c r="J44" s="29">
        <v>0</v>
      </c>
      <c r="K44" s="29">
        <v>0</v>
      </c>
      <c r="L44" s="41">
        <f t="shared" si="106"/>
        <v>0</v>
      </c>
      <c r="M44" s="29">
        <v>0</v>
      </c>
      <c r="N44" s="31">
        <f t="shared" si="107"/>
        <v>0</v>
      </c>
      <c r="O44" s="42">
        <f t="shared" si="108"/>
        <v>0</v>
      </c>
      <c r="P44" s="31">
        <f t="shared" si="109"/>
        <v>0</v>
      </c>
      <c r="Q44" s="42">
        <f t="shared" si="110"/>
        <v>0</v>
      </c>
      <c r="R44" s="28">
        <v>0</v>
      </c>
      <c r="S44" s="97">
        <f t="shared" si="22"/>
        <v>100</v>
      </c>
      <c r="T44" s="97">
        <f t="shared" si="111"/>
        <v>100</v>
      </c>
      <c r="V44" s="28">
        <v>40</v>
      </c>
      <c r="W44" s="95">
        <f t="shared" si="112"/>
        <v>46232</v>
      </c>
      <c r="X44" s="79">
        <v>20</v>
      </c>
      <c r="Y44" s="79">
        <v>1000</v>
      </c>
      <c r="Z44" s="2" t="e">
        <f>SUMIF(#REF!,G44,#REF!)</f>
        <v>#REF!</v>
      </c>
      <c r="AA44" s="2">
        <f t="shared" ca="1" si="113"/>
        <v>0</v>
      </c>
      <c r="AB44" s="2" t="str">
        <f t="shared" ca="1" si="114"/>
        <v/>
      </c>
      <c r="AC44" s="103"/>
      <c r="AU44" s="2">
        <v>100</v>
      </c>
    </row>
    <row r="45" spans="2:105" s="2" customFormat="1" ht="20.100000000000001" customHeight="1">
      <c r="B45" s="110">
        <v>46213</v>
      </c>
      <c r="C45" s="111" t="s">
        <v>689</v>
      </c>
      <c r="D45" s="112"/>
      <c r="E45" s="113"/>
      <c r="F45" s="114" t="s">
        <v>696</v>
      </c>
      <c r="G45" s="8" t="str">
        <f>C45&amp;F45</f>
        <v>KMTCSWA0401955VITAMIN C MINT TABLET CANDY 80G*8BOT*6BOX/CTN</v>
      </c>
      <c r="H45" s="28">
        <v>300</v>
      </c>
      <c r="I45" s="41">
        <f>ROUNDUP((H45/V45),0)</f>
        <v>8</v>
      </c>
      <c r="J45" s="29">
        <v>0</v>
      </c>
      <c r="K45" s="29">
        <v>0</v>
      </c>
      <c r="L45" s="41">
        <f>ROUNDUP((K45/V45),0)</f>
        <v>0</v>
      </c>
      <c r="M45" s="29">
        <v>0</v>
      </c>
      <c r="N45" s="31">
        <f>P45-K45+M45</f>
        <v>0</v>
      </c>
      <c r="O45" s="42">
        <f>ROUNDUP((N45/V45),0)</f>
        <v>0</v>
      </c>
      <c r="P45" s="31">
        <f>H45-T45</f>
        <v>0</v>
      </c>
      <c r="Q45" s="42">
        <f>L45+O45</f>
        <v>0</v>
      </c>
      <c r="R45" s="28">
        <v>0</v>
      </c>
      <c r="S45" s="97">
        <f t="shared" ref="S45:S76" si="115">SUM(AD45:FS45)</f>
        <v>300</v>
      </c>
      <c r="T45" s="97">
        <f>R45+S45+J45+M45</f>
        <v>300</v>
      </c>
      <c r="V45" s="28">
        <v>40</v>
      </c>
      <c r="W45" s="95">
        <f>B45+X45</f>
        <v>46233</v>
      </c>
      <c r="X45" s="79">
        <v>20</v>
      </c>
      <c r="Y45" s="79">
        <v>1000</v>
      </c>
      <c r="Z45" s="2" t="e">
        <f>SUMIF(#REF!,G45,#REF!)</f>
        <v>#REF!</v>
      </c>
      <c r="AA45" s="2">
        <f ca="1">IF(W45&gt;TODAY(),"프리타임기간중",Q45*Y45*IF(DATE(YEAR(W45),MONTH(W45),1)&lt;DATE(YEAR($AA$2),MONTH($AA$2),1),DATEDIF($AA$2,$AA$3,"D")+1,DATEDIF(W45,$AA$3+1,"d")))</f>
        <v>0</v>
      </c>
      <c r="AB45" s="2" t="str">
        <f ca="1">IFERROR(Z45+AA45,"")</f>
        <v/>
      </c>
      <c r="AC45" s="103"/>
      <c r="AW45" s="142">
        <v>80</v>
      </c>
      <c r="AZ45" s="142">
        <v>120</v>
      </c>
      <c r="BC45" s="142">
        <v>80</v>
      </c>
      <c r="BD45" s="142">
        <v>20</v>
      </c>
    </row>
    <row r="46" spans="2:105" s="2" customFormat="1" ht="20.100000000000001" customHeight="1">
      <c r="B46" s="110">
        <v>46213</v>
      </c>
      <c r="C46" s="111" t="s">
        <v>689</v>
      </c>
      <c r="D46" s="112"/>
      <c r="E46" s="113"/>
      <c r="F46" s="114" t="s">
        <v>624</v>
      </c>
      <c r="G46" s="8" t="str">
        <f t="shared" ref="G46" si="116">C46&amp;F46</f>
        <v>KMTCSWA0401955VITAMIN C MINT TABLET CANDY 800G*10/CTN</v>
      </c>
      <c r="H46" s="28">
        <v>1250</v>
      </c>
      <c r="I46" s="41">
        <f t="shared" ref="I46" si="117">ROUNDUP((H46/V46),0)</f>
        <v>32</v>
      </c>
      <c r="J46" s="29">
        <v>0</v>
      </c>
      <c r="K46" s="29">
        <v>0</v>
      </c>
      <c r="L46" s="41">
        <f t="shared" ref="L46" si="118">ROUNDUP((K46/V46),0)</f>
        <v>0</v>
      </c>
      <c r="M46" s="29">
        <v>0</v>
      </c>
      <c r="N46" s="31">
        <f t="shared" ref="N46" si="119">P46-K46+M46</f>
        <v>40</v>
      </c>
      <c r="O46" s="42">
        <f t="shared" ref="O46" si="120">ROUNDUP((N46/V46),0)</f>
        <v>1</v>
      </c>
      <c r="P46" s="31">
        <f t="shared" ref="P46" si="121">H46-T46</f>
        <v>40</v>
      </c>
      <c r="Q46" s="42">
        <f t="shared" ref="Q46" si="122">L46+O46</f>
        <v>1</v>
      </c>
      <c r="R46" s="28">
        <v>0</v>
      </c>
      <c r="S46" s="97">
        <f t="shared" si="115"/>
        <v>1210</v>
      </c>
      <c r="T46" s="97">
        <f t="shared" ref="T46" si="123">R46+S46+J46+M46</f>
        <v>1210</v>
      </c>
      <c r="V46" s="28">
        <v>40</v>
      </c>
      <c r="W46" s="95">
        <f t="shared" ref="W46" si="124">B46+X46</f>
        <v>46233</v>
      </c>
      <c r="X46" s="79">
        <v>20</v>
      </c>
      <c r="Y46" s="79">
        <v>1000</v>
      </c>
      <c r="Z46" s="2" t="e">
        <f>SUMIF(#REF!,G46,#REF!)</f>
        <v>#REF!</v>
      </c>
      <c r="AA46" s="2">
        <f t="shared" ref="AA46" ca="1" si="125">IF(W46&gt;TODAY(),"프리타임기간중",Q46*Y46*IF(DATE(YEAR(W46),MONTH(W46),1)&lt;DATE(YEAR($AA$2),MONTH($AA$2),1),DATEDIF($AA$2,$AA$3,"D")+1,DATEDIF(W46,$AA$3+1,"d")))</f>
        <v>2000</v>
      </c>
      <c r="AB46" s="2" t="str">
        <f t="shared" ref="AB46" ca="1" si="126">IFERROR(Z46+AA46,"")</f>
        <v/>
      </c>
      <c r="AC46" s="103"/>
      <c r="BV46" s="2">
        <v>80</v>
      </c>
      <c r="CK46" s="2">
        <v>730</v>
      </c>
      <c r="CN46" s="2">
        <f>40*6</f>
        <v>240</v>
      </c>
      <c r="DA46" s="2">
        <v>160</v>
      </c>
    </row>
    <row r="47" spans="2:105" s="2" customFormat="1" ht="20.100000000000001" customHeight="1">
      <c r="B47" s="110">
        <v>46213</v>
      </c>
      <c r="C47" s="111" t="s">
        <v>688</v>
      </c>
      <c r="D47" s="112"/>
      <c r="E47" s="113"/>
      <c r="F47" s="114" t="s">
        <v>697</v>
      </c>
      <c r="G47" s="8" t="str">
        <f>C47&amp;F47</f>
        <v>KMTCSWA0401955AVITAMIN C MINT TABLET CANDY 200G*20/CTN</v>
      </c>
      <c r="H47" s="28">
        <v>560</v>
      </c>
      <c r="I47" s="41">
        <f>ROUNDUP((H47/V47),0)</f>
        <v>12</v>
      </c>
      <c r="J47" s="29">
        <v>0</v>
      </c>
      <c r="K47" s="29">
        <v>0</v>
      </c>
      <c r="L47" s="41">
        <f>ROUNDUP((K47/V47),0)</f>
        <v>0</v>
      </c>
      <c r="M47" s="29">
        <v>0</v>
      </c>
      <c r="N47" s="31">
        <f>P47-K47+M47</f>
        <v>0</v>
      </c>
      <c r="O47" s="42">
        <f>ROUNDUP((N47/V47),0)</f>
        <v>0</v>
      </c>
      <c r="P47" s="31">
        <f>H47-T47</f>
        <v>0</v>
      </c>
      <c r="Q47" s="42">
        <f>L47+O47</f>
        <v>0</v>
      </c>
      <c r="R47" s="28">
        <v>0</v>
      </c>
      <c r="S47" s="97">
        <f t="shared" si="115"/>
        <v>560</v>
      </c>
      <c r="T47" s="97">
        <f>R47+S47+J47+M47</f>
        <v>560</v>
      </c>
      <c r="V47" s="28">
        <v>48</v>
      </c>
      <c r="W47" s="95">
        <f>B47+X47</f>
        <v>46233</v>
      </c>
      <c r="X47" s="79">
        <v>20</v>
      </c>
      <c r="Y47" s="79">
        <v>1000</v>
      </c>
      <c r="Z47" s="2" t="e">
        <f>SUMIF(#REF!,G47,#REF!)</f>
        <v>#REF!</v>
      </c>
      <c r="AA47" s="2">
        <f ca="1">IF(W47&gt;TODAY(),"프리타임기간중",Q47*Y47*IF(DATE(YEAR(W47),MONTH(W47),1)&lt;DATE(YEAR($AA$2),MONTH($AA$2),1),DATEDIF($AA$2,$AA$3,"D")+1,DATEDIF(W47,$AA$3+1,"d")))</f>
        <v>0</v>
      </c>
      <c r="AB47" s="2" t="str">
        <f ca="1">IFERROR(Z47+AA47,"")</f>
        <v/>
      </c>
      <c r="AC47" s="103"/>
      <c r="AX47" s="142">
        <v>336</v>
      </c>
      <c r="BA47" s="142">
        <v>192</v>
      </c>
      <c r="BB47" s="142">
        <v>32</v>
      </c>
    </row>
    <row r="48" spans="2:105" s="2" customFormat="1" ht="20.100000000000001" customHeight="1">
      <c r="B48" s="110">
        <v>46213</v>
      </c>
      <c r="C48" s="111" t="s">
        <v>688</v>
      </c>
      <c r="D48" s="112"/>
      <c r="E48" s="113"/>
      <c r="F48" s="114" t="s">
        <v>698</v>
      </c>
      <c r="G48" s="8" t="str">
        <f>C48&amp;F48</f>
        <v>KMTCSWA0401955AMANGO FLAVOR CANDY 1KG*15/CTN</v>
      </c>
      <c r="H48" s="28">
        <v>100</v>
      </c>
      <c r="I48" s="41">
        <f>ROUNDUP((H48/V48),0)</f>
        <v>3</v>
      </c>
      <c r="J48" s="29">
        <v>0</v>
      </c>
      <c r="K48" s="29">
        <v>0</v>
      </c>
      <c r="L48" s="41">
        <f>ROUNDUP((K48/V48),0)</f>
        <v>0</v>
      </c>
      <c r="M48" s="29">
        <v>0</v>
      </c>
      <c r="N48" s="31">
        <f>P48-K48+M48</f>
        <v>0</v>
      </c>
      <c r="O48" s="42">
        <f>ROUNDUP((N48/V48),0)</f>
        <v>0</v>
      </c>
      <c r="P48" s="31">
        <f>H48-T48</f>
        <v>0</v>
      </c>
      <c r="Q48" s="42">
        <f>L48+O48</f>
        <v>0</v>
      </c>
      <c r="R48" s="28">
        <v>0</v>
      </c>
      <c r="S48" s="97">
        <f t="shared" si="115"/>
        <v>100</v>
      </c>
      <c r="T48" s="97">
        <f>R48+S48+J48+M48</f>
        <v>100</v>
      </c>
      <c r="V48" s="28">
        <v>42</v>
      </c>
      <c r="W48" s="95">
        <f>B48+X48</f>
        <v>46233</v>
      </c>
      <c r="X48" s="79">
        <v>20</v>
      </c>
      <c r="Y48" s="79">
        <v>1000</v>
      </c>
      <c r="Z48" s="2" t="e">
        <f>SUMIF(#REF!,G48,#REF!)</f>
        <v>#REF!</v>
      </c>
      <c r="AA48" s="2">
        <f ca="1">IF(W48&gt;TODAY(),"프리타임기간중",Q48*Y48*IF(DATE(YEAR(W48),MONTH(W48),1)&lt;DATE(YEAR($AA$2),MONTH($AA$2),1),DATEDIF($AA$2,$AA$3,"D")+1,DATEDIF(W48,$AA$3+1,"d")))</f>
        <v>0</v>
      </c>
      <c r="AB48" s="2" t="str">
        <f ca="1">IFERROR(Z48+AA48,"")</f>
        <v/>
      </c>
      <c r="AC48" s="103"/>
      <c r="AY48" s="2">
        <f>42*2+16</f>
        <v>100</v>
      </c>
    </row>
    <row r="49" spans="2:104" s="2" customFormat="1" ht="20.100000000000001" customHeight="1">
      <c r="B49" s="110">
        <v>46213</v>
      </c>
      <c r="C49" s="111" t="s">
        <v>688</v>
      </c>
      <c r="D49" s="112"/>
      <c r="E49" s="113"/>
      <c r="F49" s="114" t="s">
        <v>624</v>
      </c>
      <c r="G49" s="8" t="str">
        <f>C49&amp;F49</f>
        <v>KMTCSWA0401955AVITAMIN C MINT TABLET CANDY 800G*10/CTN</v>
      </c>
      <c r="H49" s="28">
        <v>1120</v>
      </c>
      <c r="I49" s="41">
        <f>ROUNDUP((H49/V49),0)</f>
        <v>28</v>
      </c>
      <c r="J49" s="29">
        <v>0</v>
      </c>
      <c r="K49" s="29">
        <v>0</v>
      </c>
      <c r="L49" s="41">
        <f>ROUNDUP((K49/V49),0)</f>
        <v>0</v>
      </c>
      <c r="M49" s="29">
        <v>0</v>
      </c>
      <c r="N49" s="31">
        <f>P49-K49+M49</f>
        <v>0</v>
      </c>
      <c r="O49" s="42">
        <f>ROUNDUP((N49/V49),0)</f>
        <v>0</v>
      </c>
      <c r="P49" s="31">
        <f>H49-T49</f>
        <v>0</v>
      </c>
      <c r="Q49" s="42">
        <f>L49+O49</f>
        <v>0</v>
      </c>
      <c r="R49" s="28">
        <v>0</v>
      </c>
      <c r="S49" s="97">
        <f t="shared" si="115"/>
        <v>1120</v>
      </c>
      <c r="T49" s="97">
        <f>R49+S49+J49+M49</f>
        <v>1120</v>
      </c>
      <c r="V49" s="28">
        <v>40</v>
      </c>
      <c r="W49" s="95">
        <f>B49+X49</f>
        <v>46233</v>
      </c>
      <c r="X49" s="79">
        <v>20</v>
      </c>
      <c r="Y49" s="79">
        <v>1000</v>
      </c>
      <c r="Z49" s="2" t="e">
        <f>SUMIF(#REF!,G49,#REF!)</f>
        <v>#REF!</v>
      </c>
      <c r="AA49" s="2">
        <f ca="1">IF(W49&gt;TODAY(),"프리타임기간중",Q49*Y49*IF(DATE(YEAR(W49),MONTH(W49),1)&lt;DATE(YEAR($AA$2),MONTH($AA$2),1),DATEDIF($AA$2,$AA$3,"D")+1,DATEDIF(W49,$AA$3+1,"d")))</f>
        <v>0</v>
      </c>
      <c r="AB49" s="2" t="str">
        <f ca="1">IFERROR(Z49+AA49,"")</f>
        <v/>
      </c>
      <c r="AC49" s="103"/>
      <c r="CL49" s="2">
        <v>240</v>
      </c>
      <c r="CO49" s="2">
        <v>240</v>
      </c>
      <c r="CY49" s="2">
        <f>40*12</f>
        <v>480</v>
      </c>
      <c r="CZ49" s="2">
        <v>160</v>
      </c>
    </row>
    <row r="50" spans="2:104" s="2" customFormat="1" ht="20.100000000000001" customHeight="1">
      <c r="B50" s="110">
        <v>46216</v>
      </c>
      <c r="C50" s="111" t="s">
        <v>709</v>
      </c>
      <c r="D50" s="112"/>
      <c r="E50" s="113"/>
      <c r="F50" s="114" t="s">
        <v>624</v>
      </c>
      <c r="G50" s="8" t="str">
        <f t="shared" si="104"/>
        <v>COHEAR691YN062VITAMIN C MINT TABLET CANDY 800G*10/CTN</v>
      </c>
      <c r="H50" s="28">
        <v>1600</v>
      </c>
      <c r="I50" s="41">
        <f t="shared" si="105"/>
        <v>40</v>
      </c>
      <c r="J50" s="29">
        <v>0</v>
      </c>
      <c r="K50" s="29">
        <v>0</v>
      </c>
      <c r="L50" s="41">
        <f t="shared" si="106"/>
        <v>0</v>
      </c>
      <c r="M50" s="29">
        <v>0</v>
      </c>
      <c r="N50" s="31">
        <f t="shared" si="107"/>
        <v>1600</v>
      </c>
      <c r="O50" s="42">
        <f t="shared" si="108"/>
        <v>40</v>
      </c>
      <c r="P50" s="31">
        <f t="shared" si="109"/>
        <v>1600</v>
      </c>
      <c r="Q50" s="42">
        <f t="shared" si="110"/>
        <v>40</v>
      </c>
      <c r="R50" s="28">
        <v>0</v>
      </c>
      <c r="S50" s="97">
        <f t="shared" si="115"/>
        <v>0</v>
      </c>
      <c r="T50" s="97">
        <f t="shared" si="111"/>
        <v>0</v>
      </c>
      <c r="V50" s="28">
        <v>40</v>
      </c>
      <c r="W50" s="95">
        <f t="shared" si="112"/>
        <v>46236</v>
      </c>
      <c r="X50" s="79">
        <v>20</v>
      </c>
      <c r="Y50" s="79">
        <v>1000</v>
      </c>
      <c r="Z50" s="2" t="e">
        <f>SUMIF(#REF!,G50,#REF!)</f>
        <v>#REF!</v>
      </c>
      <c r="AA50" s="2" t="str">
        <f t="shared" ca="1" si="113"/>
        <v>프리타임기간중</v>
      </c>
      <c r="AB50" s="2" t="str">
        <f t="shared" ca="1" si="114"/>
        <v/>
      </c>
      <c r="AC50" s="103"/>
    </row>
    <row r="51" spans="2:104" s="2" customFormat="1" ht="20.100000000000001" customHeight="1">
      <c r="B51" s="110">
        <v>46218</v>
      </c>
      <c r="C51" s="111" t="s">
        <v>759</v>
      </c>
      <c r="D51" s="112"/>
      <c r="E51" s="113"/>
      <c r="F51" s="114" t="s">
        <v>738</v>
      </c>
      <c r="G51" s="8" t="str">
        <f t="shared" si="104"/>
        <v>COHEAR693YN077AB인조콩고기 2.5kg</v>
      </c>
      <c r="H51" s="28">
        <v>250</v>
      </c>
      <c r="I51" s="41">
        <f t="shared" si="105"/>
        <v>9</v>
      </c>
      <c r="J51" s="29">
        <v>0</v>
      </c>
      <c r="K51" s="29">
        <v>0</v>
      </c>
      <c r="L51" s="41">
        <f t="shared" si="106"/>
        <v>0</v>
      </c>
      <c r="M51" s="29">
        <v>0</v>
      </c>
      <c r="N51" s="31">
        <f t="shared" si="107"/>
        <v>0</v>
      </c>
      <c r="O51" s="42">
        <f t="shared" si="108"/>
        <v>0</v>
      </c>
      <c r="P51" s="31">
        <f t="shared" si="109"/>
        <v>0</v>
      </c>
      <c r="Q51" s="42">
        <f t="shared" si="110"/>
        <v>0</v>
      </c>
      <c r="R51" s="28">
        <v>0</v>
      </c>
      <c r="S51" s="97">
        <f t="shared" si="115"/>
        <v>250</v>
      </c>
      <c r="T51" s="97">
        <f t="shared" si="111"/>
        <v>250</v>
      </c>
      <c r="V51" s="28">
        <v>28</v>
      </c>
      <c r="W51" s="95">
        <f t="shared" si="112"/>
        <v>46238</v>
      </c>
      <c r="X51" s="79">
        <v>20</v>
      </c>
      <c r="Y51" s="79">
        <v>1000</v>
      </c>
      <c r="Z51" s="2" t="e">
        <f>SUMIF(#REF!,G51,#REF!)</f>
        <v>#REF!</v>
      </c>
      <c r="AA51" s="2" t="str">
        <f t="shared" ca="1" si="113"/>
        <v>프리타임기간중</v>
      </c>
      <c r="AB51" s="2" t="str">
        <f t="shared" ca="1" si="114"/>
        <v/>
      </c>
      <c r="AC51" s="103"/>
      <c r="BY51" s="2">
        <v>250</v>
      </c>
    </row>
    <row r="52" spans="2:104" s="2" customFormat="1" ht="20.100000000000001" customHeight="1">
      <c r="B52" s="110">
        <v>46218</v>
      </c>
      <c r="C52" s="111" t="s">
        <v>725</v>
      </c>
      <c r="D52" s="112"/>
      <c r="E52" s="113"/>
      <c r="F52" s="114" t="s">
        <v>729</v>
      </c>
      <c r="G52" s="8" t="str">
        <f t="shared" ref="G52:G53" si="127">C52&amp;F52</f>
        <v>COHEAR693YN077AB인조콩고기 5kg</v>
      </c>
      <c r="H52" s="28">
        <v>250</v>
      </c>
      <c r="I52" s="41">
        <f t="shared" ref="I52:I53" si="128">ROUNDUP((H52/V52),0)</f>
        <v>9</v>
      </c>
      <c r="J52" s="29">
        <v>0</v>
      </c>
      <c r="K52" s="29">
        <v>0</v>
      </c>
      <c r="L52" s="41">
        <f t="shared" ref="L52:L53" si="129">ROUNDUP((K52/V52),0)</f>
        <v>0</v>
      </c>
      <c r="M52" s="29">
        <v>0</v>
      </c>
      <c r="N52" s="31">
        <f t="shared" ref="N52:N53" si="130">P52-K52+M52</f>
        <v>0</v>
      </c>
      <c r="O52" s="42">
        <f t="shared" ref="O52:O53" si="131">ROUNDUP((N52/V52),0)</f>
        <v>0</v>
      </c>
      <c r="P52" s="31">
        <f t="shared" ref="P52:P53" si="132">H52-T52</f>
        <v>0</v>
      </c>
      <c r="Q52" s="42">
        <f t="shared" ref="Q52:Q53" si="133">L52+O52</f>
        <v>0</v>
      </c>
      <c r="R52" s="28">
        <v>0</v>
      </c>
      <c r="S52" s="97">
        <f t="shared" si="115"/>
        <v>250</v>
      </c>
      <c r="T52" s="97">
        <f t="shared" ref="T52:T53" si="134">R52+S52+J52+M52</f>
        <v>250</v>
      </c>
      <c r="V52" s="28">
        <v>28</v>
      </c>
      <c r="W52" s="95">
        <f t="shared" ref="W52:W53" si="135">B52+X52</f>
        <v>46238</v>
      </c>
      <c r="X52" s="79">
        <v>20</v>
      </c>
      <c r="Y52" s="79">
        <v>1000</v>
      </c>
      <c r="Z52" s="2" t="e">
        <f>SUMIF(#REF!,G52,#REF!)</f>
        <v>#REF!</v>
      </c>
      <c r="AA52" s="2" t="str">
        <f t="shared" ref="AA52:AA53" ca="1" si="136">IF(W52&gt;TODAY(),"프리타임기간중",Q52*Y52*IF(DATE(YEAR(W52),MONTH(W52),1)&lt;DATE(YEAR($AA$2),MONTH($AA$2),1),DATEDIF($AA$2,$AA$3,"D")+1,DATEDIF(W52,$AA$3+1,"d")))</f>
        <v>프리타임기간중</v>
      </c>
      <c r="AB52" s="2" t="str">
        <f t="shared" ref="AB52:AB53" ca="1" si="137">IFERROR(Z52+AA52,"")</f>
        <v/>
      </c>
      <c r="AC52" s="103"/>
      <c r="BZ52" s="2">
        <v>250</v>
      </c>
    </row>
    <row r="53" spans="2:104" s="2" customFormat="1" ht="20.100000000000001" customHeight="1">
      <c r="B53" s="110">
        <v>46218</v>
      </c>
      <c r="C53" s="111" t="s">
        <v>726</v>
      </c>
      <c r="D53" s="112"/>
      <c r="E53" s="113"/>
      <c r="F53" s="114" t="s">
        <v>743</v>
      </c>
      <c r="G53" s="8" t="str">
        <f t="shared" si="127"/>
        <v>COHEAR693YN077C단정빙탕</v>
      </c>
      <c r="H53" s="28">
        <v>200</v>
      </c>
      <c r="I53" s="41">
        <f t="shared" si="128"/>
        <v>5</v>
      </c>
      <c r="J53" s="29">
        <v>0</v>
      </c>
      <c r="K53" s="29">
        <v>0</v>
      </c>
      <c r="L53" s="41">
        <f t="shared" si="129"/>
        <v>0</v>
      </c>
      <c r="M53" s="29">
        <v>0</v>
      </c>
      <c r="N53" s="31">
        <f t="shared" si="130"/>
        <v>200</v>
      </c>
      <c r="O53" s="42">
        <f t="shared" si="131"/>
        <v>5</v>
      </c>
      <c r="P53" s="31">
        <f t="shared" si="132"/>
        <v>200</v>
      </c>
      <c r="Q53" s="42">
        <f t="shared" si="133"/>
        <v>5</v>
      </c>
      <c r="R53" s="28">
        <v>0</v>
      </c>
      <c r="S53" s="97">
        <f t="shared" si="115"/>
        <v>0</v>
      </c>
      <c r="T53" s="97">
        <f t="shared" si="134"/>
        <v>0</v>
      </c>
      <c r="V53" s="28">
        <v>40</v>
      </c>
      <c r="W53" s="95">
        <f t="shared" si="135"/>
        <v>46238</v>
      </c>
      <c r="X53" s="79">
        <v>20</v>
      </c>
      <c r="Y53" s="79">
        <v>1000</v>
      </c>
      <c r="Z53" s="2" t="e">
        <f>SUMIF(#REF!,G53,#REF!)</f>
        <v>#REF!</v>
      </c>
      <c r="AA53" s="2" t="str">
        <f t="shared" ca="1" si="136"/>
        <v>프리타임기간중</v>
      </c>
      <c r="AB53" s="2" t="str">
        <f t="shared" ca="1" si="137"/>
        <v/>
      </c>
      <c r="AC53" s="103"/>
    </row>
    <row r="54" spans="2:104" s="2" customFormat="1" ht="20.100000000000001" customHeight="1">
      <c r="B54" s="110">
        <v>46218</v>
      </c>
      <c r="C54" s="111" t="s">
        <v>749</v>
      </c>
      <c r="D54" s="112"/>
      <c r="E54" s="113"/>
      <c r="F54" s="114" t="s">
        <v>730</v>
      </c>
      <c r="G54" s="8" t="str">
        <f t="shared" si="104"/>
        <v>COHEAR693YN077D사천꿍차이곤약(고수맛)</v>
      </c>
      <c r="H54" s="28">
        <v>50</v>
      </c>
      <c r="I54" s="41">
        <f t="shared" si="105"/>
        <v>1</v>
      </c>
      <c r="J54" s="29">
        <v>0</v>
      </c>
      <c r="K54" s="29">
        <v>0</v>
      </c>
      <c r="L54" s="41">
        <f t="shared" si="106"/>
        <v>0</v>
      </c>
      <c r="M54" s="29">
        <v>0</v>
      </c>
      <c r="N54" s="31">
        <f t="shared" si="107"/>
        <v>0</v>
      </c>
      <c r="O54" s="42">
        <f t="shared" si="108"/>
        <v>0</v>
      </c>
      <c r="P54" s="31">
        <f t="shared" si="109"/>
        <v>0</v>
      </c>
      <c r="Q54" s="42">
        <f t="shared" si="110"/>
        <v>0</v>
      </c>
      <c r="R54" s="28">
        <v>0</v>
      </c>
      <c r="S54" s="97">
        <f t="shared" si="115"/>
        <v>50</v>
      </c>
      <c r="T54" s="97">
        <f t="shared" si="111"/>
        <v>50</v>
      </c>
      <c r="V54" s="28">
        <v>50</v>
      </c>
      <c r="W54" s="95">
        <f t="shared" si="112"/>
        <v>46238</v>
      </c>
      <c r="X54" s="79">
        <v>20</v>
      </c>
      <c r="Y54" s="79">
        <v>1000</v>
      </c>
      <c r="Z54" s="2" t="e">
        <f>SUMIF(#REF!,G54,#REF!)</f>
        <v>#REF!</v>
      </c>
      <c r="AA54" s="2" t="str">
        <f t="shared" ca="1" si="113"/>
        <v>프리타임기간중</v>
      </c>
      <c r="AB54" s="2" t="str">
        <f t="shared" ca="1" si="114"/>
        <v/>
      </c>
      <c r="AC54" s="103"/>
      <c r="BR54" s="2">
        <v>50</v>
      </c>
    </row>
    <row r="55" spans="2:104" s="2" customFormat="1" ht="20.100000000000001" customHeight="1">
      <c r="B55" s="110">
        <v>46218</v>
      </c>
      <c r="C55" s="111" t="s">
        <v>727</v>
      </c>
      <c r="D55" s="112"/>
      <c r="E55" s="113"/>
      <c r="F55" s="114" t="s">
        <v>731</v>
      </c>
      <c r="G55" s="8" t="str">
        <f t="shared" si="104"/>
        <v>COHEAR693YN077D사천꿍차이곤약(마라탕맛)</v>
      </c>
      <c r="H55" s="28">
        <v>50</v>
      </c>
      <c r="I55" s="41">
        <f t="shared" si="105"/>
        <v>1</v>
      </c>
      <c r="J55" s="29">
        <v>0</v>
      </c>
      <c r="K55" s="29">
        <v>0</v>
      </c>
      <c r="L55" s="41">
        <f t="shared" si="106"/>
        <v>0</v>
      </c>
      <c r="M55" s="29">
        <v>0</v>
      </c>
      <c r="N55" s="31">
        <f t="shared" si="107"/>
        <v>0</v>
      </c>
      <c r="O55" s="42">
        <f t="shared" si="108"/>
        <v>0</v>
      </c>
      <c r="P55" s="31">
        <f t="shared" si="109"/>
        <v>0</v>
      </c>
      <c r="Q55" s="42">
        <f t="shared" si="110"/>
        <v>0</v>
      </c>
      <c r="R55" s="28">
        <v>0</v>
      </c>
      <c r="S55" s="97">
        <f t="shared" si="115"/>
        <v>50</v>
      </c>
      <c r="T55" s="97">
        <f t="shared" si="111"/>
        <v>50</v>
      </c>
      <c r="V55" s="28">
        <v>50</v>
      </c>
      <c r="W55" s="95">
        <f t="shared" si="112"/>
        <v>46238</v>
      </c>
      <c r="X55" s="79">
        <v>20</v>
      </c>
      <c r="Y55" s="79">
        <v>1000</v>
      </c>
      <c r="Z55" s="2" t="e">
        <f>SUMIF(#REF!,G55,#REF!)</f>
        <v>#REF!</v>
      </c>
      <c r="AA55" s="2" t="str">
        <f t="shared" ca="1" si="113"/>
        <v>프리타임기간중</v>
      </c>
      <c r="AB55" s="2" t="str">
        <f t="shared" ca="1" si="114"/>
        <v/>
      </c>
      <c r="AC55" s="103"/>
      <c r="BS55" s="2">
        <v>50</v>
      </c>
    </row>
    <row r="56" spans="2:104" s="2" customFormat="1" ht="20.100000000000001" customHeight="1">
      <c r="B56" s="110">
        <v>46218</v>
      </c>
      <c r="C56" s="111" t="s">
        <v>763</v>
      </c>
      <c r="D56" s="112"/>
      <c r="E56" s="113"/>
      <c r="F56" s="114" t="s">
        <v>764</v>
      </c>
      <c r="G56" s="8" t="str">
        <f t="shared" si="104"/>
        <v>COHEAR693YN077EF향신료혼합분말</v>
      </c>
      <c r="H56" s="28">
        <v>150</v>
      </c>
      <c r="I56" s="41">
        <f t="shared" si="105"/>
        <v>2</v>
      </c>
      <c r="J56" s="29">
        <v>0</v>
      </c>
      <c r="K56" s="29">
        <v>0</v>
      </c>
      <c r="L56" s="41">
        <f t="shared" si="106"/>
        <v>0</v>
      </c>
      <c r="M56" s="29">
        <v>0</v>
      </c>
      <c r="N56" s="31">
        <f t="shared" si="107"/>
        <v>0</v>
      </c>
      <c r="O56" s="42">
        <f t="shared" si="108"/>
        <v>0</v>
      </c>
      <c r="P56" s="31">
        <f t="shared" si="109"/>
        <v>0</v>
      </c>
      <c r="Q56" s="42">
        <f t="shared" si="110"/>
        <v>0</v>
      </c>
      <c r="R56" s="28">
        <v>0</v>
      </c>
      <c r="S56" s="97">
        <f t="shared" si="115"/>
        <v>150</v>
      </c>
      <c r="T56" s="97">
        <f t="shared" si="111"/>
        <v>150</v>
      </c>
      <c r="V56" s="28">
        <v>84</v>
      </c>
      <c r="W56" s="95">
        <f t="shared" si="112"/>
        <v>46238</v>
      </c>
      <c r="X56" s="79">
        <v>20</v>
      </c>
      <c r="Y56" s="79">
        <v>1000</v>
      </c>
      <c r="Z56" s="2" t="e">
        <f>SUMIF(#REF!,G56,#REF!)</f>
        <v>#REF!</v>
      </c>
      <c r="AA56" s="2" t="str">
        <f t="shared" ca="1" si="113"/>
        <v>프리타임기간중</v>
      </c>
      <c r="AB56" s="2" t="str">
        <f t="shared" ca="1" si="114"/>
        <v/>
      </c>
      <c r="AC56" s="103"/>
      <c r="CB56" s="142">
        <v>84</v>
      </c>
      <c r="CC56" s="142">
        <v>66</v>
      </c>
    </row>
    <row r="57" spans="2:104" s="2" customFormat="1" ht="20.100000000000001" customHeight="1">
      <c r="B57" s="110">
        <v>46218</v>
      </c>
      <c r="C57" s="111" t="s">
        <v>763</v>
      </c>
      <c r="D57" s="112"/>
      <c r="E57" s="113"/>
      <c r="F57" s="114" t="s">
        <v>807</v>
      </c>
      <c r="G57" s="8" t="str">
        <f t="shared" si="104"/>
        <v>COHEAR693YN077EF눈육분</v>
      </c>
      <c r="H57" s="28">
        <v>100</v>
      </c>
      <c r="I57" s="41">
        <f t="shared" si="105"/>
        <v>1</v>
      </c>
      <c r="J57" s="29">
        <v>0</v>
      </c>
      <c r="K57" s="29">
        <v>0</v>
      </c>
      <c r="L57" s="41">
        <f t="shared" si="106"/>
        <v>0</v>
      </c>
      <c r="M57" s="29">
        <v>0</v>
      </c>
      <c r="N57" s="31">
        <f t="shared" si="107"/>
        <v>0</v>
      </c>
      <c r="O57" s="42">
        <f t="shared" si="108"/>
        <v>0</v>
      </c>
      <c r="P57" s="31">
        <f t="shared" si="109"/>
        <v>0</v>
      </c>
      <c r="Q57" s="42">
        <f t="shared" si="110"/>
        <v>0</v>
      </c>
      <c r="R57" s="28">
        <v>0</v>
      </c>
      <c r="S57" s="97">
        <f t="shared" si="115"/>
        <v>100</v>
      </c>
      <c r="T57" s="97">
        <f t="shared" si="111"/>
        <v>100</v>
      </c>
      <c r="V57" s="28">
        <v>100</v>
      </c>
      <c r="W57" s="95">
        <f t="shared" si="112"/>
        <v>46238</v>
      </c>
      <c r="X57" s="79">
        <v>20</v>
      </c>
      <c r="Y57" s="79">
        <v>1000</v>
      </c>
      <c r="Z57" s="2" t="e">
        <f>SUMIF(#REF!,G57,#REF!)</f>
        <v>#REF!</v>
      </c>
      <c r="AA57" s="2" t="str">
        <f t="shared" ca="1" si="113"/>
        <v>프리타임기간중</v>
      </c>
      <c r="AB57" s="2" t="str">
        <f t="shared" ca="1" si="114"/>
        <v/>
      </c>
      <c r="AC57" s="103"/>
      <c r="CM57" s="2">
        <v>100</v>
      </c>
    </row>
    <row r="58" spans="2:104" s="2" customFormat="1" ht="20.100000000000001" customHeight="1">
      <c r="B58" s="110">
        <v>46218</v>
      </c>
      <c r="C58" s="111" t="s">
        <v>760</v>
      </c>
      <c r="D58" s="112"/>
      <c r="E58" s="113"/>
      <c r="F58" s="114" t="s">
        <v>732</v>
      </c>
      <c r="G58" s="8" t="str">
        <f t="shared" si="104"/>
        <v>COHEAR693YN077G마자오유</v>
      </c>
      <c r="H58" s="28">
        <v>200</v>
      </c>
      <c r="I58" s="41">
        <f t="shared" si="105"/>
        <v>2</v>
      </c>
      <c r="J58" s="29">
        <v>0</v>
      </c>
      <c r="K58" s="29">
        <v>0</v>
      </c>
      <c r="L58" s="41">
        <f t="shared" si="106"/>
        <v>0</v>
      </c>
      <c r="M58" s="29">
        <v>0</v>
      </c>
      <c r="N58" s="31">
        <f t="shared" si="107"/>
        <v>0</v>
      </c>
      <c r="O58" s="42">
        <f t="shared" si="108"/>
        <v>0</v>
      </c>
      <c r="P58" s="31">
        <f t="shared" si="109"/>
        <v>0</v>
      </c>
      <c r="Q58" s="42">
        <f t="shared" si="110"/>
        <v>0</v>
      </c>
      <c r="R58" s="28">
        <v>0</v>
      </c>
      <c r="S58" s="97">
        <f t="shared" si="115"/>
        <v>200</v>
      </c>
      <c r="T58" s="97">
        <f t="shared" si="111"/>
        <v>200</v>
      </c>
      <c r="V58" s="28">
        <v>104</v>
      </c>
      <c r="W58" s="95">
        <f t="shared" si="112"/>
        <v>46238</v>
      </c>
      <c r="X58" s="79">
        <v>20</v>
      </c>
      <c r="Y58" s="79">
        <v>1000</v>
      </c>
      <c r="Z58" s="2" t="e">
        <f>SUMIF(#REF!,G58,#REF!)</f>
        <v>#REF!</v>
      </c>
      <c r="AA58" s="2" t="str">
        <f t="shared" ca="1" si="113"/>
        <v>프리타임기간중</v>
      </c>
      <c r="AB58" s="2" t="str">
        <f t="shared" ca="1" si="114"/>
        <v/>
      </c>
      <c r="AC58" s="103"/>
      <c r="CR58" s="142">
        <v>200</v>
      </c>
    </row>
    <row r="59" spans="2:104" s="2" customFormat="1" ht="20.100000000000001" customHeight="1">
      <c r="B59" s="110">
        <v>46218</v>
      </c>
      <c r="C59" s="111" t="s">
        <v>760</v>
      </c>
      <c r="D59" s="112"/>
      <c r="E59" s="113"/>
      <c r="F59" s="114" t="s">
        <v>733</v>
      </c>
      <c r="G59" s="8" t="str">
        <f t="shared" si="104"/>
        <v>COHEAR693YN077G마라유</v>
      </c>
      <c r="H59" s="28">
        <v>100</v>
      </c>
      <c r="I59" s="41">
        <f t="shared" si="105"/>
        <v>1</v>
      </c>
      <c r="J59" s="29">
        <v>0</v>
      </c>
      <c r="K59" s="29">
        <v>0</v>
      </c>
      <c r="L59" s="41">
        <f t="shared" si="106"/>
        <v>0</v>
      </c>
      <c r="M59" s="29">
        <v>0</v>
      </c>
      <c r="N59" s="31">
        <f t="shared" si="107"/>
        <v>0</v>
      </c>
      <c r="O59" s="42">
        <f t="shared" si="108"/>
        <v>0</v>
      </c>
      <c r="P59" s="31">
        <f t="shared" si="109"/>
        <v>0</v>
      </c>
      <c r="Q59" s="42">
        <f t="shared" si="110"/>
        <v>0</v>
      </c>
      <c r="R59" s="28">
        <v>0</v>
      </c>
      <c r="S59" s="97">
        <f t="shared" si="115"/>
        <v>100</v>
      </c>
      <c r="T59" s="97">
        <f t="shared" si="111"/>
        <v>100</v>
      </c>
      <c r="V59" s="28">
        <v>100</v>
      </c>
      <c r="W59" s="95">
        <f t="shared" si="112"/>
        <v>46238</v>
      </c>
      <c r="X59" s="79">
        <v>20</v>
      </c>
      <c r="Y59" s="79">
        <v>1000</v>
      </c>
      <c r="Z59" s="2" t="e">
        <f>SUMIF(#REF!,G59,#REF!)</f>
        <v>#REF!</v>
      </c>
      <c r="AA59" s="2" t="str">
        <f t="shared" ca="1" si="113"/>
        <v>프리타임기간중</v>
      </c>
      <c r="AB59" s="2" t="str">
        <f t="shared" ca="1" si="114"/>
        <v/>
      </c>
      <c r="AC59" s="103"/>
      <c r="CS59" s="2">
        <v>100</v>
      </c>
    </row>
    <row r="60" spans="2:104" s="2" customFormat="1" ht="20.100000000000001" customHeight="1">
      <c r="B60" s="110">
        <v>46218</v>
      </c>
      <c r="C60" s="111" t="s">
        <v>748</v>
      </c>
      <c r="D60" s="112"/>
      <c r="E60" s="113"/>
      <c r="F60" s="114" t="s">
        <v>762</v>
      </c>
      <c r="G60" s="8" t="str">
        <f>C60&amp;F60</f>
        <v>COHEAR693YN077HI호인가_사천유펜소스</v>
      </c>
      <c r="H60" s="28">
        <v>20</v>
      </c>
      <c r="I60" s="41">
        <f t="shared" si="105"/>
        <v>1</v>
      </c>
      <c r="J60" s="29">
        <v>0</v>
      </c>
      <c r="K60" s="29">
        <v>0</v>
      </c>
      <c r="L60" s="41">
        <f t="shared" si="106"/>
        <v>0</v>
      </c>
      <c r="M60" s="29">
        <v>0</v>
      </c>
      <c r="N60" s="31">
        <f t="shared" si="107"/>
        <v>0</v>
      </c>
      <c r="O60" s="42">
        <f t="shared" si="108"/>
        <v>0</v>
      </c>
      <c r="P60" s="31">
        <f t="shared" si="109"/>
        <v>0</v>
      </c>
      <c r="Q60" s="42">
        <f t="shared" si="110"/>
        <v>0</v>
      </c>
      <c r="R60" s="28">
        <v>0</v>
      </c>
      <c r="S60" s="97">
        <f t="shared" si="115"/>
        <v>20</v>
      </c>
      <c r="T60" s="97">
        <f t="shared" si="111"/>
        <v>20</v>
      </c>
      <c r="V60" s="28">
        <v>20</v>
      </c>
      <c r="W60" s="95">
        <f t="shared" si="112"/>
        <v>46238</v>
      </c>
      <c r="X60" s="79">
        <v>20</v>
      </c>
      <c r="Y60" s="79">
        <v>1000</v>
      </c>
      <c r="Z60" s="2" t="e">
        <f>SUMIF(#REF!,G60,#REF!)</f>
        <v>#REF!</v>
      </c>
      <c r="AA60" s="2" t="str">
        <f t="shared" ca="1" si="113"/>
        <v>프리타임기간중</v>
      </c>
      <c r="AB60" s="2" t="str">
        <f t="shared" ca="1" si="114"/>
        <v/>
      </c>
      <c r="AC60" s="103"/>
      <c r="CA60" s="142">
        <v>20</v>
      </c>
    </row>
    <row r="61" spans="2:104" s="2" customFormat="1" ht="20.100000000000001" customHeight="1">
      <c r="B61" s="110">
        <v>46218</v>
      </c>
      <c r="C61" s="111" t="s">
        <v>748</v>
      </c>
      <c r="D61" s="112"/>
      <c r="E61" s="113"/>
      <c r="F61" s="114" t="s">
        <v>845</v>
      </c>
      <c r="G61" s="8" t="str">
        <f t="shared" si="104"/>
        <v>COHEAR693YN077HI호인가_훠궈소스</v>
      </c>
      <c r="H61" s="28">
        <v>120</v>
      </c>
      <c r="I61" s="41">
        <f t="shared" si="105"/>
        <v>2</v>
      </c>
      <c r="J61" s="29">
        <v>0</v>
      </c>
      <c r="K61" s="29">
        <v>0</v>
      </c>
      <c r="L61" s="41">
        <f t="shared" si="106"/>
        <v>0</v>
      </c>
      <c r="M61" s="29">
        <v>0</v>
      </c>
      <c r="N61" s="31">
        <f t="shared" si="107"/>
        <v>0</v>
      </c>
      <c r="O61" s="42">
        <f t="shared" si="108"/>
        <v>0</v>
      </c>
      <c r="P61" s="31">
        <f t="shared" si="109"/>
        <v>0</v>
      </c>
      <c r="Q61" s="42">
        <f t="shared" si="110"/>
        <v>0</v>
      </c>
      <c r="R61" s="28">
        <v>0</v>
      </c>
      <c r="S61" s="97">
        <f t="shared" si="115"/>
        <v>120</v>
      </c>
      <c r="T61" s="97">
        <f t="shared" si="111"/>
        <v>120</v>
      </c>
      <c r="V61" s="28">
        <v>64</v>
      </c>
      <c r="W61" s="95">
        <f t="shared" si="112"/>
        <v>46238</v>
      </c>
      <c r="X61" s="79">
        <v>20</v>
      </c>
      <c r="Y61" s="79">
        <v>1000</v>
      </c>
      <c r="Z61" s="2" t="e">
        <f>SUMIF(#REF!,G61,#REF!)</f>
        <v>#REF!</v>
      </c>
      <c r="AA61" s="2" t="str">
        <f t="shared" ca="1" si="113"/>
        <v>프리타임기간중</v>
      </c>
      <c r="AB61" s="2" t="str">
        <f t="shared" ca="1" si="114"/>
        <v/>
      </c>
      <c r="AC61" s="103"/>
      <c r="CU61" s="2">
        <v>64</v>
      </c>
      <c r="CV61" s="2">
        <v>56</v>
      </c>
    </row>
    <row r="62" spans="2:104" s="2" customFormat="1" ht="20.100000000000001" customHeight="1">
      <c r="B62" s="110">
        <v>46218</v>
      </c>
      <c r="C62" s="111" t="s">
        <v>748</v>
      </c>
      <c r="D62" s="112"/>
      <c r="E62" s="113"/>
      <c r="F62" s="114" t="s">
        <v>734</v>
      </c>
      <c r="G62" s="8" t="str">
        <f t="shared" ref="G62:G67" si="138">C62&amp;F62</f>
        <v>COHEAR693YN077HI호인가_우지수공훠궈소스(500g)</v>
      </c>
      <c r="H62" s="28">
        <v>105</v>
      </c>
      <c r="I62" s="41">
        <f t="shared" ref="I62:I67" si="139">ROUNDUP((H62/V62),0)</f>
        <v>2</v>
      </c>
      <c r="J62" s="29">
        <v>0</v>
      </c>
      <c r="K62" s="29">
        <v>0</v>
      </c>
      <c r="L62" s="41">
        <f t="shared" ref="L62:L67" si="140">ROUNDUP((K62/V62),0)</f>
        <v>0</v>
      </c>
      <c r="M62" s="29">
        <v>0</v>
      </c>
      <c r="N62" s="31">
        <f t="shared" ref="N62:N67" si="141">P62-K62+M62</f>
        <v>0</v>
      </c>
      <c r="O62" s="42">
        <f t="shared" ref="O62:O67" si="142">ROUNDUP((N62/V62),0)</f>
        <v>0</v>
      </c>
      <c r="P62" s="31">
        <f t="shared" ref="P62:P67" si="143">H62-T62</f>
        <v>0</v>
      </c>
      <c r="Q62" s="42">
        <f t="shared" ref="Q62:Q67" si="144">L62+O62</f>
        <v>0</v>
      </c>
      <c r="R62" s="28">
        <v>0</v>
      </c>
      <c r="S62" s="97">
        <f t="shared" si="115"/>
        <v>105</v>
      </c>
      <c r="T62" s="97">
        <f t="shared" ref="T62:T67" si="145">R62+S62+J62+M62</f>
        <v>105</v>
      </c>
      <c r="V62" s="28">
        <v>56</v>
      </c>
      <c r="W62" s="95">
        <f t="shared" ref="W62:W67" si="146">B62+X62</f>
        <v>46238</v>
      </c>
      <c r="X62" s="79">
        <v>20</v>
      </c>
      <c r="Y62" s="79">
        <v>1000</v>
      </c>
      <c r="Z62" s="2" t="e">
        <f>SUMIF(#REF!,G62,#REF!)</f>
        <v>#REF!</v>
      </c>
      <c r="AA62" s="2" t="str">
        <f t="shared" ref="AA62:AA67" ca="1" si="147">IF(W62&gt;TODAY(),"프리타임기간중",Q62*Y62*IF(DATE(YEAR(W62),MONTH(W62),1)&lt;DATE(YEAR($AA$2),MONTH($AA$2),1),DATEDIF($AA$2,$AA$3,"D")+1,DATEDIF(W62,$AA$3+1,"d")))</f>
        <v>프리타임기간중</v>
      </c>
      <c r="AB62" s="2" t="str">
        <f t="shared" ref="AB62:AB67" ca="1" si="148">IFERROR(Z62+AA62,"")</f>
        <v/>
      </c>
      <c r="AC62" s="103"/>
      <c r="BN62" s="2">
        <v>105</v>
      </c>
    </row>
    <row r="63" spans="2:104" s="2" customFormat="1" ht="20.100000000000001" customHeight="1">
      <c r="B63" s="110">
        <v>46218</v>
      </c>
      <c r="C63" s="111" t="s">
        <v>728</v>
      </c>
      <c r="D63" s="112"/>
      <c r="E63" s="113"/>
      <c r="F63" s="114" t="s">
        <v>735</v>
      </c>
      <c r="G63" s="8" t="str">
        <f t="shared" si="138"/>
        <v>COHEAR693YN077HI호인가_우지수공조각훠궈(360g)</v>
      </c>
      <c r="H63" s="28">
        <v>525</v>
      </c>
      <c r="I63" s="41">
        <f t="shared" si="139"/>
        <v>10</v>
      </c>
      <c r="J63" s="29">
        <v>0</v>
      </c>
      <c r="K63" s="29">
        <v>0</v>
      </c>
      <c r="L63" s="41">
        <f t="shared" si="140"/>
        <v>0</v>
      </c>
      <c r="M63" s="29">
        <v>0</v>
      </c>
      <c r="N63" s="31">
        <f t="shared" si="141"/>
        <v>0</v>
      </c>
      <c r="O63" s="42">
        <f t="shared" si="142"/>
        <v>0</v>
      </c>
      <c r="P63" s="31">
        <f t="shared" si="143"/>
        <v>0</v>
      </c>
      <c r="Q63" s="42">
        <f t="shared" si="144"/>
        <v>0</v>
      </c>
      <c r="R63" s="28">
        <v>0</v>
      </c>
      <c r="S63" s="97">
        <f t="shared" si="115"/>
        <v>525</v>
      </c>
      <c r="T63" s="97">
        <f t="shared" si="145"/>
        <v>525</v>
      </c>
      <c r="V63" s="28">
        <v>56</v>
      </c>
      <c r="W63" s="95">
        <f t="shared" si="146"/>
        <v>46238</v>
      </c>
      <c r="X63" s="79">
        <v>20</v>
      </c>
      <c r="Y63" s="79">
        <v>1000</v>
      </c>
      <c r="Z63" s="2" t="e">
        <f>SUMIF(#REF!,G63,#REF!)</f>
        <v>#REF!</v>
      </c>
      <c r="AA63" s="2" t="str">
        <f t="shared" ca="1" si="147"/>
        <v>프리타임기간중</v>
      </c>
      <c r="AB63" s="2" t="str">
        <f t="shared" ca="1" si="148"/>
        <v/>
      </c>
      <c r="AC63" s="103"/>
      <c r="BO63" s="2">
        <v>525</v>
      </c>
    </row>
    <row r="64" spans="2:104" s="2" customFormat="1" ht="20.100000000000001" customHeight="1">
      <c r="B64" s="110">
        <v>46218</v>
      </c>
      <c r="C64" s="111" t="s">
        <v>728</v>
      </c>
      <c r="D64" s="112"/>
      <c r="E64" s="113"/>
      <c r="F64" s="114" t="s">
        <v>736</v>
      </c>
      <c r="G64" s="8" t="str">
        <f t="shared" si="138"/>
        <v>COHEAR693YN077HI호인가_우지수공조각훠궈(200g)</v>
      </c>
      <c r="H64" s="28">
        <v>105</v>
      </c>
      <c r="I64" s="41">
        <f t="shared" si="139"/>
        <v>2</v>
      </c>
      <c r="J64" s="29">
        <v>0</v>
      </c>
      <c r="K64" s="29">
        <v>0</v>
      </c>
      <c r="L64" s="41">
        <f t="shared" si="140"/>
        <v>0</v>
      </c>
      <c r="M64" s="29">
        <v>0</v>
      </c>
      <c r="N64" s="31">
        <f t="shared" si="141"/>
        <v>0</v>
      </c>
      <c r="O64" s="42">
        <f t="shared" si="142"/>
        <v>0</v>
      </c>
      <c r="P64" s="31">
        <f t="shared" si="143"/>
        <v>0</v>
      </c>
      <c r="Q64" s="42">
        <f t="shared" si="144"/>
        <v>0</v>
      </c>
      <c r="R64" s="28">
        <v>0</v>
      </c>
      <c r="S64" s="97">
        <f t="shared" si="115"/>
        <v>105</v>
      </c>
      <c r="T64" s="97">
        <f t="shared" si="145"/>
        <v>105</v>
      </c>
      <c r="V64" s="28">
        <v>56</v>
      </c>
      <c r="W64" s="95">
        <f t="shared" si="146"/>
        <v>46238</v>
      </c>
      <c r="X64" s="79">
        <v>20</v>
      </c>
      <c r="Y64" s="79">
        <v>1000</v>
      </c>
      <c r="Z64" s="2" t="e">
        <f>SUMIF(#REF!,G64,#REF!)</f>
        <v>#REF!</v>
      </c>
      <c r="AA64" s="2" t="str">
        <f t="shared" ca="1" si="147"/>
        <v>프리타임기간중</v>
      </c>
      <c r="AB64" s="2" t="str">
        <f t="shared" ca="1" si="148"/>
        <v/>
      </c>
      <c r="AC64" s="103"/>
      <c r="BP64" s="2">
        <v>105</v>
      </c>
    </row>
    <row r="65" spans="2:102" s="2" customFormat="1" ht="20.100000000000001" customHeight="1">
      <c r="B65" s="110">
        <v>46218</v>
      </c>
      <c r="C65" s="111" t="s">
        <v>748</v>
      </c>
      <c r="D65" s="112"/>
      <c r="E65" s="113"/>
      <c r="F65" s="114" t="s">
        <v>737</v>
      </c>
      <c r="G65" s="8" t="str">
        <f t="shared" si="138"/>
        <v>COHEAR693YN077HI호인가_우지수공조각훠궈(90g)</v>
      </c>
      <c r="H65" s="28">
        <v>105</v>
      </c>
      <c r="I65" s="41">
        <f t="shared" si="139"/>
        <v>2</v>
      </c>
      <c r="J65" s="29">
        <v>0</v>
      </c>
      <c r="K65" s="29">
        <v>0</v>
      </c>
      <c r="L65" s="41">
        <f t="shared" si="140"/>
        <v>0</v>
      </c>
      <c r="M65" s="29">
        <v>0</v>
      </c>
      <c r="N65" s="31">
        <f t="shared" si="141"/>
        <v>0</v>
      </c>
      <c r="O65" s="42">
        <f t="shared" si="142"/>
        <v>0</v>
      </c>
      <c r="P65" s="31">
        <f t="shared" si="143"/>
        <v>0</v>
      </c>
      <c r="Q65" s="42">
        <f t="shared" si="144"/>
        <v>0</v>
      </c>
      <c r="R65" s="28">
        <v>0</v>
      </c>
      <c r="S65" s="97">
        <f t="shared" si="115"/>
        <v>105</v>
      </c>
      <c r="T65" s="97">
        <f t="shared" si="145"/>
        <v>105</v>
      </c>
      <c r="V65" s="28">
        <v>56</v>
      </c>
      <c r="W65" s="95">
        <f t="shared" si="146"/>
        <v>46238</v>
      </c>
      <c r="X65" s="79">
        <v>20</v>
      </c>
      <c r="Y65" s="79">
        <v>1000</v>
      </c>
      <c r="Z65" s="2" t="e">
        <f>SUMIF(#REF!,G65,#REF!)</f>
        <v>#REF!</v>
      </c>
      <c r="AA65" s="2" t="str">
        <f t="shared" ca="1" si="147"/>
        <v>프리타임기간중</v>
      </c>
      <c r="AB65" s="2" t="str">
        <f t="shared" ca="1" si="148"/>
        <v/>
      </c>
      <c r="AC65" s="103"/>
      <c r="BQ65" s="2">
        <v>105</v>
      </c>
    </row>
    <row r="66" spans="2:102" s="2" customFormat="1" ht="20.100000000000001" customHeight="1">
      <c r="B66" s="110">
        <v>46218</v>
      </c>
      <c r="C66" s="111" t="s">
        <v>825</v>
      </c>
      <c r="D66" s="112"/>
      <c r="E66" s="113"/>
      <c r="F66" s="114" t="s">
        <v>846</v>
      </c>
      <c r="G66" s="8" t="str">
        <f t="shared" si="138"/>
        <v>COHEAR693YN077J충칭 혼합훠궈소스</v>
      </c>
      <c r="H66" s="28">
        <v>74</v>
      </c>
      <c r="I66" s="41">
        <f t="shared" si="139"/>
        <v>2</v>
      </c>
      <c r="J66" s="29">
        <v>0</v>
      </c>
      <c r="K66" s="29">
        <v>0</v>
      </c>
      <c r="L66" s="41">
        <f t="shared" si="140"/>
        <v>0</v>
      </c>
      <c r="M66" s="29">
        <v>0</v>
      </c>
      <c r="N66" s="31">
        <f t="shared" si="141"/>
        <v>0</v>
      </c>
      <c r="O66" s="42">
        <f t="shared" si="142"/>
        <v>0</v>
      </c>
      <c r="P66" s="31">
        <f t="shared" si="143"/>
        <v>0</v>
      </c>
      <c r="Q66" s="42">
        <f t="shared" si="144"/>
        <v>0</v>
      </c>
      <c r="R66" s="28">
        <v>0</v>
      </c>
      <c r="S66" s="97">
        <f t="shared" si="115"/>
        <v>74</v>
      </c>
      <c r="T66" s="97">
        <f t="shared" si="145"/>
        <v>74</v>
      </c>
      <c r="V66" s="28">
        <v>48</v>
      </c>
      <c r="W66" s="95">
        <f t="shared" si="146"/>
        <v>46238</v>
      </c>
      <c r="X66" s="79">
        <v>20</v>
      </c>
      <c r="Y66" s="79">
        <v>1000</v>
      </c>
      <c r="Z66" s="2" t="e">
        <f>SUMIF(#REF!,G66,#REF!)</f>
        <v>#REF!</v>
      </c>
      <c r="AA66" s="2" t="str">
        <f t="shared" ca="1" si="147"/>
        <v>프리타임기간중</v>
      </c>
      <c r="AB66" s="2" t="str">
        <f t="shared" ca="1" si="148"/>
        <v/>
      </c>
      <c r="AC66" s="103"/>
      <c r="CW66" s="142">
        <v>48</v>
      </c>
      <c r="CX66" s="142">
        <v>26</v>
      </c>
    </row>
    <row r="67" spans="2:102" s="2" customFormat="1" ht="20.100000000000001" customHeight="1">
      <c r="B67" s="110">
        <v>46223</v>
      </c>
      <c r="C67" s="111" t="s">
        <v>805</v>
      </c>
      <c r="D67" s="112"/>
      <c r="E67" s="113"/>
      <c r="F67" s="114" t="s">
        <v>546</v>
      </c>
      <c r="G67" s="8" t="str">
        <f t="shared" si="138"/>
        <v>DDCLADE200067옥수수국수 2.5KG*4BAG/CTN</v>
      </c>
      <c r="H67" s="28">
        <v>935</v>
      </c>
      <c r="I67" s="41">
        <f t="shared" si="139"/>
        <v>10</v>
      </c>
      <c r="J67" s="29">
        <v>0</v>
      </c>
      <c r="K67" s="29">
        <v>0</v>
      </c>
      <c r="L67" s="41">
        <f t="shared" si="140"/>
        <v>0</v>
      </c>
      <c r="M67" s="29">
        <v>0</v>
      </c>
      <c r="N67" s="31">
        <f t="shared" si="141"/>
        <v>0</v>
      </c>
      <c r="O67" s="42">
        <f t="shared" si="142"/>
        <v>0</v>
      </c>
      <c r="P67" s="31">
        <f t="shared" si="143"/>
        <v>0</v>
      </c>
      <c r="Q67" s="42">
        <f t="shared" si="144"/>
        <v>0</v>
      </c>
      <c r="R67" s="28">
        <v>0</v>
      </c>
      <c r="S67" s="97">
        <f t="shared" si="115"/>
        <v>935</v>
      </c>
      <c r="T67" s="97">
        <f t="shared" si="145"/>
        <v>935</v>
      </c>
      <c r="V67" s="28">
        <v>100</v>
      </c>
      <c r="W67" s="95">
        <f t="shared" si="146"/>
        <v>46243</v>
      </c>
      <c r="X67" s="79">
        <v>20</v>
      </c>
      <c r="Y67" s="79">
        <v>1000</v>
      </c>
      <c r="Z67" s="2" t="e">
        <f>SUMIF(#REF!,G67,#REF!)</f>
        <v>#REF!</v>
      </c>
      <c r="AA67" s="2" t="str">
        <f t="shared" ca="1" si="147"/>
        <v>프리타임기간중</v>
      </c>
      <c r="AB67" s="2" t="str">
        <f t="shared" ca="1" si="148"/>
        <v/>
      </c>
      <c r="AC67" s="103"/>
      <c r="CP67" s="142">
        <v>900</v>
      </c>
      <c r="CQ67" s="142">
        <v>35</v>
      </c>
    </row>
    <row r="68" spans="2:102" s="2" customFormat="1" ht="20.100000000000001" customHeight="1">
      <c r="B68" s="110">
        <v>46223</v>
      </c>
      <c r="C68" s="111" t="s">
        <v>805</v>
      </c>
      <c r="D68" s="112"/>
      <c r="E68" s="113"/>
      <c r="F68" s="114" t="s">
        <v>497</v>
      </c>
      <c r="G68" s="8" t="str">
        <f t="shared" ref="G68:G69" si="149">C68&amp;F68</f>
        <v>DDCLADE200067옥수수국수 400G*25BAG/CTN</v>
      </c>
      <c r="H68" s="28">
        <v>800</v>
      </c>
      <c r="I68" s="41">
        <f t="shared" ref="I68:I69" si="150">ROUNDUP((H68/V68),0)</f>
        <v>8</v>
      </c>
      <c r="J68" s="29">
        <v>0</v>
      </c>
      <c r="K68" s="29">
        <v>0</v>
      </c>
      <c r="L68" s="41">
        <f t="shared" ref="L68:L69" si="151">ROUNDUP((K68/V68),0)</f>
        <v>0</v>
      </c>
      <c r="M68" s="29">
        <v>0</v>
      </c>
      <c r="N68" s="31">
        <f t="shared" ref="N68:N69" si="152">P68-K68+M68</f>
        <v>800</v>
      </c>
      <c r="O68" s="42">
        <f t="shared" ref="O68:O69" si="153">ROUNDUP((N68/V68),0)</f>
        <v>8</v>
      </c>
      <c r="P68" s="31">
        <f t="shared" ref="P68:P69" si="154">H68-T68</f>
        <v>800</v>
      </c>
      <c r="Q68" s="42">
        <f t="shared" ref="Q68:Q69" si="155">L68+O68</f>
        <v>8</v>
      </c>
      <c r="R68" s="28">
        <v>0</v>
      </c>
      <c r="S68" s="97">
        <f t="shared" si="115"/>
        <v>0</v>
      </c>
      <c r="T68" s="97">
        <f t="shared" ref="T68:T69" si="156">R68+S68+J68+M68</f>
        <v>0</v>
      </c>
      <c r="V68" s="28">
        <v>100</v>
      </c>
      <c r="W68" s="95">
        <f t="shared" ref="W68:W69" si="157">B68+X68</f>
        <v>46243</v>
      </c>
      <c r="X68" s="79">
        <v>20</v>
      </c>
      <c r="Y68" s="79">
        <v>1000</v>
      </c>
      <c r="Z68" s="2" t="e">
        <f>SUMIF(#REF!,G68,#REF!)</f>
        <v>#REF!</v>
      </c>
      <c r="AA68" s="2" t="str">
        <f t="shared" ref="AA68:AA69" ca="1" si="158">IF(W68&gt;TODAY(),"프리타임기간중",Q68*Y68*IF(DATE(YEAR(W68),MONTH(W68),1)&lt;DATE(YEAR($AA$2),MONTH($AA$2),1),DATEDIF($AA$2,$AA$3,"D")+1,DATEDIF(W68,$AA$3+1,"d")))</f>
        <v>프리타임기간중</v>
      </c>
      <c r="AB68" s="2" t="str">
        <f t="shared" ref="AB68:AB69" ca="1" si="159">IFERROR(Z68+AA68,"")</f>
        <v/>
      </c>
      <c r="AC68" s="103"/>
    </row>
    <row r="69" spans="2:102" s="2" customFormat="1" ht="20.100000000000001" customHeight="1">
      <c r="B69" s="110">
        <v>46223</v>
      </c>
      <c r="C69" s="111" t="s">
        <v>789</v>
      </c>
      <c r="D69" s="112"/>
      <c r="E69" s="113"/>
      <c r="F69" s="114" t="s">
        <v>791</v>
      </c>
      <c r="G69" s="8" t="str">
        <f t="shared" si="149"/>
        <v>DDCLADE200067옥수수국수 1KG*10BAG/CTN</v>
      </c>
      <c r="H69" s="28">
        <v>195</v>
      </c>
      <c r="I69" s="41">
        <f t="shared" si="150"/>
        <v>2</v>
      </c>
      <c r="J69" s="29">
        <v>0</v>
      </c>
      <c r="K69" s="29">
        <v>0</v>
      </c>
      <c r="L69" s="41">
        <f t="shared" si="151"/>
        <v>0</v>
      </c>
      <c r="M69" s="29">
        <v>0</v>
      </c>
      <c r="N69" s="31">
        <f t="shared" si="152"/>
        <v>195</v>
      </c>
      <c r="O69" s="42">
        <f t="shared" si="153"/>
        <v>2</v>
      </c>
      <c r="P69" s="31">
        <f t="shared" si="154"/>
        <v>195</v>
      </c>
      <c r="Q69" s="42">
        <f t="shared" si="155"/>
        <v>2</v>
      </c>
      <c r="R69" s="28">
        <v>0</v>
      </c>
      <c r="S69" s="97">
        <f t="shared" si="115"/>
        <v>0</v>
      </c>
      <c r="T69" s="97">
        <f t="shared" si="156"/>
        <v>0</v>
      </c>
      <c r="V69" s="28">
        <v>100</v>
      </c>
      <c r="W69" s="95">
        <f t="shared" si="157"/>
        <v>46243</v>
      </c>
      <c r="X69" s="79">
        <v>20</v>
      </c>
      <c r="Y69" s="79">
        <v>1000</v>
      </c>
      <c r="Z69" s="2" t="e">
        <f>SUMIF(#REF!,G69,#REF!)</f>
        <v>#REF!</v>
      </c>
      <c r="AA69" s="2" t="str">
        <f t="shared" ca="1" si="158"/>
        <v>프리타임기간중</v>
      </c>
      <c r="AB69" s="2" t="str">
        <f t="shared" ca="1" si="159"/>
        <v/>
      </c>
      <c r="AC69" s="103"/>
    </row>
    <row r="70" spans="2:102" s="2" customFormat="1" ht="20.100000000000001" customHeight="1">
      <c r="B70" s="110">
        <v>46223</v>
      </c>
      <c r="C70" s="111" t="s">
        <v>804</v>
      </c>
      <c r="D70" s="112" t="s">
        <v>240</v>
      </c>
      <c r="E70" s="113" t="s">
        <v>799</v>
      </c>
      <c r="F70" s="114" t="s">
        <v>792</v>
      </c>
      <c r="G70" s="8" t="str">
        <f t="shared" ref="G70:G73" si="160">C70&amp;F70</f>
        <v>DDCLADE200007Traditional Beijing-style Mooncakes(전통경식월병)</v>
      </c>
      <c r="H70" s="28">
        <v>700</v>
      </c>
      <c r="I70" s="41">
        <f t="shared" ref="I70:I73" si="161">ROUNDUP((H70/V70),0)</f>
        <v>6</v>
      </c>
      <c r="J70" s="29">
        <v>0</v>
      </c>
      <c r="K70" s="29">
        <v>0</v>
      </c>
      <c r="L70" s="41">
        <f t="shared" ref="L70:L73" si="162">ROUNDUP((K70/V70),0)</f>
        <v>0</v>
      </c>
      <c r="M70" s="29">
        <v>0</v>
      </c>
      <c r="N70" s="31">
        <f t="shared" ref="N70:N73" si="163">P70-K70+M70</f>
        <v>0</v>
      </c>
      <c r="O70" s="42">
        <f t="shared" ref="O70:O73" si="164">ROUNDUP((N70/V70),0)</f>
        <v>0</v>
      </c>
      <c r="P70" s="31">
        <f t="shared" ref="P70:P73" si="165">H70-T70</f>
        <v>0</v>
      </c>
      <c r="Q70" s="42">
        <f t="shared" ref="Q70:Q73" si="166">L70+O70</f>
        <v>0</v>
      </c>
      <c r="R70" s="28">
        <v>0</v>
      </c>
      <c r="S70" s="97">
        <f t="shared" si="115"/>
        <v>700</v>
      </c>
      <c r="T70" s="97">
        <f t="shared" ref="T70:T73" si="167">R70+S70+J70+M70</f>
        <v>700</v>
      </c>
      <c r="V70" s="28">
        <v>120</v>
      </c>
      <c r="W70" s="95">
        <f t="shared" ref="W70:W73" si="168">B70+X70</f>
        <v>46243</v>
      </c>
      <c r="X70" s="79">
        <v>20</v>
      </c>
      <c r="Y70" s="79">
        <v>1000</v>
      </c>
      <c r="Z70" s="2" t="e">
        <f>SUMIF(#REF!,G70,#REF!)</f>
        <v>#REF!</v>
      </c>
      <c r="AA70" s="2" t="str">
        <f t="shared" ref="AA70:AA73" ca="1" si="169">IF(W70&gt;TODAY(),"프리타임기간중",Q70*Y70*IF(DATE(YEAR(W70),MONTH(W70),1)&lt;DATE(YEAR($AA$2),MONTH($AA$2),1),DATEDIF($AA$2,$AA$3,"D")+1,DATEDIF(W70,$AA$3+1,"d")))</f>
        <v>프리타임기간중</v>
      </c>
      <c r="AB70" s="2" t="str">
        <f t="shared" ref="AB70:AB73" ca="1" si="170">IFERROR(Z70+AA70,"")</f>
        <v/>
      </c>
      <c r="AC70" s="103"/>
      <c r="CD70" s="142">
        <v>700</v>
      </c>
    </row>
    <row r="71" spans="2:102" s="2" customFormat="1" ht="20.100000000000001" customHeight="1">
      <c r="B71" s="110">
        <v>46223</v>
      </c>
      <c r="C71" s="111" t="s">
        <v>790</v>
      </c>
      <c r="D71" s="112"/>
      <c r="E71" s="113"/>
      <c r="F71" s="114" t="s">
        <v>793</v>
      </c>
      <c r="G71" s="8" t="str">
        <f t="shared" si="160"/>
        <v>DDCLADE200007ORIGINAL TASTE BIG BISCUITS(올드 소프트 케이크)</v>
      </c>
      <c r="H71" s="28">
        <v>200</v>
      </c>
      <c r="I71" s="41">
        <f t="shared" si="161"/>
        <v>6</v>
      </c>
      <c r="J71" s="29">
        <v>0</v>
      </c>
      <c r="K71" s="29">
        <v>0</v>
      </c>
      <c r="L71" s="41">
        <f t="shared" si="162"/>
        <v>0</v>
      </c>
      <c r="M71" s="29">
        <v>0</v>
      </c>
      <c r="N71" s="31">
        <f t="shared" si="163"/>
        <v>0</v>
      </c>
      <c r="O71" s="42">
        <f t="shared" si="164"/>
        <v>0</v>
      </c>
      <c r="P71" s="31">
        <f t="shared" si="165"/>
        <v>0</v>
      </c>
      <c r="Q71" s="42">
        <f t="shared" si="166"/>
        <v>0</v>
      </c>
      <c r="R71" s="28">
        <v>0</v>
      </c>
      <c r="S71" s="97">
        <f t="shared" si="115"/>
        <v>200</v>
      </c>
      <c r="T71" s="97">
        <f t="shared" si="167"/>
        <v>200</v>
      </c>
      <c r="V71" s="28">
        <v>36</v>
      </c>
      <c r="W71" s="95">
        <f t="shared" si="168"/>
        <v>46243</v>
      </c>
      <c r="X71" s="79">
        <v>20</v>
      </c>
      <c r="Y71" s="79">
        <v>1000</v>
      </c>
      <c r="Z71" s="2" t="e">
        <f>SUMIF(#REF!,G71,#REF!)</f>
        <v>#REF!</v>
      </c>
      <c r="AA71" s="2" t="str">
        <f t="shared" ca="1" si="169"/>
        <v>프리타임기간중</v>
      </c>
      <c r="AB71" s="2" t="str">
        <f t="shared" ca="1" si="170"/>
        <v/>
      </c>
      <c r="AC71" s="103"/>
      <c r="CE71" s="2">
        <v>200</v>
      </c>
    </row>
    <row r="72" spans="2:102" s="2" customFormat="1" ht="20.100000000000001" customHeight="1">
      <c r="B72" s="110">
        <v>46223</v>
      </c>
      <c r="C72" s="111" t="s">
        <v>804</v>
      </c>
      <c r="D72" s="112"/>
      <c r="E72" s="113"/>
      <c r="F72" s="114" t="s">
        <v>794</v>
      </c>
      <c r="G72" s="8" t="str">
        <f t="shared" si="160"/>
        <v>DDCLADE200007HAND MADE SOFT TWISTED MAHUA (YOGURT FLAVOR)(꽈배기(요구르트맛))</v>
      </c>
      <c r="H72" s="28">
        <v>150</v>
      </c>
      <c r="I72" s="41">
        <f t="shared" si="161"/>
        <v>7</v>
      </c>
      <c r="J72" s="29">
        <v>0</v>
      </c>
      <c r="K72" s="29">
        <v>0</v>
      </c>
      <c r="L72" s="41">
        <f t="shared" si="162"/>
        <v>0</v>
      </c>
      <c r="M72" s="29">
        <v>0</v>
      </c>
      <c r="N72" s="31">
        <f t="shared" si="163"/>
        <v>0</v>
      </c>
      <c r="O72" s="42">
        <f t="shared" si="164"/>
        <v>0</v>
      </c>
      <c r="P72" s="31">
        <f t="shared" si="165"/>
        <v>0</v>
      </c>
      <c r="Q72" s="42">
        <f t="shared" si="166"/>
        <v>0</v>
      </c>
      <c r="R72" s="28">
        <v>0</v>
      </c>
      <c r="S72" s="97">
        <f t="shared" si="115"/>
        <v>150</v>
      </c>
      <c r="T72" s="97">
        <f t="shared" si="167"/>
        <v>150</v>
      </c>
      <c r="V72" s="28">
        <v>24</v>
      </c>
      <c r="W72" s="95">
        <f t="shared" si="168"/>
        <v>46243</v>
      </c>
      <c r="X72" s="79">
        <v>20</v>
      </c>
      <c r="Y72" s="79">
        <v>1000</v>
      </c>
      <c r="Z72" s="2" t="e">
        <f>SUMIF(#REF!,G72,#REF!)</f>
        <v>#REF!</v>
      </c>
      <c r="AA72" s="2" t="str">
        <f t="shared" ca="1" si="169"/>
        <v>프리타임기간중</v>
      </c>
      <c r="AB72" s="2" t="str">
        <f t="shared" ca="1" si="170"/>
        <v/>
      </c>
      <c r="AC72" s="103"/>
      <c r="CF72" s="2">
        <v>150</v>
      </c>
    </row>
    <row r="73" spans="2:102" s="2" customFormat="1" ht="20.100000000000001" customHeight="1">
      <c r="B73" s="110">
        <v>46223</v>
      </c>
      <c r="C73" s="111" t="s">
        <v>790</v>
      </c>
      <c r="D73" s="112"/>
      <c r="E73" s="113"/>
      <c r="F73" s="114" t="s">
        <v>795</v>
      </c>
      <c r="G73" s="8" t="str">
        <f t="shared" si="160"/>
        <v>DDCLADE200007HAND MADE SOFT TWISTED MAHUA (RED BEAN FLAVOR)(꽈배기(팥맛))</v>
      </c>
      <c r="H73" s="28">
        <v>142</v>
      </c>
      <c r="I73" s="41">
        <f t="shared" si="161"/>
        <v>6</v>
      </c>
      <c r="J73" s="29">
        <v>0</v>
      </c>
      <c r="K73" s="29">
        <v>0</v>
      </c>
      <c r="L73" s="41">
        <f t="shared" si="162"/>
        <v>0</v>
      </c>
      <c r="M73" s="29">
        <v>0</v>
      </c>
      <c r="N73" s="31">
        <f t="shared" si="163"/>
        <v>0</v>
      </c>
      <c r="O73" s="42">
        <f t="shared" si="164"/>
        <v>0</v>
      </c>
      <c r="P73" s="31">
        <f t="shared" si="165"/>
        <v>0</v>
      </c>
      <c r="Q73" s="42">
        <f t="shared" si="166"/>
        <v>0</v>
      </c>
      <c r="R73" s="28">
        <v>0</v>
      </c>
      <c r="S73" s="97">
        <f t="shared" si="115"/>
        <v>142</v>
      </c>
      <c r="T73" s="97">
        <f t="shared" si="167"/>
        <v>142</v>
      </c>
      <c r="V73" s="28">
        <v>24</v>
      </c>
      <c r="W73" s="95">
        <f t="shared" si="168"/>
        <v>46243</v>
      </c>
      <c r="X73" s="79">
        <v>20</v>
      </c>
      <c r="Y73" s="79">
        <v>1000</v>
      </c>
      <c r="Z73" s="2" t="e">
        <f>SUMIF(#REF!,G73,#REF!)</f>
        <v>#REF!</v>
      </c>
      <c r="AA73" s="2" t="str">
        <f t="shared" ca="1" si="169"/>
        <v>프리타임기간중</v>
      </c>
      <c r="AB73" s="2" t="str">
        <f t="shared" ca="1" si="170"/>
        <v/>
      </c>
      <c r="AC73" s="103"/>
      <c r="CG73" s="2">
        <v>142</v>
      </c>
    </row>
    <row r="74" spans="2:102" s="2" customFormat="1" ht="20.100000000000001" customHeight="1">
      <c r="B74" s="110">
        <v>46223</v>
      </c>
      <c r="C74" s="111" t="s">
        <v>790</v>
      </c>
      <c r="D74" s="112"/>
      <c r="E74" s="113"/>
      <c r="F74" s="114" t="s">
        <v>796</v>
      </c>
      <c r="G74" s="8" t="str">
        <f t="shared" ref="G74:G77" si="171">C74&amp;F74</f>
        <v>DDCLADE200007Banana bread(바나나빵)</v>
      </c>
      <c r="H74" s="28">
        <v>80</v>
      </c>
      <c r="I74" s="41">
        <f t="shared" ref="I74:I77" si="172">ROUNDUP((H74/V74),0)</f>
        <v>5</v>
      </c>
      <c r="J74" s="29">
        <v>0</v>
      </c>
      <c r="K74" s="29">
        <v>0</v>
      </c>
      <c r="L74" s="41">
        <f t="shared" ref="L74:L77" si="173">ROUNDUP((K74/V74),0)</f>
        <v>0</v>
      </c>
      <c r="M74" s="29">
        <v>0</v>
      </c>
      <c r="N74" s="31">
        <f t="shared" ref="N74:N77" si="174">P74-K74+M74</f>
        <v>0</v>
      </c>
      <c r="O74" s="42">
        <f t="shared" ref="O74:O77" si="175">ROUNDUP((N74/V74),0)</f>
        <v>0</v>
      </c>
      <c r="P74" s="31">
        <f t="shared" ref="P74:P77" si="176">H74-T74</f>
        <v>0</v>
      </c>
      <c r="Q74" s="42">
        <f t="shared" ref="Q74:Q77" si="177">L74+O74</f>
        <v>0</v>
      </c>
      <c r="R74" s="28">
        <v>0</v>
      </c>
      <c r="S74" s="97">
        <f t="shared" si="115"/>
        <v>80</v>
      </c>
      <c r="T74" s="97">
        <f t="shared" ref="T74:T77" si="178">R74+S74+J74+M74</f>
        <v>80</v>
      </c>
      <c r="V74" s="28">
        <v>16</v>
      </c>
      <c r="W74" s="95">
        <f t="shared" ref="W74:W77" si="179">B74+X74</f>
        <v>46243</v>
      </c>
      <c r="X74" s="79">
        <v>20</v>
      </c>
      <c r="Y74" s="79">
        <v>1000</v>
      </c>
      <c r="Z74" s="2" t="e">
        <f>SUMIF(#REF!,G74,#REF!)</f>
        <v>#REF!</v>
      </c>
      <c r="AA74" s="2" t="str">
        <f t="shared" ref="AA74:AA77" ca="1" si="180">IF(W74&gt;TODAY(),"프리타임기간중",Q74*Y74*IF(DATE(YEAR(W74),MONTH(W74),1)&lt;DATE(YEAR($AA$2),MONTH($AA$2),1),DATEDIF($AA$2,$AA$3,"D")+1,DATEDIF(W74,$AA$3+1,"d")))</f>
        <v>프리타임기간중</v>
      </c>
      <c r="AB74" s="2" t="str">
        <f t="shared" ref="AB74:AB77" ca="1" si="181">IFERROR(Z74+AA74,"")</f>
        <v/>
      </c>
      <c r="AC74" s="103"/>
      <c r="CH74" s="2">
        <v>80</v>
      </c>
    </row>
    <row r="75" spans="2:102" s="2" customFormat="1" ht="20.100000000000001" customHeight="1">
      <c r="B75" s="110">
        <v>46223</v>
      </c>
      <c r="C75" s="111" t="s">
        <v>790</v>
      </c>
      <c r="D75" s="112"/>
      <c r="E75" s="113"/>
      <c r="F75" s="114" t="s">
        <v>797</v>
      </c>
      <c r="G75" s="8" t="str">
        <f t="shared" si="171"/>
        <v>DDCLADE200007BUTTER CHEESE STRIP(치즈소스브레드)</v>
      </c>
      <c r="H75" s="28">
        <v>80</v>
      </c>
      <c r="I75" s="41">
        <f t="shared" si="172"/>
        <v>5</v>
      </c>
      <c r="J75" s="29">
        <v>0</v>
      </c>
      <c r="K75" s="29">
        <v>0</v>
      </c>
      <c r="L75" s="41">
        <f t="shared" si="173"/>
        <v>0</v>
      </c>
      <c r="M75" s="29">
        <v>0</v>
      </c>
      <c r="N75" s="31">
        <f t="shared" si="174"/>
        <v>0</v>
      </c>
      <c r="O75" s="42">
        <f t="shared" si="175"/>
        <v>0</v>
      </c>
      <c r="P75" s="31">
        <f t="shared" si="176"/>
        <v>0</v>
      </c>
      <c r="Q75" s="42">
        <f t="shared" si="177"/>
        <v>0</v>
      </c>
      <c r="R75" s="28">
        <v>0</v>
      </c>
      <c r="S75" s="97">
        <f t="shared" si="115"/>
        <v>80</v>
      </c>
      <c r="T75" s="97">
        <f t="shared" si="178"/>
        <v>80</v>
      </c>
      <c r="V75" s="28">
        <v>16</v>
      </c>
      <c r="W75" s="95">
        <f t="shared" si="179"/>
        <v>46243</v>
      </c>
      <c r="X75" s="79">
        <v>20</v>
      </c>
      <c r="Y75" s="79">
        <v>1000</v>
      </c>
      <c r="Z75" s="2" t="e">
        <f>SUMIF(#REF!,G75,#REF!)</f>
        <v>#REF!</v>
      </c>
      <c r="AA75" s="2" t="str">
        <f t="shared" ca="1" si="180"/>
        <v>프리타임기간중</v>
      </c>
      <c r="AB75" s="2" t="str">
        <f t="shared" ca="1" si="181"/>
        <v/>
      </c>
      <c r="AC75" s="103"/>
      <c r="CI75" s="2">
        <v>80</v>
      </c>
    </row>
    <row r="76" spans="2:102" s="2" customFormat="1" ht="20.100000000000001" customHeight="1">
      <c r="B76" s="110">
        <v>46223</v>
      </c>
      <c r="C76" s="111" t="s">
        <v>804</v>
      </c>
      <c r="D76" s="112"/>
      <c r="E76" s="113"/>
      <c r="F76" s="114" t="s">
        <v>798</v>
      </c>
      <c r="G76" s="8" t="str">
        <f t="shared" si="171"/>
        <v>DDCLADE200007JUJUBE PASTRY(대추필링월병)</v>
      </c>
      <c r="H76" s="28">
        <v>46</v>
      </c>
      <c r="I76" s="41">
        <f t="shared" si="172"/>
        <v>2</v>
      </c>
      <c r="J76" s="29">
        <v>0</v>
      </c>
      <c r="K76" s="29">
        <v>0</v>
      </c>
      <c r="L76" s="41">
        <f t="shared" si="173"/>
        <v>0</v>
      </c>
      <c r="M76" s="29">
        <v>0</v>
      </c>
      <c r="N76" s="31">
        <f t="shared" si="174"/>
        <v>0</v>
      </c>
      <c r="O76" s="42">
        <f t="shared" si="175"/>
        <v>0</v>
      </c>
      <c r="P76" s="31">
        <f t="shared" si="176"/>
        <v>0</v>
      </c>
      <c r="Q76" s="42">
        <f t="shared" si="177"/>
        <v>0</v>
      </c>
      <c r="R76" s="28">
        <v>0</v>
      </c>
      <c r="S76" s="97">
        <f t="shared" si="115"/>
        <v>46</v>
      </c>
      <c r="T76" s="97">
        <f t="shared" si="178"/>
        <v>46</v>
      </c>
      <c r="V76" s="28">
        <v>32</v>
      </c>
      <c r="W76" s="95">
        <f t="shared" si="179"/>
        <v>46243</v>
      </c>
      <c r="X76" s="79">
        <v>20</v>
      </c>
      <c r="Y76" s="79">
        <v>1000</v>
      </c>
      <c r="Z76" s="2" t="e">
        <f>SUMIF(#REF!,G76,#REF!)</f>
        <v>#REF!</v>
      </c>
      <c r="AA76" s="2" t="str">
        <f t="shared" ca="1" si="180"/>
        <v>프리타임기간중</v>
      </c>
      <c r="AB76" s="2" t="str">
        <f t="shared" ca="1" si="181"/>
        <v/>
      </c>
      <c r="AC76" s="103"/>
      <c r="CJ76" s="2">
        <v>46</v>
      </c>
    </row>
    <row r="77" spans="2:102" s="2" customFormat="1" ht="20.100000000000001" customHeight="1">
      <c r="B77" s="110">
        <v>46225</v>
      </c>
      <c r="C77" s="111" t="s">
        <v>824</v>
      </c>
      <c r="D77" s="112"/>
      <c r="E77" s="113"/>
      <c r="F77" s="114" t="s">
        <v>817</v>
      </c>
      <c r="G77" s="8" t="str">
        <f t="shared" si="171"/>
        <v>KMTCSWA0407964VITAMIN C MINT TABLET CANDY 800G*10/CTN</v>
      </c>
      <c r="H77" s="28">
        <v>1600</v>
      </c>
      <c r="I77" s="41">
        <f t="shared" si="172"/>
        <v>40</v>
      </c>
      <c r="J77" s="29">
        <v>0</v>
      </c>
      <c r="K77" s="29">
        <v>0</v>
      </c>
      <c r="L77" s="41">
        <f t="shared" si="173"/>
        <v>0</v>
      </c>
      <c r="M77" s="29">
        <v>0</v>
      </c>
      <c r="N77" s="31">
        <f t="shared" si="174"/>
        <v>1600</v>
      </c>
      <c r="O77" s="42">
        <f t="shared" si="175"/>
        <v>40</v>
      </c>
      <c r="P77" s="31">
        <f t="shared" si="176"/>
        <v>1600</v>
      </c>
      <c r="Q77" s="42">
        <f t="shared" si="177"/>
        <v>40</v>
      </c>
      <c r="R77" s="28">
        <v>0</v>
      </c>
      <c r="S77" s="97">
        <f t="shared" ref="S77:S99" si="182">SUM(AD77:FS77)</f>
        <v>0</v>
      </c>
      <c r="T77" s="97">
        <f t="shared" si="178"/>
        <v>0</v>
      </c>
      <c r="V77" s="28">
        <v>40</v>
      </c>
      <c r="W77" s="95">
        <f t="shared" si="179"/>
        <v>46245</v>
      </c>
      <c r="X77" s="79">
        <v>20</v>
      </c>
      <c r="Y77" s="79">
        <v>1000</v>
      </c>
      <c r="Z77" s="2" t="e">
        <f>SUMIF(#REF!,G77,#REF!)</f>
        <v>#REF!</v>
      </c>
      <c r="AA77" s="2" t="str">
        <f t="shared" ca="1" si="180"/>
        <v>프리타임기간중</v>
      </c>
      <c r="AB77" s="2" t="str">
        <f t="shared" ca="1" si="181"/>
        <v/>
      </c>
      <c r="AC77" s="103"/>
    </row>
    <row r="78" spans="2:102" s="2" customFormat="1" ht="20.100000000000001" customHeight="1">
      <c r="B78" s="110">
        <v>46225</v>
      </c>
      <c r="C78" s="111" t="s">
        <v>821</v>
      </c>
      <c r="D78" s="112"/>
      <c r="E78" s="113"/>
      <c r="F78" s="114" t="s">
        <v>818</v>
      </c>
      <c r="G78" s="8" t="str">
        <f t="shared" ref="G78:G79" si="183">C78&amp;F78</f>
        <v>LYFRLYIF7269571당면</v>
      </c>
      <c r="H78" s="28">
        <v>630</v>
      </c>
      <c r="I78" s="41">
        <f t="shared" ref="I78:I79" si="184">ROUNDUP((H78/V78),0)</f>
        <v>23</v>
      </c>
      <c r="J78" s="29">
        <v>0</v>
      </c>
      <c r="K78" s="29">
        <v>0</v>
      </c>
      <c r="L78" s="41">
        <f t="shared" ref="L78:L79" si="185">ROUNDUP((K78/V78),0)</f>
        <v>0</v>
      </c>
      <c r="M78" s="29">
        <v>0</v>
      </c>
      <c r="N78" s="31">
        <f t="shared" ref="N78:N79" si="186">P78-K78+M78</f>
        <v>630</v>
      </c>
      <c r="O78" s="42">
        <f t="shared" ref="O78:O79" si="187">ROUNDUP((N78/V78),0)</f>
        <v>23</v>
      </c>
      <c r="P78" s="31">
        <f t="shared" ref="P78:P79" si="188">H78-T78</f>
        <v>630</v>
      </c>
      <c r="Q78" s="42">
        <f t="shared" ref="Q78:Q79" si="189">L78+O78</f>
        <v>23</v>
      </c>
      <c r="R78" s="28">
        <v>0</v>
      </c>
      <c r="S78" s="97">
        <f t="shared" si="182"/>
        <v>0</v>
      </c>
      <c r="T78" s="97">
        <f t="shared" ref="T78:T79" si="190">R78+S78+J78+M78</f>
        <v>0</v>
      </c>
      <c r="V78" s="28">
        <v>28</v>
      </c>
      <c r="W78" s="95">
        <f t="shared" ref="W78:W79" si="191">B78+X78</f>
        <v>46245</v>
      </c>
      <c r="X78" s="79">
        <v>20</v>
      </c>
      <c r="Y78" s="79">
        <v>1000</v>
      </c>
      <c r="Z78" s="2" t="e">
        <f>SUMIF(#REF!,G78,#REF!)</f>
        <v>#REF!</v>
      </c>
      <c r="AA78" s="2" t="str">
        <f t="shared" ref="AA78:AA79" ca="1" si="192">IF(W78&gt;TODAY(),"프리타임기간중",Q78*Y78*IF(DATE(YEAR(W78),MONTH(W78),1)&lt;DATE(YEAR($AA$2),MONTH($AA$2),1),DATEDIF($AA$2,$AA$3,"D")+1,DATEDIF(W78,$AA$3+1,"d")))</f>
        <v>프리타임기간중</v>
      </c>
      <c r="AB78" s="2" t="str">
        <f t="shared" ref="AB78:AB79" ca="1" si="193">IFERROR(Z78+AA78,"")</f>
        <v/>
      </c>
      <c r="AC78" s="103"/>
    </row>
    <row r="79" spans="2:102" s="2" customFormat="1" ht="20.100000000000001" customHeight="1">
      <c r="B79" s="81">
        <v>46226</v>
      </c>
      <c r="C79" s="99" t="s">
        <v>826</v>
      </c>
      <c r="D79" s="98"/>
      <c r="E79" s="79"/>
      <c r="F79" s="8" t="s">
        <v>829</v>
      </c>
      <c r="G79" s="8" t="str">
        <f t="shared" si="183"/>
        <v>COHEAR699YN049AB호인가-우지수공조각훠궈 Spicy Hot Pot Soup Base</v>
      </c>
      <c r="H79" s="28">
        <v>556</v>
      </c>
      <c r="I79" s="41">
        <f t="shared" si="184"/>
        <v>10</v>
      </c>
      <c r="J79" s="29">
        <v>0</v>
      </c>
      <c r="K79" s="29">
        <v>0</v>
      </c>
      <c r="L79" s="41">
        <f t="shared" si="185"/>
        <v>0</v>
      </c>
      <c r="M79" s="29">
        <v>0</v>
      </c>
      <c r="N79" s="31">
        <f t="shared" si="186"/>
        <v>556</v>
      </c>
      <c r="O79" s="42">
        <f t="shared" si="187"/>
        <v>10</v>
      </c>
      <c r="P79" s="31">
        <f t="shared" si="188"/>
        <v>556</v>
      </c>
      <c r="Q79" s="42">
        <f t="shared" si="189"/>
        <v>10</v>
      </c>
      <c r="R79" s="28">
        <v>0</v>
      </c>
      <c r="S79" s="97">
        <f t="shared" si="182"/>
        <v>0</v>
      </c>
      <c r="T79" s="97">
        <f t="shared" si="190"/>
        <v>0</v>
      </c>
      <c r="V79" s="28">
        <v>56</v>
      </c>
      <c r="W79" s="95">
        <f t="shared" si="191"/>
        <v>46246</v>
      </c>
      <c r="X79" s="79">
        <v>20</v>
      </c>
      <c r="Y79" s="79">
        <v>1000</v>
      </c>
      <c r="Z79" s="2" t="e">
        <f>SUMIF(#REF!,G79,#REF!)</f>
        <v>#REF!</v>
      </c>
      <c r="AA79" s="2" t="str">
        <f t="shared" ca="1" si="192"/>
        <v>프리타임기간중</v>
      </c>
      <c r="AB79" s="2" t="str">
        <f t="shared" ca="1" si="193"/>
        <v/>
      </c>
      <c r="AC79" s="103"/>
    </row>
    <row r="80" spans="2:102" s="2" customFormat="1" ht="20.100000000000001" customHeight="1">
      <c r="B80" s="81">
        <v>46226</v>
      </c>
      <c r="C80" s="99" t="s">
        <v>826</v>
      </c>
      <c r="D80" s="98"/>
      <c r="E80" s="79"/>
      <c r="F80" s="8" t="s">
        <v>830</v>
      </c>
      <c r="G80" s="8" t="str">
        <f t="shared" ref="G80:G82" si="194">C80&amp;F80</f>
        <v>COHEAR699YN049AB호인가-토마토훠궈 TOMATO HOT POT CONDIMENT</v>
      </c>
      <c r="H80" s="28">
        <v>33</v>
      </c>
      <c r="I80" s="41">
        <f t="shared" ref="I80:I82" si="195">ROUNDUP((H80/V80),0)</f>
        <v>1</v>
      </c>
      <c r="J80" s="29">
        <v>0</v>
      </c>
      <c r="K80" s="29">
        <v>0</v>
      </c>
      <c r="L80" s="41">
        <f t="shared" ref="L80:L82" si="196">ROUNDUP((K80/V80),0)</f>
        <v>0</v>
      </c>
      <c r="M80" s="29">
        <v>0</v>
      </c>
      <c r="N80" s="31">
        <f t="shared" ref="N80:N82" si="197">P80-K80+M80</f>
        <v>33</v>
      </c>
      <c r="O80" s="42">
        <f t="shared" ref="O80:O82" si="198">ROUNDUP((N80/V80),0)</f>
        <v>1</v>
      </c>
      <c r="P80" s="31">
        <f t="shared" ref="P80:P82" si="199">H80-T80</f>
        <v>33</v>
      </c>
      <c r="Q80" s="42">
        <f t="shared" ref="Q80:Q82" si="200">L80+O80</f>
        <v>1</v>
      </c>
      <c r="R80" s="28">
        <v>0</v>
      </c>
      <c r="S80" s="97">
        <f t="shared" si="182"/>
        <v>0</v>
      </c>
      <c r="T80" s="97">
        <f t="shared" ref="T80:T82" si="201">R80+S80+J80+M80</f>
        <v>0</v>
      </c>
      <c r="V80" s="28">
        <v>33</v>
      </c>
      <c r="W80" s="95">
        <f t="shared" ref="W80:W82" si="202">B80+X80</f>
        <v>46246</v>
      </c>
      <c r="X80" s="79">
        <v>20</v>
      </c>
      <c r="Y80" s="79">
        <v>1000</v>
      </c>
      <c r="Z80" s="2" t="e">
        <f>SUMIF(#REF!,G80,#REF!)</f>
        <v>#REF!</v>
      </c>
      <c r="AA80" s="2" t="str">
        <f t="shared" ref="AA80:AA82" ca="1" si="203">IF(W80&gt;TODAY(),"프리타임기간중",Q80*Y80*IF(DATE(YEAR(W80),MONTH(W80),1)&lt;DATE(YEAR($AA$2),MONTH($AA$2),1),DATEDIF($AA$2,$AA$3,"D")+1,DATEDIF(W80,$AA$3+1,"d")))</f>
        <v>프리타임기간중</v>
      </c>
      <c r="AB80" s="2" t="str">
        <f t="shared" ref="AB80:AB82" ca="1" si="204">IFERROR(Z80+AA80,"")</f>
        <v/>
      </c>
      <c r="AC80" s="103"/>
    </row>
    <row r="81" spans="2:109" s="2" customFormat="1" ht="20.100000000000001" customHeight="1">
      <c r="B81" s="81">
        <v>46226</v>
      </c>
      <c r="C81" s="99" t="s">
        <v>826</v>
      </c>
      <c r="D81" s="98"/>
      <c r="E81" s="79"/>
      <c r="F81" s="8" t="s">
        <v>831</v>
      </c>
      <c r="G81" s="8" t="str">
        <f t="shared" si="194"/>
        <v>COHEAR699YN049AB호인가-쉐이주위 SEASONING FOR BOILED FISH</v>
      </c>
      <c r="H81" s="28">
        <v>30</v>
      </c>
      <c r="I81" s="41">
        <f t="shared" si="195"/>
        <v>1</v>
      </c>
      <c r="J81" s="29">
        <v>0</v>
      </c>
      <c r="K81" s="29">
        <v>0</v>
      </c>
      <c r="L81" s="41">
        <f t="shared" si="196"/>
        <v>0</v>
      </c>
      <c r="M81" s="29">
        <v>0</v>
      </c>
      <c r="N81" s="31">
        <f t="shared" si="197"/>
        <v>30</v>
      </c>
      <c r="O81" s="42">
        <f t="shared" si="198"/>
        <v>1</v>
      </c>
      <c r="P81" s="31">
        <f t="shared" si="199"/>
        <v>30</v>
      </c>
      <c r="Q81" s="42">
        <f t="shared" si="200"/>
        <v>1</v>
      </c>
      <c r="R81" s="28">
        <v>0</v>
      </c>
      <c r="S81" s="97">
        <f t="shared" si="182"/>
        <v>0</v>
      </c>
      <c r="T81" s="97">
        <f t="shared" si="201"/>
        <v>0</v>
      </c>
      <c r="V81" s="28">
        <v>30</v>
      </c>
      <c r="W81" s="95">
        <f t="shared" si="202"/>
        <v>46246</v>
      </c>
      <c r="X81" s="79">
        <v>20</v>
      </c>
      <c r="Y81" s="79">
        <v>1000</v>
      </c>
      <c r="Z81" s="2" t="e">
        <f>SUMIF(#REF!,G81,#REF!)</f>
        <v>#REF!</v>
      </c>
      <c r="AA81" s="2" t="str">
        <f t="shared" ca="1" si="203"/>
        <v>프리타임기간중</v>
      </c>
      <c r="AB81" s="2" t="str">
        <f t="shared" ca="1" si="204"/>
        <v/>
      </c>
      <c r="AC81" s="103"/>
    </row>
    <row r="82" spans="2:109" s="2" customFormat="1" ht="20.100000000000001" customHeight="1">
      <c r="B82" s="81">
        <v>46226</v>
      </c>
      <c r="C82" s="99" t="s">
        <v>826</v>
      </c>
      <c r="D82" s="98"/>
      <c r="E82" s="79"/>
      <c r="F82" s="8" t="s">
        <v>832</v>
      </c>
      <c r="G82" s="8" t="str">
        <f t="shared" si="194"/>
        <v>COHEAR699YN049AB호인가-마라샹궈 HOT &amp; SPICY POT SEASONING</v>
      </c>
      <c r="H82" s="28">
        <v>52</v>
      </c>
      <c r="I82" s="41">
        <f t="shared" si="195"/>
        <v>1</v>
      </c>
      <c r="J82" s="29">
        <v>0</v>
      </c>
      <c r="K82" s="29">
        <v>0</v>
      </c>
      <c r="L82" s="41">
        <f t="shared" si="196"/>
        <v>0</v>
      </c>
      <c r="M82" s="29">
        <v>0</v>
      </c>
      <c r="N82" s="31">
        <f t="shared" si="197"/>
        <v>52</v>
      </c>
      <c r="O82" s="42">
        <f t="shared" si="198"/>
        <v>1</v>
      </c>
      <c r="P82" s="31">
        <f t="shared" si="199"/>
        <v>52</v>
      </c>
      <c r="Q82" s="42">
        <f t="shared" si="200"/>
        <v>1</v>
      </c>
      <c r="R82" s="28">
        <v>0</v>
      </c>
      <c r="S82" s="97">
        <f t="shared" si="182"/>
        <v>0</v>
      </c>
      <c r="T82" s="97">
        <f t="shared" si="201"/>
        <v>0</v>
      </c>
      <c r="V82" s="28">
        <v>52</v>
      </c>
      <c r="W82" s="95">
        <f t="shared" si="202"/>
        <v>46246</v>
      </c>
      <c r="X82" s="79">
        <v>20</v>
      </c>
      <c r="Y82" s="79">
        <v>1000</v>
      </c>
      <c r="Z82" s="2" t="e">
        <f>SUMIF(#REF!,G82,#REF!)</f>
        <v>#REF!</v>
      </c>
      <c r="AA82" s="2" t="str">
        <f t="shared" ca="1" si="203"/>
        <v>프리타임기간중</v>
      </c>
      <c r="AB82" s="2" t="str">
        <f t="shared" ca="1" si="204"/>
        <v/>
      </c>
      <c r="AC82" s="103"/>
    </row>
    <row r="83" spans="2:109" s="2" customFormat="1" ht="20.100000000000001" customHeight="1">
      <c r="B83" s="81">
        <v>46226</v>
      </c>
      <c r="C83" s="99" t="s">
        <v>826</v>
      </c>
      <c r="D83" s="98"/>
      <c r="E83" s="79"/>
      <c r="F83" s="8" t="s">
        <v>833</v>
      </c>
      <c r="G83" s="8" t="str">
        <f t="shared" ref="G83:G85" si="205">C83&amp;F83</f>
        <v>COHEAR699YN049AB호인가-마파두부용소스 SEASONING FOR MAPO TOFU</v>
      </c>
      <c r="H83" s="28">
        <v>50</v>
      </c>
      <c r="I83" s="41">
        <f t="shared" ref="I83:I85" si="206">ROUNDUP((H83/V83),0)</f>
        <v>1</v>
      </c>
      <c r="J83" s="29">
        <v>0</v>
      </c>
      <c r="K83" s="29">
        <v>0</v>
      </c>
      <c r="L83" s="41">
        <f t="shared" ref="L83:L85" si="207">ROUNDUP((K83/V83),0)</f>
        <v>0</v>
      </c>
      <c r="M83" s="29">
        <v>0</v>
      </c>
      <c r="N83" s="31">
        <f t="shared" ref="N83:N85" si="208">P83-K83+M83</f>
        <v>50</v>
      </c>
      <c r="O83" s="42">
        <f t="shared" ref="O83:O85" si="209">ROUNDUP((N83/V83),0)</f>
        <v>1</v>
      </c>
      <c r="P83" s="31">
        <f t="shared" ref="P83:P85" si="210">H83-T83</f>
        <v>50</v>
      </c>
      <c r="Q83" s="42">
        <f t="shared" ref="Q83:Q85" si="211">L83+O83</f>
        <v>1</v>
      </c>
      <c r="R83" s="28">
        <v>0</v>
      </c>
      <c r="S83" s="97">
        <f t="shared" si="182"/>
        <v>0</v>
      </c>
      <c r="T83" s="97">
        <f t="shared" ref="T83:T85" si="212">R83+S83+J83+M83</f>
        <v>0</v>
      </c>
      <c r="V83" s="28">
        <v>50</v>
      </c>
      <c r="W83" s="95">
        <f t="shared" ref="W83:W85" si="213">B83+X83</f>
        <v>46246</v>
      </c>
      <c r="X83" s="79">
        <v>20</v>
      </c>
      <c r="Y83" s="79">
        <v>1000</v>
      </c>
      <c r="Z83" s="2" t="e">
        <f>SUMIF(#REF!,G83,#REF!)</f>
        <v>#REF!</v>
      </c>
      <c r="AA83" s="2" t="str">
        <f t="shared" ref="AA83:AA85" ca="1" si="214">IF(W83&gt;TODAY(),"프리타임기간중",Q83*Y83*IF(DATE(YEAR(W83),MONTH(W83),1)&lt;DATE(YEAR($AA$2),MONTH($AA$2),1),DATEDIF($AA$2,$AA$3,"D")+1,DATEDIF(W83,$AA$3+1,"d")))</f>
        <v>프리타임기간중</v>
      </c>
      <c r="AB83" s="2" t="str">
        <f t="shared" ref="AB83:AB85" ca="1" si="215">IFERROR(Z83+AA83,"")</f>
        <v/>
      </c>
      <c r="AC83" s="103"/>
    </row>
    <row r="84" spans="2:109" s="2" customFormat="1" ht="20.100000000000001" customHeight="1">
      <c r="B84" s="81">
        <v>46226</v>
      </c>
      <c r="C84" s="99" t="s">
        <v>841</v>
      </c>
      <c r="D84" s="98"/>
      <c r="E84" s="79"/>
      <c r="F84" s="8" t="s">
        <v>834</v>
      </c>
      <c r="G84" s="8" t="str">
        <f t="shared" si="205"/>
        <v>COHEAR699YN049AB호인가-청유훠궈소스 SPICY HOT POT SOUP BASE</v>
      </c>
      <c r="H84" s="28">
        <v>33</v>
      </c>
      <c r="I84" s="41">
        <f t="shared" si="206"/>
        <v>1</v>
      </c>
      <c r="J84" s="29">
        <v>0</v>
      </c>
      <c r="K84" s="29">
        <v>0</v>
      </c>
      <c r="L84" s="41">
        <f t="shared" si="207"/>
        <v>0</v>
      </c>
      <c r="M84" s="29">
        <v>0</v>
      </c>
      <c r="N84" s="31">
        <f t="shared" si="208"/>
        <v>33</v>
      </c>
      <c r="O84" s="42">
        <f t="shared" si="209"/>
        <v>1</v>
      </c>
      <c r="P84" s="31">
        <f t="shared" si="210"/>
        <v>33</v>
      </c>
      <c r="Q84" s="42">
        <f t="shared" si="211"/>
        <v>1</v>
      </c>
      <c r="R84" s="28">
        <v>0</v>
      </c>
      <c r="S84" s="97">
        <f t="shared" si="182"/>
        <v>0</v>
      </c>
      <c r="T84" s="97">
        <f t="shared" si="212"/>
        <v>0</v>
      </c>
      <c r="V84" s="28">
        <v>33</v>
      </c>
      <c r="W84" s="95">
        <f t="shared" si="213"/>
        <v>46246</v>
      </c>
      <c r="X84" s="79">
        <v>20</v>
      </c>
      <c r="Y84" s="79">
        <v>1000</v>
      </c>
      <c r="Z84" s="2" t="e">
        <f>SUMIF(#REF!,G84,#REF!)</f>
        <v>#REF!</v>
      </c>
      <c r="AA84" s="2" t="str">
        <f t="shared" ca="1" si="214"/>
        <v>프리타임기간중</v>
      </c>
      <c r="AB84" s="2" t="str">
        <f t="shared" ca="1" si="215"/>
        <v/>
      </c>
      <c r="AC84" s="103"/>
    </row>
    <row r="85" spans="2:109" s="2" customFormat="1" ht="20.100000000000001" customHeight="1">
      <c r="B85" s="81">
        <v>46226</v>
      </c>
      <c r="C85" s="99" t="s">
        <v>826</v>
      </c>
      <c r="D85" s="98"/>
      <c r="E85" s="79"/>
      <c r="F85" s="8" t="s">
        <v>835</v>
      </c>
      <c r="G85" s="8" t="str">
        <f t="shared" si="205"/>
        <v>COHEAR699YN049AB호인가-쏘룡사쇼스 SEASONING FOR HOT&amp;SPICY CRAYFISH</v>
      </c>
      <c r="H85" s="28">
        <v>100</v>
      </c>
      <c r="I85" s="41">
        <f t="shared" si="206"/>
        <v>2</v>
      </c>
      <c r="J85" s="29">
        <v>0</v>
      </c>
      <c r="K85" s="29">
        <v>0</v>
      </c>
      <c r="L85" s="41">
        <f t="shared" si="207"/>
        <v>0</v>
      </c>
      <c r="M85" s="29">
        <v>0</v>
      </c>
      <c r="N85" s="31">
        <f t="shared" si="208"/>
        <v>100</v>
      </c>
      <c r="O85" s="42">
        <f t="shared" si="209"/>
        <v>2</v>
      </c>
      <c r="P85" s="31">
        <f t="shared" si="210"/>
        <v>100</v>
      </c>
      <c r="Q85" s="42">
        <f t="shared" si="211"/>
        <v>2</v>
      </c>
      <c r="R85" s="28">
        <v>0</v>
      </c>
      <c r="S85" s="97">
        <f t="shared" si="182"/>
        <v>0</v>
      </c>
      <c r="T85" s="97">
        <f t="shared" si="212"/>
        <v>0</v>
      </c>
      <c r="V85" s="28">
        <v>56</v>
      </c>
      <c r="W85" s="95">
        <f t="shared" si="213"/>
        <v>46246</v>
      </c>
      <c r="X85" s="79">
        <v>20</v>
      </c>
      <c r="Y85" s="79">
        <v>1000</v>
      </c>
      <c r="Z85" s="2" t="e">
        <f>SUMIF(#REF!,G85,#REF!)</f>
        <v>#REF!</v>
      </c>
      <c r="AA85" s="2" t="str">
        <f t="shared" ca="1" si="214"/>
        <v>프리타임기간중</v>
      </c>
      <c r="AB85" s="2" t="str">
        <f t="shared" ca="1" si="215"/>
        <v/>
      </c>
      <c r="AC85" s="103"/>
    </row>
    <row r="86" spans="2:109" s="2" customFormat="1" ht="20.100000000000001" customHeight="1">
      <c r="B86" s="110">
        <v>46226</v>
      </c>
      <c r="C86" s="111" t="s">
        <v>827</v>
      </c>
      <c r="D86" s="112"/>
      <c r="E86" s="113"/>
      <c r="F86" s="114" t="s">
        <v>836</v>
      </c>
      <c r="G86" s="8" t="str">
        <f t="shared" ref="G86:G88" si="216">C86&amp;F86</f>
        <v>COHEAR699YN049CSESAME PEAUNT BUTTER 2KG*8BAG/CTN</v>
      </c>
      <c r="H86" s="28">
        <v>200</v>
      </c>
      <c r="I86" s="41">
        <f t="shared" ref="I86:I88" si="217">ROUNDUP((H86/V86),0)</f>
        <v>4</v>
      </c>
      <c r="J86" s="29">
        <v>0</v>
      </c>
      <c r="K86" s="29">
        <v>0</v>
      </c>
      <c r="L86" s="41">
        <f t="shared" ref="L86:L88" si="218">ROUNDUP((K86/V86),0)</f>
        <v>0</v>
      </c>
      <c r="M86" s="29">
        <v>0</v>
      </c>
      <c r="N86" s="31">
        <f t="shared" ref="N86:N88" si="219">P86-K86+M86</f>
        <v>200</v>
      </c>
      <c r="O86" s="42">
        <f t="shared" ref="O86:O88" si="220">ROUNDUP((N86/V86),0)</f>
        <v>4</v>
      </c>
      <c r="P86" s="31">
        <f t="shared" ref="P86:P88" si="221">H86-T86</f>
        <v>200</v>
      </c>
      <c r="Q86" s="42">
        <f t="shared" ref="Q86:Q88" si="222">L86+O86</f>
        <v>4</v>
      </c>
      <c r="R86" s="28">
        <v>0</v>
      </c>
      <c r="S86" s="97">
        <f t="shared" si="182"/>
        <v>0</v>
      </c>
      <c r="T86" s="97">
        <f t="shared" ref="T86:T88" si="223">R86+S86+J86+M86</f>
        <v>0</v>
      </c>
      <c r="V86" s="28">
        <v>60</v>
      </c>
      <c r="W86" s="95">
        <f t="shared" ref="W86:W88" si="224">B86+X86</f>
        <v>46246</v>
      </c>
      <c r="X86" s="79">
        <v>20</v>
      </c>
      <c r="Y86" s="79">
        <v>1000</v>
      </c>
      <c r="Z86" s="2" t="e">
        <f>SUMIF(#REF!,G86,#REF!)</f>
        <v>#REF!</v>
      </c>
      <c r="AA86" s="2" t="str">
        <f t="shared" ref="AA86:AA88" ca="1" si="225">IF(W86&gt;TODAY(),"프리타임기간중",Q86*Y86*IF(DATE(YEAR(W86),MONTH(W86),1)&lt;DATE(YEAR($AA$2),MONTH($AA$2),1),DATEDIF($AA$2,$AA$3,"D")+1,DATEDIF(W86,$AA$3+1,"d")))</f>
        <v>프리타임기간중</v>
      </c>
      <c r="AB86" s="2" t="str">
        <f t="shared" ref="AB86:AB88" ca="1" si="226">IFERROR(Z86+AA86,"")</f>
        <v/>
      </c>
      <c r="AC86" s="103"/>
    </row>
    <row r="87" spans="2:109" s="2" customFormat="1" ht="20.100000000000001" customHeight="1">
      <c r="B87" s="110">
        <v>46226</v>
      </c>
      <c r="C87" s="111" t="s">
        <v>843</v>
      </c>
      <c r="D87" s="112"/>
      <c r="E87" s="113"/>
      <c r="F87" s="114" t="s">
        <v>844</v>
      </c>
      <c r="G87" s="8" t="str">
        <f t="shared" si="216"/>
        <v>COHEAR699YN049DBEAN CURD STICKS 500G*15BAG/CTN(자른푸주)</v>
      </c>
      <c r="H87" s="28">
        <v>670</v>
      </c>
      <c r="I87" s="41">
        <f t="shared" si="217"/>
        <v>19</v>
      </c>
      <c r="J87" s="29">
        <v>0</v>
      </c>
      <c r="K87" s="29">
        <v>0</v>
      </c>
      <c r="L87" s="41">
        <f t="shared" si="218"/>
        <v>0</v>
      </c>
      <c r="M87" s="29">
        <v>0</v>
      </c>
      <c r="N87" s="31">
        <f t="shared" si="219"/>
        <v>310</v>
      </c>
      <c r="O87" s="42">
        <f t="shared" si="220"/>
        <v>9</v>
      </c>
      <c r="P87" s="31">
        <f t="shared" si="221"/>
        <v>310</v>
      </c>
      <c r="Q87" s="42">
        <f t="shared" si="222"/>
        <v>9</v>
      </c>
      <c r="R87" s="28">
        <v>0</v>
      </c>
      <c r="S87" s="97">
        <f t="shared" si="182"/>
        <v>360</v>
      </c>
      <c r="T87" s="97">
        <f t="shared" si="223"/>
        <v>360</v>
      </c>
      <c r="V87" s="28">
        <v>36</v>
      </c>
      <c r="W87" s="95">
        <f t="shared" si="224"/>
        <v>46246</v>
      </c>
      <c r="X87" s="79">
        <v>20</v>
      </c>
      <c r="Y87" s="79">
        <v>1000</v>
      </c>
      <c r="Z87" s="2" t="e">
        <f>SUMIF(#REF!,G87,#REF!)</f>
        <v>#REF!</v>
      </c>
      <c r="AA87" s="2" t="str">
        <f t="shared" ca="1" si="225"/>
        <v>프리타임기간중</v>
      </c>
      <c r="AB87" s="2" t="str">
        <f t="shared" ca="1" si="226"/>
        <v/>
      </c>
      <c r="AC87" s="103"/>
      <c r="CT87" s="142">
        <v>360</v>
      </c>
    </row>
    <row r="88" spans="2:109" s="2" customFormat="1" ht="20.100000000000001" customHeight="1">
      <c r="B88" s="110">
        <v>46226</v>
      </c>
      <c r="C88" s="111" t="s">
        <v>828</v>
      </c>
      <c r="D88" s="112"/>
      <c r="E88" s="113"/>
      <c r="F88" s="114" t="s">
        <v>837</v>
      </c>
      <c r="G88" s="8" t="str">
        <f t="shared" si="216"/>
        <v>COHEAR699YN049ESQUID CUB-YUANWEI (오징어 오리지널_35G)</v>
      </c>
      <c r="H88" s="28">
        <v>30</v>
      </c>
      <c r="I88" s="41">
        <f t="shared" si="217"/>
        <v>1</v>
      </c>
      <c r="J88" s="29">
        <v>0</v>
      </c>
      <c r="K88" s="29">
        <v>0</v>
      </c>
      <c r="L88" s="41">
        <f t="shared" si="218"/>
        <v>0</v>
      </c>
      <c r="M88" s="29">
        <v>0</v>
      </c>
      <c r="N88" s="31">
        <f t="shared" si="219"/>
        <v>0</v>
      </c>
      <c r="O88" s="42">
        <f t="shared" si="220"/>
        <v>0</v>
      </c>
      <c r="P88" s="31">
        <f t="shared" si="221"/>
        <v>0</v>
      </c>
      <c r="Q88" s="42">
        <f t="shared" si="222"/>
        <v>0</v>
      </c>
      <c r="R88" s="28">
        <v>0</v>
      </c>
      <c r="S88" s="97">
        <f t="shared" si="182"/>
        <v>30</v>
      </c>
      <c r="T88" s="97">
        <f t="shared" si="223"/>
        <v>30</v>
      </c>
      <c r="V88" s="28">
        <v>30</v>
      </c>
      <c r="W88" s="95">
        <f t="shared" si="224"/>
        <v>46246</v>
      </c>
      <c r="X88" s="79">
        <v>20</v>
      </c>
      <c r="Y88" s="79">
        <v>1000</v>
      </c>
      <c r="Z88" s="2" t="e">
        <f>SUMIF(#REF!,G88,#REF!)</f>
        <v>#REF!</v>
      </c>
      <c r="AA88" s="2" t="str">
        <f t="shared" ca="1" si="225"/>
        <v>프리타임기간중</v>
      </c>
      <c r="AB88" s="2" t="str">
        <f t="shared" ca="1" si="226"/>
        <v/>
      </c>
      <c r="AC88" s="103"/>
      <c r="DB88" s="2">
        <v>30</v>
      </c>
    </row>
    <row r="89" spans="2:109" s="2" customFormat="1" ht="20.100000000000001" customHeight="1">
      <c r="B89" s="110">
        <v>46226</v>
      </c>
      <c r="C89" s="111" t="s">
        <v>828</v>
      </c>
      <c r="D89" s="112"/>
      <c r="E89" s="113"/>
      <c r="F89" s="114" t="s">
        <v>838</v>
      </c>
      <c r="G89" s="8" t="str">
        <f t="shared" ref="G89:G90" si="227">C89&amp;F89</f>
        <v>COHEAR699YN049ESQUID STRING-XIANGLA(오징어_향라맛 25G)</v>
      </c>
      <c r="H89" s="28">
        <v>60</v>
      </c>
      <c r="I89" s="41">
        <f t="shared" ref="I89:I90" si="228">ROUNDUP((H89/V89),0)</f>
        <v>2</v>
      </c>
      <c r="J89" s="29">
        <v>0</v>
      </c>
      <c r="K89" s="29">
        <v>0</v>
      </c>
      <c r="L89" s="41">
        <f t="shared" ref="L89:L90" si="229">ROUNDUP((K89/V89),0)</f>
        <v>0</v>
      </c>
      <c r="M89" s="29">
        <v>0</v>
      </c>
      <c r="N89" s="31">
        <f t="shared" ref="N89:N90" si="230">P89-K89+M89</f>
        <v>0</v>
      </c>
      <c r="O89" s="42">
        <f t="shared" ref="O89:O90" si="231">ROUNDUP((N89/V89),0)</f>
        <v>0</v>
      </c>
      <c r="P89" s="31">
        <f t="shared" ref="P89:P90" si="232">H89-T89</f>
        <v>0</v>
      </c>
      <c r="Q89" s="42">
        <f t="shared" ref="Q89:Q90" si="233">L89+O89</f>
        <v>0</v>
      </c>
      <c r="R89" s="28">
        <v>0</v>
      </c>
      <c r="S89" s="97">
        <f t="shared" si="182"/>
        <v>60</v>
      </c>
      <c r="T89" s="97">
        <f t="shared" ref="T89:T90" si="234">R89+S89+J89+M89</f>
        <v>60</v>
      </c>
      <c r="V89" s="28">
        <v>32</v>
      </c>
      <c r="W89" s="95">
        <f t="shared" ref="W89:W90" si="235">B89+X89</f>
        <v>46246</v>
      </c>
      <c r="X89" s="79">
        <v>20</v>
      </c>
      <c r="Y89" s="79">
        <v>1000</v>
      </c>
      <c r="Z89" s="2" t="e">
        <f>SUMIF(#REF!,G89,#REF!)</f>
        <v>#REF!</v>
      </c>
      <c r="AA89" s="2" t="str">
        <f t="shared" ref="AA89:AA90" ca="1" si="236">IF(W89&gt;TODAY(),"프리타임기간중",Q89*Y89*IF(DATE(YEAR(W89),MONTH(W89),1)&lt;DATE(YEAR($AA$2),MONTH($AA$2),1),DATEDIF($AA$2,$AA$3,"D")+1,DATEDIF(W89,$AA$3+1,"d")))</f>
        <v>프리타임기간중</v>
      </c>
      <c r="AB89" s="2" t="str">
        <f t="shared" ref="AB89:AB90" ca="1" si="237">IFERROR(Z89+AA89,"")</f>
        <v/>
      </c>
      <c r="AC89" s="103"/>
      <c r="DC89" s="2">
        <v>32</v>
      </c>
      <c r="DD89" s="2">
        <v>28</v>
      </c>
    </row>
    <row r="90" spans="2:109" s="2" customFormat="1" ht="20.100000000000001" customHeight="1">
      <c r="B90" s="110">
        <v>46226</v>
      </c>
      <c r="C90" s="111" t="s">
        <v>828</v>
      </c>
      <c r="D90" s="112"/>
      <c r="E90" s="113"/>
      <c r="F90" s="114" t="s">
        <v>839</v>
      </c>
      <c r="G90" s="8" t="str">
        <f t="shared" si="227"/>
        <v>COHEAR699YN049EA SQUID-XIANGLA(오징어_향라맛 68G)</v>
      </c>
      <c r="H90" s="28">
        <v>30</v>
      </c>
      <c r="I90" s="41">
        <f t="shared" si="228"/>
        <v>1</v>
      </c>
      <c r="J90" s="29">
        <v>0</v>
      </c>
      <c r="K90" s="29">
        <v>0</v>
      </c>
      <c r="L90" s="41">
        <f t="shared" si="229"/>
        <v>0</v>
      </c>
      <c r="M90" s="29">
        <v>0</v>
      </c>
      <c r="N90" s="31">
        <f t="shared" si="230"/>
        <v>0</v>
      </c>
      <c r="O90" s="42">
        <f t="shared" si="231"/>
        <v>0</v>
      </c>
      <c r="P90" s="31">
        <f t="shared" si="232"/>
        <v>0</v>
      </c>
      <c r="Q90" s="42">
        <f t="shared" si="233"/>
        <v>0</v>
      </c>
      <c r="R90" s="28">
        <v>0</v>
      </c>
      <c r="S90" s="97">
        <f t="shared" si="182"/>
        <v>30</v>
      </c>
      <c r="T90" s="97">
        <f t="shared" si="234"/>
        <v>30</v>
      </c>
      <c r="V90" s="28">
        <v>30</v>
      </c>
      <c r="W90" s="95">
        <f t="shared" si="235"/>
        <v>46246</v>
      </c>
      <c r="X90" s="79">
        <v>20</v>
      </c>
      <c r="Y90" s="79">
        <v>1000</v>
      </c>
      <c r="Z90" s="2" t="e">
        <f>SUMIF(#REF!,G90,#REF!)</f>
        <v>#REF!</v>
      </c>
      <c r="AA90" s="2" t="str">
        <f t="shared" ca="1" si="236"/>
        <v>프리타임기간중</v>
      </c>
      <c r="AB90" s="2" t="str">
        <f t="shared" ca="1" si="237"/>
        <v/>
      </c>
      <c r="AC90" s="103"/>
      <c r="DE90" s="2">
        <v>30</v>
      </c>
    </row>
    <row r="91" spans="2:109" s="2" customFormat="1" ht="20.100000000000001" customHeight="1">
      <c r="B91" s="81">
        <v>46226</v>
      </c>
      <c r="C91" s="99" t="s">
        <v>828</v>
      </c>
      <c r="D91" s="98"/>
      <c r="E91" s="79"/>
      <c r="F91" s="8" t="s">
        <v>840</v>
      </c>
      <c r="G91" s="8" t="str">
        <f t="shared" ref="G91:G98" si="238">C91&amp;F91</f>
        <v>COHEAR699YN049ESPICY ANCHOVIES 100G*30BAG/CTN</v>
      </c>
      <c r="H91" s="28">
        <v>60</v>
      </c>
      <c r="I91" s="41">
        <f t="shared" ref="I91:I98" si="239">ROUNDUP((H91/V91),0)</f>
        <v>2</v>
      </c>
      <c r="J91" s="29">
        <v>0</v>
      </c>
      <c r="K91" s="29">
        <v>0</v>
      </c>
      <c r="L91" s="41">
        <f t="shared" ref="L91:L98" si="240">ROUNDUP((K91/V91),0)</f>
        <v>0</v>
      </c>
      <c r="M91" s="29">
        <v>0</v>
      </c>
      <c r="N91" s="31">
        <f t="shared" ref="N91:N98" si="241">P91-K91+M91</f>
        <v>60</v>
      </c>
      <c r="O91" s="42">
        <f t="shared" ref="O91:O98" si="242">ROUNDUP((N91/V91),0)</f>
        <v>2</v>
      </c>
      <c r="P91" s="31">
        <f t="shared" ref="P91:P98" si="243">H91-T91</f>
        <v>60</v>
      </c>
      <c r="Q91" s="42">
        <f t="shared" ref="Q91:Q98" si="244">L91+O91</f>
        <v>2</v>
      </c>
      <c r="R91" s="28">
        <v>0</v>
      </c>
      <c r="S91" s="97">
        <f t="shared" si="182"/>
        <v>0</v>
      </c>
      <c r="T91" s="97">
        <f t="shared" ref="T91:T98" si="245">R91+S91+J91+M91</f>
        <v>0</v>
      </c>
      <c r="V91" s="28">
        <v>48</v>
      </c>
      <c r="W91" s="95">
        <f t="shared" ref="W91:W98" si="246">B91+X91</f>
        <v>46246</v>
      </c>
      <c r="X91" s="79">
        <v>20</v>
      </c>
      <c r="Y91" s="79">
        <v>1000</v>
      </c>
      <c r="Z91" s="2" t="e">
        <f>SUMIF(#REF!,G91,#REF!)</f>
        <v>#REF!</v>
      </c>
      <c r="AA91" s="2" t="str">
        <f t="shared" ref="AA91:AA98" ca="1" si="247">IF(W91&gt;TODAY(),"프리타임기간중",Q91*Y91*IF(DATE(YEAR(W91),MONTH(W91),1)&lt;DATE(YEAR($AA$2),MONTH($AA$2),1),DATEDIF($AA$2,$AA$3,"D")+1,DATEDIF(W91,$AA$3+1,"d")))</f>
        <v>프리타임기간중</v>
      </c>
      <c r="AB91" s="2" t="str">
        <f t="shared" ref="AB91:AB98" ca="1" si="248">IFERROR(Z91+AA91,"")</f>
        <v/>
      </c>
      <c r="AC91" s="103"/>
    </row>
    <row r="92" spans="2:109" s="2" customFormat="1" ht="20.100000000000001" customHeight="1">
      <c r="B92" s="81"/>
      <c r="C92" s="99"/>
      <c r="D92" s="98"/>
      <c r="E92" s="79"/>
      <c r="F92" s="8"/>
      <c r="G92" s="8" t="str">
        <f t="shared" si="238"/>
        <v/>
      </c>
      <c r="H92" s="28"/>
      <c r="I92" s="41">
        <f t="shared" si="239"/>
        <v>0</v>
      </c>
      <c r="J92" s="29">
        <v>0</v>
      </c>
      <c r="K92" s="29">
        <v>0</v>
      </c>
      <c r="L92" s="41">
        <f t="shared" si="240"/>
        <v>0</v>
      </c>
      <c r="M92" s="29">
        <v>0</v>
      </c>
      <c r="N92" s="31">
        <f t="shared" si="241"/>
        <v>0</v>
      </c>
      <c r="O92" s="42">
        <f t="shared" si="242"/>
        <v>0</v>
      </c>
      <c r="P92" s="31">
        <f t="shared" si="243"/>
        <v>0</v>
      </c>
      <c r="Q92" s="42">
        <f t="shared" si="244"/>
        <v>0</v>
      </c>
      <c r="R92" s="28">
        <v>0</v>
      </c>
      <c r="S92" s="97">
        <f t="shared" si="182"/>
        <v>0</v>
      </c>
      <c r="T92" s="97">
        <f t="shared" si="245"/>
        <v>0</v>
      </c>
      <c r="V92" s="28">
        <v>100</v>
      </c>
      <c r="W92" s="95">
        <f t="shared" si="246"/>
        <v>20</v>
      </c>
      <c r="X92" s="79">
        <v>20</v>
      </c>
      <c r="Y92" s="79">
        <v>1000</v>
      </c>
      <c r="Z92" s="2" t="e">
        <f>SUMIF(#REF!,G92,#REF!)</f>
        <v>#REF!</v>
      </c>
      <c r="AA92" s="2">
        <f t="shared" ca="1" si="247"/>
        <v>0</v>
      </c>
      <c r="AB92" s="2" t="str">
        <f t="shared" ca="1" si="248"/>
        <v/>
      </c>
      <c r="AC92" s="103"/>
    </row>
    <row r="93" spans="2:109" s="2" customFormat="1" ht="20.100000000000001" customHeight="1">
      <c r="B93" s="81"/>
      <c r="C93" s="99"/>
      <c r="D93" s="98"/>
      <c r="E93" s="79"/>
      <c r="F93" s="8"/>
      <c r="G93" s="8" t="str">
        <f t="shared" si="238"/>
        <v/>
      </c>
      <c r="H93" s="28"/>
      <c r="I93" s="41">
        <f t="shared" si="239"/>
        <v>0</v>
      </c>
      <c r="J93" s="29">
        <v>0</v>
      </c>
      <c r="K93" s="29">
        <v>0</v>
      </c>
      <c r="L93" s="41">
        <f t="shared" si="240"/>
        <v>0</v>
      </c>
      <c r="M93" s="29">
        <v>0</v>
      </c>
      <c r="N93" s="31">
        <f t="shared" si="241"/>
        <v>0</v>
      </c>
      <c r="O93" s="42">
        <f t="shared" si="242"/>
        <v>0</v>
      </c>
      <c r="P93" s="31">
        <f t="shared" si="243"/>
        <v>0</v>
      </c>
      <c r="Q93" s="42">
        <f t="shared" si="244"/>
        <v>0</v>
      </c>
      <c r="R93" s="28">
        <v>0</v>
      </c>
      <c r="S93" s="97">
        <f t="shared" si="182"/>
        <v>0</v>
      </c>
      <c r="T93" s="97">
        <f t="shared" si="245"/>
        <v>0</v>
      </c>
      <c r="V93" s="28">
        <v>100</v>
      </c>
      <c r="W93" s="95">
        <f t="shared" si="246"/>
        <v>20</v>
      </c>
      <c r="X93" s="79">
        <v>20</v>
      </c>
      <c r="Y93" s="79">
        <v>1000</v>
      </c>
      <c r="Z93" s="2" t="e">
        <f>SUMIF(#REF!,G93,#REF!)</f>
        <v>#REF!</v>
      </c>
      <c r="AA93" s="2">
        <f t="shared" ca="1" si="247"/>
        <v>0</v>
      </c>
      <c r="AB93" s="2" t="str">
        <f t="shared" ca="1" si="248"/>
        <v/>
      </c>
      <c r="AC93" s="103"/>
    </row>
    <row r="94" spans="2:109" s="2" customFormat="1" ht="20.100000000000001" customHeight="1">
      <c r="B94" s="81"/>
      <c r="C94" s="99"/>
      <c r="D94" s="98"/>
      <c r="E94" s="79"/>
      <c r="F94" s="8"/>
      <c r="G94" s="8" t="str">
        <f t="shared" si="238"/>
        <v/>
      </c>
      <c r="H94" s="28"/>
      <c r="I94" s="41">
        <f t="shared" si="239"/>
        <v>0</v>
      </c>
      <c r="J94" s="29">
        <v>0</v>
      </c>
      <c r="K94" s="29">
        <v>0</v>
      </c>
      <c r="L94" s="41">
        <f t="shared" si="240"/>
        <v>0</v>
      </c>
      <c r="M94" s="29">
        <v>0</v>
      </c>
      <c r="N94" s="31">
        <f t="shared" si="241"/>
        <v>0</v>
      </c>
      <c r="O94" s="42">
        <f t="shared" si="242"/>
        <v>0</v>
      </c>
      <c r="P94" s="31">
        <f t="shared" si="243"/>
        <v>0</v>
      </c>
      <c r="Q94" s="42">
        <f t="shared" si="244"/>
        <v>0</v>
      </c>
      <c r="R94" s="28">
        <v>0</v>
      </c>
      <c r="S94" s="97">
        <f t="shared" si="182"/>
        <v>0</v>
      </c>
      <c r="T94" s="97">
        <f t="shared" si="245"/>
        <v>0</v>
      </c>
      <c r="V94" s="28">
        <v>100</v>
      </c>
      <c r="W94" s="95">
        <f t="shared" si="246"/>
        <v>20</v>
      </c>
      <c r="X94" s="79">
        <v>20</v>
      </c>
      <c r="Y94" s="79">
        <v>1000</v>
      </c>
      <c r="Z94" s="2" t="e">
        <f>SUMIF(#REF!,G94,#REF!)</f>
        <v>#REF!</v>
      </c>
      <c r="AA94" s="2">
        <f t="shared" ca="1" si="247"/>
        <v>0</v>
      </c>
      <c r="AB94" s="2" t="str">
        <f t="shared" ca="1" si="248"/>
        <v/>
      </c>
      <c r="AC94" s="103"/>
    </row>
    <row r="95" spans="2:109" s="2" customFormat="1" ht="20.100000000000001" customHeight="1">
      <c r="B95" s="81"/>
      <c r="C95" s="99"/>
      <c r="D95" s="98"/>
      <c r="E95" s="79"/>
      <c r="F95" s="8"/>
      <c r="G95" s="8" t="str">
        <f t="shared" si="238"/>
        <v/>
      </c>
      <c r="H95" s="28"/>
      <c r="I95" s="41">
        <f t="shared" si="239"/>
        <v>0</v>
      </c>
      <c r="J95" s="29">
        <v>0</v>
      </c>
      <c r="K95" s="29">
        <v>0</v>
      </c>
      <c r="L95" s="41">
        <f t="shared" si="240"/>
        <v>0</v>
      </c>
      <c r="M95" s="29">
        <v>0</v>
      </c>
      <c r="N95" s="31">
        <f t="shared" si="241"/>
        <v>0</v>
      </c>
      <c r="O95" s="42">
        <f t="shared" si="242"/>
        <v>0</v>
      </c>
      <c r="P95" s="31">
        <f t="shared" si="243"/>
        <v>0</v>
      </c>
      <c r="Q95" s="42">
        <f t="shared" si="244"/>
        <v>0</v>
      </c>
      <c r="R95" s="28">
        <v>0</v>
      </c>
      <c r="S95" s="97">
        <f t="shared" si="182"/>
        <v>0</v>
      </c>
      <c r="T95" s="97">
        <f t="shared" si="245"/>
        <v>0</v>
      </c>
      <c r="V95" s="28">
        <v>100</v>
      </c>
      <c r="W95" s="95">
        <f t="shared" si="246"/>
        <v>20</v>
      </c>
      <c r="X95" s="79">
        <v>20</v>
      </c>
      <c r="Y95" s="79">
        <v>1000</v>
      </c>
      <c r="Z95" s="2" t="e">
        <f>SUMIF(#REF!,G95,#REF!)</f>
        <v>#REF!</v>
      </c>
      <c r="AA95" s="2">
        <f t="shared" ca="1" si="247"/>
        <v>0</v>
      </c>
      <c r="AB95" s="2" t="str">
        <f t="shared" ca="1" si="248"/>
        <v/>
      </c>
      <c r="AC95" s="103"/>
    </row>
    <row r="96" spans="2:109" s="2" customFormat="1" ht="20.100000000000001" customHeight="1">
      <c r="B96" s="81"/>
      <c r="C96" s="99"/>
      <c r="D96" s="98"/>
      <c r="E96" s="79"/>
      <c r="F96" s="8"/>
      <c r="G96" s="8" t="str">
        <f t="shared" si="238"/>
        <v/>
      </c>
      <c r="H96" s="28"/>
      <c r="I96" s="41">
        <f t="shared" si="239"/>
        <v>0</v>
      </c>
      <c r="J96" s="29">
        <v>0</v>
      </c>
      <c r="K96" s="29">
        <v>0</v>
      </c>
      <c r="L96" s="41">
        <f t="shared" si="240"/>
        <v>0</v>
      </c>
      <c r="M96" s="29">
        <v>0</v>
      </c>
      <c r="N96" s="31">
        <f t="shared" si="241"/>
        <v>0</v>
      </c>
      <c r="O96" s="42">
        <f t="shared" si="242"/>
        <v>0</v>
      </c>
      <c r="P96" s="31">
        <f t="shared" si="243"/>
        <v>0</v>
      </c>
      <c r="Q96" s="42">
        <f t="shared" si="244"/>
        <v>0</v>
      </c>
      <c r="R96" s="28">
        <v>0</v>
      </c>
      <c r="S96" s="97">
        <f t="shared" si="182"/>
        <v>0</v>
      </c>
      <c r="T96" s="97">
        <f t="shared" si="245"/>
        <v>0</v>
      </c>
      <c r="V96" s="28">
        <v>100</v>
      </c>
      <c r="W96" s="95">
        <f t="shared" si="246"/>
        <v>20</v>
      </c>
      <c r="X96" s="79">
        <v>20</v>
      </c>
      <c r="Y96" s="79">
        <v>1000</v>
      </c>
      <c r="Z96" s="2" t="e">
        <f>SUMIF(#REF!,G96,#REF!)</f>
        <v>#REF!</v>
      </c>
      <c r="AA96" s="2">
        <f t="shared" ca="1" si="247"/>
        <v>0</v>
      </c>
      <c r="AB96" s="2" t="str">
        <f t="shared" ca="1" si="248"/>
        <v/>
      </c>
      <c r="AC96" s="103"/>
    </row>
    <row r="97" spans="2:29" s="2" customFormat="1" ht="20.100000000000001" customHeight="1">
      <c r="B97" s="81"/>
      <c r="C97" s="99"/>
      <c r="D97" s="98"/>
      <c r="E97" s="79"/>
      <c r="F97" s="8"/>
      <c r="G97" s="8" t="str">
        <f t="shared" si="238"/>
        <v/>
      </c>
      <c r="H97" s="28"/>
      <c r="I97" s="41">
        <f t="shared" si="239"/>
        <v>0</v>
      </c>
      <c r="J97" s="29">
        <v>0</v>
      </c>
      <c r="K97" s="29">
        <v>0</v>
      </c>
      <c r="L97" s="41">
        <f t="shared" si="240"/>
        <v>0</v>
      </c>
      <c r="M97" s="29">
        <v>0</v>
      </c>
      <c r="N97" s="31">
        <f t="shared" si="241"/>
        <v>0</v>
      </c>
      <c r="O97" s="42">
        <f t="shared" si="242"/>
        <v>0</v>
      </c>
      <c r="P97" s="31">
        <f t="shared" si="243"/>
        <v>0</v>
      </c>
      <c r="Q97" s="42">
        <f t="shared" si="244"/>
        <v>0</v>
      </c>
      <c r="R97" s="28">
        <v>0</v>
      </c>
      <c r="S97" s="97">
        <f t="shared" si="182"/>
        <v>0</v>
      </c>
      <c r="T97" s="97">
        <f t="shared" si="245"/>
        <v>0</v>
      </c>
      <c r="V97" s="28">
        <v>100</v>
      </c>
      <c r="W97" s="95">
        <f t="shared" si="246"/>
        <v>20</v>
      </c>
      <c r="X97" s="79">
        <v>20</v>
      </c>
      <c r="Y97" s="79">
        <v>1000</v>
      </c>
      <c r="Z97" s="2" t="e">
        <f>SUMIF(#REF!,G97,#REF!)</f>
        <v>#REF!</v>
      </c>
      <c r="AA97" s="2">
        <f t="shared" ca="1" si="247"/>
        <v>0</v>
      </c>
      <c r="AB97" s="2" t="str">
        <f t="shared" ca="1" si="248"/>
        <v/>
      </c>
      <c r="AC97" s="103"/>
    </row>
    <row r="98" spans="2:29" s="2" customFormat="1" ht="20.100000000000001" customHeight="1">
      <c r="B98" s="81"/>
      <c r="C98" s="99"/>
      <c r="D98" s="98"/>
      <c r="E98" s="79"/>
      <c r="F98" s="8"/>
      <c r="G98" s="8" t="str">
        <f t="shared" si="238"/>
        <v/>
      </c>
      <c r="H98" s="28"/>
      <c r="I98" s="41">
        <f t="shared" si="239"/>
        <v>0</v>
      </c>
      <c r="J98" s="29">
        <v>0</v>
      </c>
      <c r="K98" s="29">
        <v>0</v>
      </c>
      <c r="L98" s="41">
        <f t="shared" si="240"/>
        <v>0</v>
      </c>
      <c r="M98" s="29">
        <v>0</v>
      </c>
      <c r="N98" s="31">
        <f t="shared" si="241"/>
        <v>0</v>
      </c>
      <c r="O98" s="42">
        <f t="shared" si="242"/>
        <v>0</v>
      </c>
      <c r="P98" s="31">
        <f t="shared" si="243"/>
        <v>0</v>
      </c>
      <c r="Q98" s="42">
        <f t="shared" si="244"/>
        <v>0</v>
      </c>
      <c r="R98" s="28">
        <v>0</v>
      </c>
      <c r="S98" s="97">
        <f t="shared" si="182"/>
        <v>0</v>
      </c>
      <c r="T98" s="97">
        <f t="shared" si="245"/>
        <v>0</v>
      </c>
      <c r="V98" s="28">
        <v>100</v>
      </c>
      <c r="W98" s="95">
        <f t="shared" si="246"/>
        <v>20</v>
      </c>
      <c r="X98" s="79">
        <v>20</v>
      </c>
      <c r="Y98" s="79">
        <v>1000</v>
      </c>
      <c r="Z98" s="2" t="e">
        <f>SUMIF(#REF!,G98,#REF!)</f>
        <v>#REF!</v>
      </c>
      <c r="AA98" s="2">
        <f t="shared" ca="1" si="247"/>
        <v>0</v>
      </c>
      <c r="AB98" s="2" t="str">
        <f t="shared" ca="1" si="248"/>
        <v/>
      </c>
      <c r="AC98" s="103"/>
    </row>
    <row r="99" spans="2:29" s="2" customFormat="1" ht="20.100000000000001" customHeight="1">
      <c r="B99" s="81"/>
      <c r="C99" s="99"/>
      <c r="D99" s="98"/>
      <c r="E99" s="79"/>
      <c r="F99" s="8"/>
      <c r="G99" s="8" t="str">
        <f t="shared" ref="G99" si="249">C99&amp;F99</f>
        <v/>
      </c>
      <c r="H99" s="28"/>
      <c r="I99" s="41">
        <f t="shared" ref="I99" si="250">ROUNDUP((H99/V99),0)</f>
        <v>0</v>
      </c>
      <c r="J99" s="29">
        <v>0</v>
      </c>
      <c r="K99" s="29">
        <v>0</v>
      </c>
      <c r="L99" s="41">
        <f t="shared" ref="L99" si="251">ROUNDUP((K99/V99),0)</f>
        <v>0</v>
      </c>
      <c r="M99" s="29">
        <v>0</v>
      </c>
      <c r="N99" s="31">
        <f t="shared" ref="N99" si="252">P99-K99+M99</f>
        <v>0</v>
      </c>
      <c r="O99" s="42">
        <f t="shared" ref="O99" si="253">ROUNDUP((N99/V99),0)</f>
        <v>0</v>
      </c>
      <c r="P99" s="31">
        <f t="shared" ref="P99" si="254">H99-T99</f>
        <v>0</v>
      </c>
      <c r="Q99" s="42">
        <f t="shared" ref="Q99" si="255">L99+O99</f>
        <v>0</v>
      </c>
      <c r="R99" s="28">
        <v>0</v>
      </c>
      <c r="S99" s="97">
        <f t="shared" si="182"/>
        <v>0</v>
      </c>
      <c r="T99" s="97">
        <f t="shared" ref="T99" si="256">R99+S99+J99+M99</f>
        <v>0</v>
      </c>
      <c r="V99" s="28">
        <v>100</v>
      </c>
      <c r="W99" s="95">
        <f t="shared" ref="W99" si="257">B99+X99</f>
        <v>20</v>
      </c>
      <c r="X99" s="79">
        <v>20</v>
      </c>
      <c r="Y99" s="79">
        <v>1000</v>
      </c>
      <c r="Z99" s="2" t="e">
        <f>SUMIF(#REF!,G99,#REF!)</f>
        <v>#REF!</v>
      </c>
      <c r="AA99" s="2">
        <f t="shared" ref="AA99" ca="1" si="258">IF(W99&gt;TODAY(),"프리타임기간중",Q99*Y99*IF(DATE(YEAR(W99),MONTH(W99),1)&lt;DATE(YEAR($AA$2),MONTH($AA$2),1),DATEDIF($AA$2,$AA$3,"D")+1,DATEDIF(W99,$AA$3+1,"d")))</f>
        <v>0</v>
      </c>
      <c r="AB99" s="2" t="str">
        <f t="shared" ref="AB99" ca="1" si="259">IFERROR(Z99+AA99,"")</f>
        <v/>
      </c>
      <c r="AC99" s="103"/>
    </row>
    <row r="100" spans="2:29" s="2" customFormat="1" ht="20.100000000000001" customHeight="1">
      <c r="B100" s="81"/>
      <c r="C100" s="99"/>
      <c r="D100" s="98"/>
      <c r="E100" s="79"/>
      <c r="F100" s="8"/>
      <c r="G100" s="8"/>
      <c r="H100" s="28"/>
      <c r="I100" s="41"/>
      <c r="J100" s="29"/>
      <c r="K100" s="29"/>
      <c r="L100" s="41"/>
      <c r="M100" s="29"/>
      <c r="N100" s="31"/>
      <c r="O100" s="42"/>
      <c r="P100" s="31"/>
      <c r="Q100" s="42"/>
      <c r="R100" s="28"/>
      <c r="S100" s="97"/>
      <c r="T100" s="97"/>
      <c r="U100" s="96"/>
      <c r="V100" s="28"/>
      <c r="W100" s="95"/>
      <c r="X100" s="79"/>
      <c r="Y100" s="79"/>
      <c r="AC100" s="103"/>
    </row>
    <row r="101" spans="2:29" s="1" customFormat="1" ht="15" customHeight="1">
      <c r="B101" s="6"/>
      <c r="C101" s="7"/>
      <c r="D101" s="7"/>
      <c r="E101" s="6"/>
      <c r="F101" s="6"/>
      <c r="G101" s="6"/>
      <c r="H101" s="16"/>
      <c r="I101" s="40"/>
      <c r="J101" s="16"/>
      <c r="K101" s="16"/>
      <c r="L101" s="40"/>
      <c r="M101" s="16"/>
      <c r="N101" s="16"/>
      <c r="O101" s="40"/>
      <c r="P101" s="21"/>
      <c r="Q101" s="22"/>
      <c r="R101" s="16">
        <v>0</v>
      </c>
      <c r="S101" s="30"/>
      <c r="T101" s="30"/>
      <c r="U101" s="94"/>
      <c r="V101" s="21"/>
      <c r="W101" s="7"/>
      <c r="X101" s="7"/>
      <c r="Y101" s="7"/>
      <c r="AC101" s="60"/>
    </row>
    <row r="102" spans="2:29" ht="15" customHeight="1">
      <c r="E102" s="115"/>
      <c r="F102" s="115"/>
      <c r="G102" s="115"/>
      <c r="H102" s="6"/>
    </row>
    <row r="103" spans="2:29" ht="15" customHeight="1">
      <c r="B103" s="104" t="s">
        <v>360</v>
      </c>
      <c r="C103" s="6" t="s">
        <v>141</v>
      </c>
      <c r="D103" s="6" t="s">
        <v>142</v>
      </c>
      <c r="E103" s="6" t="s">
        <v>143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Z103" s="7"/>
      <c r="AA103" s="7"/>
      <c r="AB103" s="7"/>
      <c r="AC103" s="7"/>
    </row>
    <row r="104" spans="2:29">
      <c r="B104" s="168">
        <v>46174</v>
      </c>
      <c r="D104" s="7">
        <v>40</v>
      </c>
      <c r="E104" s="116">
        <v>301</v>
      </c>
      <c r="F104" s="6" t="s">
        <v>424</v>
      </c>
    </row>
    <row r="105" spans="2:29">
      <c r="B105" s="169">
        <v>46175</v>
      </c>
      <c r="D105" s="7">
        <v>42</v>
      </c>
      <c r="E105" s="116">
        <f t="shared" ref="E105:E121" si="260">E104+C105-D105</f>
        <v>259</v>
      </c>
      <c r="F105" s="6" t="s">
        <v>430</v>
      </c>
    </row>
    <row r="106" spans="2:29">
      <c r="B106" s="168">
        <v>46178</v>
      </c>
      <c r="D106" s="7">
        <v>37</v>
      </c>
      <c r="E106" s="116">
        <f t="shared" si="260"/>
        <v>222</v>
      </c>
      <c r="F106" s="6" t="s">
        <v>441</v>
      </c>
    </row>
    <row r="107" spans="2:29">
      <c r="B107" s="168">
        <v>46181</v>
      </c>
      <c r="D107" s="7">
        <v>22</v>
      </c>
      <c r="E107" s="116">
        <f t="shared" si="260"/>
        <v>200</v>
      </c>
      <c r="F107" s="6" t="s">
        <v>459</v>
      </c>
    </row>
    <row r="108" spans="2:29">
      <c r="B108" s="169">
        <v>46195</v>
      </c>
      <c r="D108" s="7">
        <v>40</v>
      </c>
      <c r="E108" s="116">
        <f t="shared" si="260"/>
        <v>160</v>
      </c>
    </row>
    <row r="109" spans="2:29">
      <c r="B109" s="168">
        <v>46196</v>
      </c>
      <c r="D109" s="7">
        <v>20</v>
      </c>
      <c r="E109" s="116">
        <f t="shared" si="260"/>
        <v>140</v>
      </c>
    </row>
    <row r="110" spans="2:29">
      <c r="B110" s="169">
        <v>46197</v>
      </c>
      <c r="D110" s="7">
        <v>50</v>
      </c>
      <c r="E110" s="116">
        <f t="shared" si="260"/>
        <v>90</v>
      </c>
    </row>
    <row r="111" spans="2:29">
      <c r="B111" s="168">
        <v>46198</v>
      </c>
      <c r="D111" s="7">
        <v>43</v>
      </c>
      <c r="E111" s="116">
        <f t="shared" si="260"/>
        <v>47</v>
      </c>
    </row>
    <row r="112" spans="2:29">
      <c r="B112" s="168">
        <v>46209</v>
      </c>
      <c r="C112" s="7">
        <v>200</v>
      </c>
      <c r="E112" s="116">
        <f t="shared" si="260"/>
        <v>247</v>
      </c>
    </row>
    <row r="113" spans="2:5">
      <c r="B113" s="168">
        <v>46209</v>
      </c>
      <c r="D113" s="7">
        <v>40</v>
      </c>
      <c r="E113" s="116">
        <f t="shared" si="260"/>
        <v>207</v>
      </c>
    </row>
    <row r="114" spans="2:5">
      <c r="B114" s="168">
        <v>46212</v>
      </c>
      <c r="D114" s="7">
        <v>36</v>
      </c>
      <c r="E114" s="116">
        <f t="shared" si="260"/>
        <v>171</v>
      </c>
    </row>
    <row r="115" spans="2:5">
      <c r="B115" s="169">
        <v>46213</v>
      </c>
      <c r="D115" s="7">
        <v>83</v>
      </c>
      <c r="E115" s="116">
        <f t="shared" si="260"/>
        <v>88</v>
      </c>
    </row>
    <row r="116" spans="2:5">
      <c r="B116" s="168">
        <v>46216</v>
      </c>
      <c r="D116" s="7">
        <v>40</v>
      </c>
      <c r="E116" s="116">
        <f t="shared" si="260"/>
        <v>48</v>
      </c>
    </row>
    <row r="117" spans="2:5">
      <c r="B117" s="168">
        <v>46218</v>
      </c>
      <c r="D117" s="7">
        <v>52</v>
      </c>
      <c r="E117" s="116">
        <f t="shared" si="260"/>
        <v>-4</v>
      </c>
    </row>
    <row r="118" spans="2:5">
      <c r="B118" s="168">
        <v>46219</v>
      </c>
      <c r="C118" s="7">
        <v>200</v>
      </c>
      <c r="E118" s="116">
        <f t="shared" si="260"/>
        <v>196</v>
      </c>
    </row>
    <row r="119" spans="2:5">
      <c r="B119" s="168">
        <v>46223</v>
      </c>
      <c r="D119" s="7">
        <v>20</v>
      </c>
      <c r="E119" s="116">
        <f t="shared" si="260"/>
        <v>176</v>
      </c>
    </row>
    <row r="120" spans="2:5">
      <c r="B120" s="168">
        <v>46225</v>
      </c>
      <c r="D120" s="7">
        <v>63</v>
      </c>
      <c r="E120" s="116">
        <f t="shared" si="260"/>
        <v>113</v>
      </c>
    </row>
    <row r="121" spans="2:5">
      <c r="B121" s="168">
        <v>46226</v>
      </c>
      <c r="D121" s="7">
        <v>46</v>
      </c>
      <c r="E121" s="116">
        <f t="shared" si="260"/>
        <v>67</v>
      </c>
    </row>
    <row r="130" spans="2:12">
      <c r="B130" s="104" t="s">
        <v>359</v>
      </c>
      <c r="C130" s="6" t="s">
        <v>141</v>
      </c>
      <c r="D130" s="6" t="s">
        <v>142</v>
      </c>
      <c r="E130" s="6" t="s">
        <v>143</v>
      </c>
      <c r="G130" s="16"/>
      <c r="H130" s="40"/>
      <c r="I130" s="16"/>
      <c r="K130" s="40"/>
      <c r="L130" s="16"/>
    </row>
    <row r="131" spans="2:12">
      <c r="B131" s="120">
        <v>46136</v>
      </c>
      <c r="C131" s="7">
        <v>51</v>
      </c>
      <c r="D131" s="6"/>
      <c r="E131" s="116">
        <v>51</v>
      </c>
      <c r="G131" s="16"/>
      <c r="H131" s="40"/>
      <c r="I131" s="16"/>
      <c r="K131" s="40"/>
      <c r="L131" s="16"/>
    </row>
    <row r="132" spans="2:12">
      <c r="B132" s="120">
        <v>46139</v>
      </c>
      <c r="D132" s="6">
        <v>35</v>
      </c>
      <c r="E132" s="116">
        <f t="shared" ref="E132:E138" si="261">E131+C132-D132</f>
        <v>16</v>
      </c>
      <c r="F132" s="6" t="s">
        <v>363</v>
      </c>
      <c r="G132" s="16"/>
      <c r="H132" s="40"/>
      <c r="I132" s="16"/>
      <c r="K132" s="40"/>
      <c r="L132" s="16"/>
    </row>
    <row r="133" spans="2:12">
      <c r="B133" s="120">
        <v>46140</v>
      </c>
      <c r="C133" s="7">
        <v>30</v>
      </c>
      <c r="D133" s="6"/>
      <c r="E133" s="116">
        <f t="shared" si="261"/>
        <v>46</v>
      </c>
      <c r="F133" s="6" t="s">
        <v>364</v>
      </c>
      <c r="G133" s="16"/>
      <c r="H133" s="40"/>
      <c r="I133" s="16"/>
      <c r="K133" s="40"/>
      <c r="L133" s="16"/>
    </row>
    <row r="134" spans="2:12">
      <c r="B134" s="120">
        <v>46141</v>
      </c>
      <c r="D134" s="6">
        <v>30</v>
      </c>
      <c r="E134" s="116">
        <f t="shared" si="261"/>
        <v>16</v>
      </c>
      <c r="G134" s="16"/>
      <c r="H134" s="40"/>
      <c r="I134" s="16"/>
      <c r="K134" s="40"/>
      <c r="L134" s="16"/>
    </row>
    <row r="135" spans="2:12">
      <c r="B135" s="120">
        <v>46174</v>
      </c>
      <c r="C135" s="7">
        <v>30</v>
      </c>
      <c r="D135" s="6"/>
      <c r="E135" s="116">
        <f t="shared" si="261"/>
        <v>46</v>
      </c>
      <c r="F135" s="6" t="s">
        <v>422</v>
      </c>
      <c r="G135" s="16"/>
      <c r="H135" s="40"/>
      <c r="I135" s="16"/>
      <c r="K135" s="40"/>
      <c r="L135" s="16"/>
    </row>
    <row r="136" spans="2:12">
      <c r="B136" s="168">
        <v>46175</v>
      </c>
      <c r="D136" s="7">
        <v>38</v>
      </c>
      <c r="E136" s="116">
        <f t="shared" si="261"/>
        <v>8</v>
      </c>
      <c r="F136" s="6" t="s">
        <v>429</v>
      </c>
    </row>
    <row r="137" spans="2:12">
      <c r="B137" s="168">
        <v>46219</v>
      </c>
      <c r="C137" s="7">
        <v>30</v>
      </c>
      <c r="E137" s="116">
        <f t="shared" si="261"/>
        <v>38</v>
      </c>
      <c r="F137" s="6" t="s">
        <v>766</v>
      </c>
    </row>
    <row r="138" spans="2:12">
      <c r="B138" s="168">
        <v>46223</v>
      </c>
      <c r="D138" s="7">
        <v>37</v>
      </c>
      <c r="E138" s="116">
        <f t="shared" si="261"/>
        <v>1</v>
      </c>
    </row>
  </sheetData>
  <mergeCells count="27">
    <mergeCell ref="G4:G12"/>
    <mergeCell ref="B4:B12"/>
    <mergeCell ref="C4:C12"/>
    <mergeCell ref="D4:D12"/>
    <mergeCell ref="E4:E12"/>
    <mergeCell ref="F4:F12"/>
    <mergeCell ref="S4:S12"/>
    <mergeCell ref="H4:H12"/>
    <mergeCell ref="I4:I12"/>
    <mergeCell ref="J4:J12"/>
    <mergeCell ref="K4:K12"/>
    <mergeCell ref="L4:L12"/>
    <mergeCell ref="M4:M12"/>
    <mergeCell ref="N4:N12"/>
    <mergeCell ref="O4:O12"/>
    <mergeCell ref="P4:P12"/>
    <mergeCell ref="Q4:Q12"/>
    <mergeCell ref="R4:R12"/>
    <mergeCell ref="Z4:Z12"/>
    <mergeCell ref="AA4:AA12"/>
    <mergeCell ref="AB4:AB12"/>
    <mergeCell ref="T4:T12"/>
    <mergeCell ref="U4:U12"/>
    <mergeCell ref="V4:V12"/>
    <mergeCell ref="W4:W12"/>
    <mergeCell ref="X4:X12"/>
    <mergeCell ref="Y4:Y12"/>
  </mergeCells>
  <phoneticPr fontId="2" type="noConversion"/>
  <pageMargins left="0.70866141732283472" right="0.70866141732283472" top="0.74803149606299213" bottom="0.74803149606299213" header="0.31496062992125984" footer="0.31496062992125984"/>
  <pageSetup paperSize="9" orientation="landscape" horizontalDpi="200" verticalDpi="20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07FC8-0D1F-4E23-BC14-0A01D15B5A37}">
  <sheetPr codeName="Sheet10">
    <tabColor rgb="FFC00000"/>
  </sheetPr>
  <dimension ref="A1:AC199"/>
  <sheetViews>
    <sheetView workbookViewId="0">
      <selection activeCell="R26" sqref="R26"/>
    </sheetView>
  </sheetViews>
  <sheetFormatPr defaultRowHeight="16.5"/>
  <cols>
    <col min="1" max="6" width="9" style="1"/>
    <col min="7" max="7" width="9" style="38"/>
    <col min="8" max="8" width="9" style="4"/>
    <col min="9" max="9" width="9" style="38"/>
    <col min="10" max="10" width="9" style="4"/>
    <col min="11" max="11" width="9" style="1"/>
  </cols>
  <sheetData>
    <row r="1" spans="2:29">
      <c r="G1" s="1"/>
      <c r="K1" s="4"/>
      <c r="L1" s="65"/>
      <c r="M1" s="64"/>
      <c r="N1" s="64"/>
      <c r="O1" s="65"/>
      <c r="P1" s="64"/>
      <c r="Q1" s="65"/>
      <c r="R1" s="64"/>
      <c r="S1" s="64"/>
      <c r="T1" s="64"/>
      <c r="V1" s="64"/>
    </row>
    <row r="2" spans="2:29">
      <c r="G2" s="1"/>
      <c r="K2" s="4"/>
      <c r="L2" s="65"/>
      <c r="M2" s="64"/>
      <c r="N2" s="64"/>
      <c r="O2" s="65"/>
      <c r="P2" s="64"/>
      <c r="Q2" s="65"/>
      <c r="R2" s="64"/>
      <c r="S2" s="64"/>
      <c r="T2" s="64"/>
      <c r="V2" s="64"/>
      <c r="Z2" t="s">
        <v>90</v>
      </c>
      <c r="AA2" s="66">
        <v>46204</v>
      </c>
    </row>
    <row r="3" spans="2:29">
      <c r="G3" s="1"/>
      <c r="K3" s="4"/>
      <c r="L3" s="65"/>
      <c r="M3" s="64"/>
      <c r="N3" s="64"/>
      <c r="O3" s="65"/>
      <c r="P3" s="64"/>
      <c r="Q3" s="65"/>
      <c r="R3" s="64"/>
      <c r="S3" s="64"/>
      <c r="T3" s="64"/>
      <c r="V3" s="64"/>
      <c r="Z3" t="s">
        <v>91</v>
      </c>
      <c r="AA3" s="66">
        <v>46234</v>
      </c>
    </row>
    <row r="4" spans="2:29">
      <c r="B4" s="1" t="s">
        <v>72</v>
      </c>
      <c r="C4" s="1" t="s">
        <v>73</v>
      </c>
      <c r="D4" s="1" t="s">
        <v>74</v>
      </c>
      <c r="E4" s="1" t="s">
        <v>880</v>
      </c>
      <c r="F4" s="1" t="s">
        <v>75</v>
      </c>
      <c r="G4" s="1" t="s">
        <v>159</v>
      </c>
      <c r="H4" s="4" t="s">
        <v>160</v>
      </c>
      <c r="I4" s="38" t="s">
        <v>161</v>
      </c>
      <c r="J4" s="4" t="s">
        <v>568</v>
      </c>
      <c r="K4" s="4" t="s">
        <v>162</v>
      </c>
      <c r="L4" s="65" t="s">
        <v>163</v>
      </c>
      <c r="M4" s="64" t="s">
        <v>164</v>
      </c>
      <c r="N4" s="64" t="s">
        <v>165</v>
      </c>
      <c r="O4" s="65" t="s">
        <v>166</v>
      </c>
      <c r="P4" s="64" t="s">
        <v>76</v>
      </c>
      <c r="Q4" s="65" t="s">
        <v>77</v>
      </c>
      <c r="R4" s="64" t="s">
        <v>881</v>
      </c>
      <c r="S4" s="64" t="s">
        <v>78</v>
      </c>
      <c r="T4" s="64" t="s">
        <v>167</v>
      </c>
      <c r="U4" t="s">
        <v>168</v>
      </c>
      <c r="V4" s="64" t="s">
        <v>79</v>
      </c>
      <c r="W4" t="s">
        <v>6</v>
      </c>
      <c r="X4" t="s">
        <v>80</v>
      </c>
      <c r="Y4" t="s">
        <v>81</v>
      </c>
      <c r="Z4" t="s">
        <v>82</v>
      </c>
      <c r="AA4" t="s">
        <v>83</v>
      </c>
      <c r="AB4" t="s">
        <v>84</v>
      </c>
      <c r="AC4" t="s">
        <v>0</v>
      </c>
    </row>
    <row r="5" spans="2:29">
      <c r="G5" s="1"/>
      <c r="K5" s="4"/>
      <c r="L5" s="65"/>
      <c r="M5" s="64"/>
      <c r="N5" s="64"/>
      <c r="O5" s="65"/>
      <c r="P5" s="64"/>
      <c r="Q5" s="65"/>
      <c r="R5" s="64"/>
      <c r="S5" s="64"/>
      <c r="T5" s="64"/>
      <c r="V5" s="64"/>
      <c r="AC5" t="s">
        <v>1</v>
      </c>
    </row>
    <row r="6" spans="2:29">
      <c r="G6" s="1"/>
      <c r="K6" s="4"/>
      <c r="L6" s="65"/>
      <c r="M6" s="64"/>
      <c r="N6" s="64"/>
      <c r="O6" s="65"/>
      <c r="P6" s="64"/>
      <c r="Q6" s="65"/>
      <c r="R6" s="64"/>
      <c r="S6" s="64"/>
      <c r="T6" s="64"/>
      <c r="V6" s="64"/>
      <c r="AC6" t="s">
        <v>2</v>
      </c>
    </row>
    <row r="7" spans="2:29">
      <c r="G7" s="1"/>
      <c r="K7" s="4"/>
      <c r="L7" s="65"/>
      <c r="M7" s="64"/>
      <c r="N7" s="64"/>
      <c r="O7" s="65"/>
      <c r="P7" s="64"/>
      <c r="Q7" s="65"/>
      <c r="R7" s="64"/>
      <c r="S7" s="64"/>
      <c r="T7" s="64"/>
      <c r="V7" s="64"/>
      <c r="AC7" t="s">
        <v>3</v>
      </c>
    </row>
    <row r="8" spans="2:29">
      <c r="G8" s="1"/>
      <c r="K8" s="4"/>
      <c r="L8" s="65"/>
      <c r="M8" s="64"/>
      <c r="N8" s="64"/>
      <c r="O8" s="65"/>
      <c r="P8" s="64"/>
      <c r="Q8" s="65"/>
      <c r="R8" s="64"/>
      <c r="S8" s="64"/>
      <c r="T8" s="64"/>
      <c r="V8" s="64"/>
      <c r="AC8" s="65" t="s">
        <v>4</v>
      </c>
    </row>
    <row r="9" spans="2:29">
      <c r="G9" s="1"/>
      <c r="K9" s="4"/>
      <c r="L9" s="65"/>
      <c r="M9" s="64"/>
      <c r="N9" s="64"/>
      <c r="O9" s="65"/>
      <c r="P9" s="64"/>
      <c r="Q9" s="65"/>
      <c r="R9" s="64"/>
      <c r="S9" s="64"/>
      <c r="T9" s="64"/>
      <c r="V9" s="64"/>
      <c r="AC9" t="s">
        <v>5</v>
      </c>
    </row>
    <row r="10" spans="2:29">
      <c r="G10" s="1"/>
      <c r="K10" s="4"/>
      <c r="L10" s="65"/>
      <c r="M10" s="64"/>
      <c r="N10" s="64"/>
      <c r="O10" s="65"/>
      <c r="P10" s="64"/>
      <c r="Q10" s="65"/>
      <c r="R10" s="64"/>
      <c r="S10" s="64"/>
      <c r="T10" s="64"/>
      <c r="V10" s="64"/>
      <c r="AC10" t="s">
        <v>6</v>
      </c>
    </row>
    <row r="11" spans="2:29">
      <c r="G11" s="1"/>
      <c r="K11" s="4"/>
      <c r="L11" s="65"/>
      <c r="M11" s="64"/>
      <c r="N11" s="64"/>
      <c r="O11" s="65"/>
      <c r="P11" s="64"/>
      <c r="Q11" s="65"/>
      <c r="R11" s="64"/>
      <c r="S11" s="64"/>
      <c r="T11" s="64"/>
      <c r="V11" s="64"/>
      <c r="AC11" t="s">
        <v>7</v>
      </c>
    </row>
    <row r="12" spans="2:29">
      <c r="G12" s="1"/>
      <c r="K12" s="4"/>
      <c r="L12" s="65"/>
      <c r="M12" s="64"/>
      <c r="N12" s="64"/>
      <c r="O12" s="65"/>
      <c r="P12" s="64"/>
      <c r="Q12" s="65"/>
      <c r="R12" s="64"/>
      <c r="S12" s="64"/>
      <c r="T12" s="64"/>
      <c r="V12" s="64"/>
      <c r="AC12" t="s">
        <v>8</v>
      </c>
    </row>
    <row r="13" spans="2:29">
      <c r="B13" s="141">
        <v>46196</v>
      </c>
      <c r="C13" s="1" t="s">
        <v>882</v>
      </c>
      <c r="D13" s="1" t="s">
        <v>883</v>
      </c>
      <c r="F13" s="1" t="s">
        <v>884</v>
      </c>
      <c r="G13" s="1" t="s">
        <v>885</v>
      </c>
      <c r="H13" s="4">
        <v>1630</v>
      </c>
      <c r="I13" s="38">
        <v>17</v>
      </c>
      <c r="J13" s="4">
        <v>0</v>
      </c>
      <c r="K13" s="4">
        <v>0</v>
      </c>
      <c r="L13" s="65">
        <v>0</v>
      </c>
      <c r="M13" s="64">
        <v>0</v>
      </c>
      <c r="N13" s="64">
        <v>0</v>
      </c>
      <c r="O13" s="65">
        <v>0</v>
      </c>
      <c r="P13" s="64">
        <v>0</v>
      </c>
      <c r="Q13" s="65">
        <v>0</v>
      </c>
      <c r="R13" s="64">
        <v>1200</v>
      </c>
      <c r="S13" s="64">
        <v>430</v>
      </c>
      <c r="T13" s="64">
        <v>1630</v>
      </c>
      <c r="V13" s="64">
        <v>100</v>
      </c>
      <c r="W13" s="66">
        <v>46216</v>
      </c>
      <c r="X13">
        <v>20</v>
      </c>
      <c r="Y13">
        <v>1000</v>
      </c>
      <c r="Z13" t="e">
        <v>#REF!</v>
      </c>
      <c r="AA13">
        <v>0</v>
      </c>
      <c r="AB13" t="s">
        <v>169</v>
      </c>
    </row>
    <row r="14" spans="2:29">
      <c r="B14" s="141">
        <v>46196</v>
      </c>
      <c r="C14" s="1" t="s">
        <v>882</v>
      </c>
      <c r="F14" s="1" t="s">
        <v>497</v>
      </c>
      <c r="G14" s="1" t="s">
        <v>886</v>
      </c>
      <c r="H14" s="4">
        <v>200</v>
      </c>
      <c r="I14" s="38">
        <v>2</v>
      </c>
      <c r="J14" s="4">
        <v>0</v>
      </c>
      <c r="K14" s="4">
        <v>0</v>
      </c>
      <c r="L14" s="65">
        <v>0</v>
      </c>
      <c r="M14" s="64">
        <v>0</v>
      </c>
      <c r="N14" s="64">
        <v>0</v>
      </c>
      <c r="O14" s="65">
        <v>0</v>
      </c>
      <c r="P14" s="64">
        <v>0</v>
      </c>
      <c r="Q14" s="65">
        <v>0</v>
      </c>
      <c r="R14" s="64">
        <v>0</v>
      </c>
      <c r="S14" s="64">
        <v>200</v>
      </c>
      <c r="T14" s="64">
        <v>200</v>
      </c>
      <c r="V14" s="64">
        <v>100</v>
      </c>
      <c r="W14" s="66">
        <v>46216</v>
      </c>
      <c r="X14">
        <v>20</v>
      </c>
      <c r="Y14">
        <v>1000</v>
      </c>
      <c r="Z14" t="e">
        <v>#REF!</v>
      </c>
      <c r="AA14">
        <v>0</v>
      </c>
      <c r="AB14" t="s">
        <v>169</v>
      </c>
    </row>
    <row r="15" spans="2:29">
      <c r="B15" s="141">
        <v>46196</v>
      </c>
      <c r="C15" s="1" t="s">
        <v>882</v>
      </c>
      <c r="F15" s="1" t="s">
        <v>498</v>
      </c>
      <c r="G15" s="1" t="s">
        <v>887</v>
      </c>
      <c r="H15" s="4">
        <v>100</v>
      </c>
      <c r="I15" s="38">
        <v>1</v>
      </c>
      <c r="J15" s="4">
        <v>0</v>
      </c>
      <c r="K15" s="4">
        <v>0</v>
      </c>
      <c r="L15" s="65">
        <v>0</v>
      </c>
      <c r="M15" s="64">
        <v>0</v>
      </c>
      <c r="N15" s="64">
        <v>0</v>
      </c>
      <c r="O15" s="65">
        <v>0</v>
      </c>
      <c r="P15" s="64">
        <v>0</v>
      </c>
      <c r="Q15" s="65">
        <v>0</v>
      </c>
      <c r="R15" s="64">
        <v>0</v>
      </c>
      <c r="S15" s="64">
        <v>100</v>
      </c>
      <c r="T15" s="64">
        <v>100</v>
      </c>
      <c r="V15" s="64">
        <v>100</v>
      </c>
      <c r="W15" s="66">
        <v>46216</v>
      </c>
      <c r="X15">
        <v>20</v>
      </c>
      <c r="Y15">
        <v>1000</v>
      </c>
      <c r="Z15" t="e">
        <v>#REF!</v>
      </c>
      <c r="AA15">
        <v>0</v>
      </c>
      <c r="AB15" t="s">
        <v>169</v>
      </c>
    </row>
    <row r="16" spans="2:29">
      <c r="B16" s="141">
        <v>46197</v>
      </c>
      <c r="C16" s="1" t="s">
        <v>888</v>
      </c>
      <c r="F16" s="1" t="s">
        <v>507</v>
      </c>
      <c r="G16" s="1" t="s">
        <v>889</v>
      </c>
      <c r="H16" s="4">
        <v>200</v>
      </c>
      <c r="I16" s="38">
        <v>6</v>
      </c>
      <c r="J16" s="4">
        <v>0</v>
      </c>
      <c r="K16" s="4">
        <v>0</v>
      </c>
      <c r="L16" s="65">
        <v>0</v>
      </c>
      <c r="M16" s="64">
        <v>0</v>
      </c>
      <c r="N16" s="64">
        <v>0</v>
      </c>
      <c r="O16" s="65">
        <v>0</v>
      </c>
      <c r="P16" s="64">
        <v>0</v>
      </c>
      <c r="Q16" s="65">
        <v>0</v>
      </c>
      <c r="R16" s="64">
        <v>200</v>
      </c>
      <c r="S16" s="64">
        <v>0</v>
      </c>
      <c r="T16" s="64">
        <v>200</v>
      </c>
      <c r="V16" s="64">
        <v>36</v>
      </c>
      <c r="W16" s="66">
        <v>46217</v>
      </c>
      <c r="X16">
        <v>20</v>
      </c>
      <c r="Y16">
        <v>1000</v>
      </c>
      <c r="Z16" t="e">
        <v>#REF!</v>
      </c>
      <c r="AA16">
        <v>0</v>
      </c>
      <c r="AB16" t="s">
        <v>169</v>
      </c>
    </row>
    <row r="17" spans="2:28">
      <c r="B17" s="141">
        <v>46197</v>
      </c>
      <c r="C17" s="1" t="s">
        <v>890</v>
      </c>
      <c r="F17" s="1" t="s">
        <v>891</v>
      </c>
      <c r="G17" s="1" t="s">
        <v>892</v>
      </c>
      <c r="H17" s="4">
        <v>100</v>
      </c>
      <c r="I17" s="38">
        <v>4</v>
      </c>
      <c r="J17" s="4">
        <v>0</v>
      </c>
      <c r="K17" s="4">
        <v>0</v>
      </c>
      <c r="L17" s="65">
        <v>0</v>
      </c>
      <c r="M17" s="64">
        <v>0</v>
      </c>
      <c r="N17" s="64">
        <v>0</v>
      </c>
      <c r="O17" s="65">
        <v>0</v>
      </c>
      <c r="P17" s="64">
        <v>0</v>
      </c>
      <c r="Q17" s="65">
        <v>0</v>
      </c>
      <c r="R17" s="64">
        <v>0</v>
      </c>
      <c r="S17" s="64">
        <v>100</v>
      </c>
      <c r="T17" s="64">
        <v>100</v>
      </c>
      <c r="U17" t="s">
        <v>893</v>
      </c>
      <c r="V17" s="64">
        <v>28</v>
      </c>
      <c r="W17" s="66">
        <v>46217</v>
      </c>
      <c r="X17">
        <v>20</v>
      </c>
      <c r="Y17">
        <v>1000</v>
      </c>
      <c r="Z17" t="e">
        <v>#REF!</v>
      </c>
      <c r="AA17">
        <v>0</v>
      </c>
      <c r="AB17" t="s">
        <v>169</v>
      </c>
    </row>
    <row r="18" spans="2:28">
      <c r="B18" s="141">
        <v>46197</v>
      </c>
      <c r="C18" s="1" t="s">
        <v>503</v>
      </c>
      <c r="F18" s="1" t="s">
        <v>508</v>
      </c>
      <c r="G18" s="1" t="s">
        <v>894</v>
      </c>
      <c r="H18" s="4">
        <v>300</v>
      </c>
      <c r="I18" s="38">
        <v>10</v>
      </c>
      <c r="J18" s="4">
        <v>0</v>
      </c>
      <c r="K18" s="4">
        <v>0</v>
      </c>
      <c r="L18" s="65">
        <v>0</v>
      </c>
      <c r="M18" s="64">
        <v>0</v>
      </c>
      <c r="N18" s="64">
        <v>0</v>
      </c>
      <c r="O18" s="65">
        <v>0</v>
      </c>
      <c r="P18" s="64">
        <v>0</v>
      </c>
      <c r="Q18" s="65">
        <v>0</v>
      </c>
      <c r="R18" s="64">
        <v>300</v>
      </c>
      <c r="S18" s="64">
        <v>0</v>
      </c>
      <c r="T18" s="64">
        <v>300</v>
      </c>
      <c r="V18" s="64">
        <v>30</v>
      </c>
      <c r="W18" s="66">
        <v>46217</v>
      </c>
      <c r="X18">
        <v>20</v>
      </c>
      <c r="Y18">
        <v>1000</v>
      </c>
      <c r="Z18" t="e">
        <v>#REF!</v>
      </c>
      <c r="AA18">
        <v>0</v>
      </c>
      <c r="AB18" t="s">
        <v>169</v>
      </c>
    </row>
    <row r="19" spans="2:28">
      <c r="B19" s="141">
        <v>46197</v>
      </c>
      <c r="C19" s="1" t="s">
        <v>503</v>
      </c>
      <c r="F19" s="1" t="s">
        <v>509</v>
      </c>
      <c r="G19" s="1" t="s">
        <v>895</v>
      </c>
      <c r="H19" s="4">
        <v>70</v>
      </c>
      <c r="I19" s="38">
        <v>3</v>
      </c>
      <c r="J19" s="4">
        <v>0</v>
      </c>
      <c r="K19" s="4">
        <v>0</v>
      </c>
      <c r="L19" s="65">
        <v>0</v>
      </c>
      <c r="M19" s="64">
        <v>0</v>
      </c>
      <c r="N19" s="64">
        <v>0</v>
      </c>
      <c r="O19" s="65">
        <v>0</v>
      </c>
      <c r="P19" s="64">
        <v>0</v>
      </c>
      <c r="Q19" s="65">
        <v>0</v>
      </c>
      <c r="R19" s="64">
        <v>70</v>
      </c>
      <c r="S19" s="64">
        <v>0</v>
      </c>
      <c r="T19" s="64">
        <v>70</v>
      </c>
      <c r="V19" s="64">
        <v>30</v>
      </c>
      <c r="W19" s="66">
        <v>46217</v>
      </c>
      <c r="X19">
        <v>20</v>
      </c>
      <c r="Y19">
        <v>1000</v>
      </c>
      <c r="Z19" t="e">
        <v>#REF!</v>
      </c>
      <c r="AA19">
        <v>0</v>
      </c>
      <c r="AB19" t="s">
        <v>169</v>
      </c>
    </row>
    <row r="20" spans="2:28">
      <c r="B20" s="141">
        <v>46197</v>
      </c>
      <c r="C20" s="1" t="s">
        <v>503</v>
      </c>
      <c r="F20" s="1" t="s">
        <v>896</v>
      </c>
      <c r="G20" s="1" t="s">
        <v>897</v>
      </c>
      <c r="H20" s="4">
        <v>50</v>
      </c>
      <c r="I20" s="38">
        <v>2</v>
      </c>
      <c r="J20" s="4">
        <v>0</v>
      </c>
      <c r="K20" s="4">
        <v>0</v>
      </c>
      <c r="L20" s="65">
        <v>0</v>
      </c>
      <c r="M20" s="64">
        <v>0</v>
      </c>
      <c r="N20" s="64">
        <v>0</v>
      </c>
      <c r="O20" s="65">
        <v>0</v>
      </c>
      <c r="P20" s="64">
        <v>0</v>
      </c>
      <c r="Q20" s="65">
        <v>0</v>
      </c>
      <c r="R20" s="64">
        <v>0</v>
      </c>
      <c r="S20" s="64">
        <v>50</v>
      </c>
      <c r="T20" s="64">
        <v>50</v>
      </c>
      <c r="V20" s="64">
        <v>36</v>
      </c>
      <c r="W20" s="66">
        <v>46217</v>
      </c>
      <c r="X20">
        <v>20</v>
      </c>
      <c r="Y20">
        <v>1000</v>
      </c>
      <c r="Z20" t="e">
        <v>#REF!</v>
      </c>
      <c r="AA20">
        <v>0</v>
      </c>
      <c r="AB20" t="s">
        <v>169</v>
      </c>
    </row>
    <row r="21" spans="2:28">
      <c r="B21" s="141">
        <v>46197</v>
      </c>
      <c r="C21" s="1" t="s">
        <v>898</v>
      </c>
      <c r="F21" s="1" t="s">
        <v>510</v>
      </c>
      <c r="G21" s="1" t="s">
        <v>899</v>
      </c>
      <c r="H21" s="4">
        <v>200</v>
      </c>
      <c r="I21" s="38">
        <v>4</v>
      </c>
      <c r="J21" s="4">
        <v>0</v>
      </c>
      <c r="K21" s="4">
        <v>0</v>
      </c>
      <c r="L21" s="65">
        <v>0</v>
      </c>
      <c r="M21" s="64">
        <v>0</v>
      </c>
      <c r="N21" s="64">
        <v>0</v>
      </c>
      <c r="O21" s="65">
        <v>0</v>
      </c>
      <c r="P21" s="64">
        <v>0</v>
      </c>
      <c r="Q21" s="65">
        <v>0</v>
      </c>
      <c r="R21" s="64">
        <v>200</v>
      </c>
      <c r="S21" s="64">
        <v>0</v>
      </c>
      <c r="T21" s="64">
        <v>200</v>
      </c>
      <c r="V21" s="64">
        <v>56</v>
      </c>
      <c r="W21" s="66">
        <v>46217</v>
      </c>
      <c r="X21">
        <v>20</v>
      </c>
      <c r="Y21">
        <v>1000</v>
      </c>
      <c r="Z21" t="e">
        <v>#REF!</v>
      </c>
      <c r="AA21">
        <v>0</v>
      </c>
      <c r="AB21" t="s">
        <v>169</v>
      </c>
    </row>
    <row r="22" spans="2:28">
      <c r="B22" s="141">
        <v>46197</v>
      </c>
      <c r="C22" s="1" t="s">
        <v>504</v>
      </c>
      <c r="F22" s="1" t="s">
        <v>511</v>
      </c>
      <c r="G22" s="1" t="s">
        <v>900</v>
      </c>
      <c r="H22" s="4">
        <v>60</v>
      </c>
      <c r="I22" s="38">
        <v>2</v>
      </c>
      <c r="J22" s="4">
        <v>0</v>
      </c>
      <c r="K22" s="4">
        <v>0</v>
      </c>
      <c r="L22" s="65">
        <v>0</v>
      </c>
      <c r="M22" s="64">
        <v>0</v>
      </c>
      <c r="N22" s="64">
        <v>0</v>
      </c>
      <c r="O22" s="65">
        <v>0</v>
      </c>
      <c r="P22" s="64">
        <v>0</v>
      </c>
      <c r="Q22" s="65">
        <v>0</v>
      </c>
      <c r="R22" s="64">
        <v>60</v>
      </c>
      <c r="S22" s="64">
        <v>0</v>
      </c>
      <c r="T22" s="64">
        <v>60</v>
      </c>
      <c r="V22" s="64">
        <v>48</v>
      </c>
      <c r="W22" s="66">
        <v>46217</v>
      </c>
      <c r="X22">
        <v>20</v>
      </c>
      <c r="Y22">
        <v>1000</v>
      </c>
      <c r="Z22" t="e">
        <v>#REF!</v>
      </c>
      <c r="AA22">
        <v>0</v>
      </c>
      <c r="AB22" t="s">
        <v>169</v>
      </c>
    </row>
    <row r="23" spans="2:28">
      <c r="B23" s="141">
        <v>46197</v>
      </c>
      <c r="C23" s="1" t="s">
        <v>504</v>
      </c>
      <c r="F23" s="1" t="s">
        <v>512</v>
      </c>
      <c r="G23" s="1" t="s">
        <v>901</v>
      </c>
      <c r="H23" s="4">
        <v>60</v>
      </c>
      <c r="I23" s="38">
        <v>2</v>
      </c>
      <c r="J23" s="4">
        <v>0</v>
      </c>
      <c r="K23" s="4">
        <v>0</v>
      </c>
      <c r="L23" s="65">
        <v>0</v>
      </c>
      <c r="M23" s="64">
        <v>0</v>
      </c>
      <c r="N23" s="64">
        <v>0</v>
      </c>
      <c r="O23" s="65">
        <v>0</v>
      </c>
      <c r="P23" s="64">
        <v>0</v>
      </c>
      <c r="Q23" s="65">
        <v>0</v>
      </c>
      <c r="R23" s="64">
        <v>60</v>
      </c>
      <c r="S23" s="64">
        <v>0</v>
      </c>
      <c r="T23" s="64">
        <v>60</v>
      </c>
      <c r="V23" s="64">
        <v>48</v>
      </c>
      <c r="W23" s="66">
        <v>46217</v>
      </c>
      <c r="X23">
        <v>20</v>
      </c>
      <c r="Y23">
        <v>1000</v>
      </c>
      <c r="Z23" t="e">
        <v>#REF!</v>
      </c>
      <c r="AA23">
        <v>0</v>
      </c>
      <c r="AB23" t="s">
        <v>169</v>
      </c>
    </row>
    <row r="24" spans="2:28">
      <c r="B24" s="141">
        <v>46197</v>
      </c>
      <c r="C24" s="1" t="s">
        <v>504</v>
      </c>
      <c r="F24" s="1" t="s">
        <v>513</v>
      </c>
      <c r="G24" s="1" t="s">
        <v>902</v>
      </c>
      <c r="H24" s="4">
        <v>30</v>
      </c>
      <c r="I24" s="38">
        <v>1</v>
      </c>
      <c r="J24" s="4">
        <v>0</v>
      </c>
      <c r="K24" s="4">
        <v>0</v>
      </c>
      <c r="L24" s="65">
        <v>0</v>
      </c>
      <c r="M24" s="64">
        <v>0</v>
      </c>
      <c r="N24" s="64">
        <v>0</v>
      </c>
      <c r="O24" s="65">
        <v>0</v>
      </c>
      <c r="P24" s="64">
        <v>0</v>
      </c>
      <c r="Q24" s="65">
        <v>0</v>
      </c>
      <c r="R24" s="64">
        <v>30</v>
      </c>
      <c r="S24" s="64">
        <v>0</v>
      </c>
      <c r="T24" s="64">
        <v>30</v>
      </c>
      <c r="V24" s="64">
        <v>30</v>
      </c>
      <c r="W24" s="66">
        <v>46217</v>
      </c>
      <c r="X24">
        <v>20</v>
      </c>
      <c r="Y24">
        <v>1000</v>
      </c>
      <c r="Z24" t="e">
        <v>#REF!</v>
      </c>
      <c r="AA24">
        <v>0</v>
      </c>
      <c r="AB24" t="s">
        <v>169</v>
      </c>
    </row>
    <row r="25" spans="2:28">
      <c r="B25" s="141">
        <v>46197</v>
      </c>
      <c r="C25" s="1" t="s">
        <v>903</v>
      </c>
      <c r="F25" s="1" t="s">
        <v>904</v>
      </c>
      <c r="G25" s="1" t="s">
        <v>905</v>
      </c>
      <c r="H25" s="4">
        <v>200</v>
      </c>
      <c r="I25" s="38">
        <v>2</v>
      </c>
      <c r="J25" s="4">
        <v>0</v>
      </c>
      <c r="K25" s="4">
        <v>0</v>
      </c>
      <c r="L25" s="65">
        <v>0</v>
      </c>
      <c r="M25" s="64">
        <v>0</v>
      </c>
      <c r="N25" s="64">
        <v>0</v>
      </c>
      <c r="O25" s="65">
        <v>0</v>
      </c>
      <c r="P25" s="64">
        <v>0</v>
      </c>
      <c r="Q25" s="65">
        <v>0</v>
      </c>
      <c r="R25" s="64">
        <v>0</v>
      </c>
      <c r="S25" s="64">
        <v>200</v>
      </c>
      <c r="T25" s="64">
        <v>200</v>
      </c>
      <c r="V25" s="64">
        <v>104</v>
      </c>
      <c r="W25" s="66">
        <v>46217</v>
      </c>
      <c r="X25">
        <v>20</v>
      </c>
      <c r="Y25">
        <v>1000</v>
      </c>
      <c r="Z25" t="e">
        <v>#REF!</v>
      </c>
      <c r="AA25">
        <v>0</v>
      </c>
      <c r="AB25" t="s">
        <v>169</v>
      </c>
    </row>
    <row r="26" spans="2:28">
      <c r="B26" s="141">
        <v>46197</v>
      </c>
      <c r="C26" s="1" t="s">
        <v>906</v>
      </c>
      <c r="F26" s="1" t="s">
        <v>907</v>
      </c>
      <c r="G26" s="1" t="s">
        <v>908</v>
      </c>
      <c r="H26" s="4">
        <v>30</v>
      </c>
      <c r="I26" s="38">
        <v>1</v>
      </c>
      <c r="J26" s="4">
        <v>0</v>
      </c>
      <c r="K26" s="4">
        <v>0</v>
      </c>
      <c r="L26" s="65">
        <v>0</v>
      </c>
      <c r="M26" s="64">
        <v>0</v>
      </c>
      <c r="N26" s="64">
        <v>30</v>
      </c>
      <c r="O26" s="65">
        <v>1</v>
      </c>
      <c r="P26" s="64">
        <v>30</v>
      </c>
      <c r="Q26" s="65">
        <v>1</v>
      </c>
      <c r="R26" s="64">
        <v>0</v>
      </c>
      <c r="S26" s="64">
        <v>0</v>
      </c>
      <c r="T26" s="64">
        <v>0</v>
      </c>
      <c r="V26" s="64">
        <v>30</v>
      </c>
      <c r="W26" s="66">
        <v>46217</v>
      </c>
      <c r="X26">
        <v>20</v>
      </c>
      <c r="Y26">
        <v>1000</v>
      </c>
      <c r="Z26" t="e">
        <v>#REF!</v>
      </c>
      <c r="AA26">
        <v>18000</v>
      </c>
      <c r="AB26" t="s">
        <v>169</v>
      </c>
    </row>
    <row r="27" spans="2:28">
      <c r="B27" s="141">
        <v>46197</v>
      </c>
      <c r="C27" s="1" t="s">
        <v>505</v>
      </c>
      <c r="F27" s="1" t="s">
        <v>514</v>
      </c>
      <c r="G27" s="1" t="s">
        <v>909</v>
      </c>
      <c r="H27" s="4">
        <v>33</v>
      </c>
      <c r="I27" s="38">
        <v>1</v>
      </c>
      <c r="J27" s="4">
        <v>0</v>
      </c>
      <c r="K27" s="4">
        <v>0</v>
      </c>
      <c r="L27" s="65">
        <v>0</v>
      </c>
      <c r="M27" s="64">
        <v>0</v>
      </c>
      <c r="N27" s="64">
        <v>0</v>
      </c>
      <c r="O27" s="65">
        <v>0</v>
      </c>
      <c r="P27" s="64">
        <v>0</v>
      </c>
      <c r="Q27" s="65">
        <v>0</v>
      </c>
      <c r="R27" s="64">
        <v>0</v>
      </c>
      <c r="S27" s="64">
        <v>33</v>
      </c>
      <c r="T27" s="64">
        <v>33</v>
      </c>
      <c r="V27" s="64">
        <v>33</v>
      </c>
      <c r="W27" s="66">
        <v>46217</v>
      </c>
      <c r="X27">
        <v>20</v>
      </c>
      <c r="Y27">
        <v>1000</v>
      </c>
      <c r="Z27" t="e">
        <v>#REF!</v>
      </c>
      <c r="AA27">
        <v>0</v>
      </c>
      <c r="AB27" t="s">
        <v>169</v>
      </c>
    </row>
    <row r="28" spans="2:28">
      <c r="B28" s="141">
        <v>46197</v>
      </c>
      <c r="C28" s="1" t="s">
        <v>505</v>
      </c>
      <c r="F28" s="1" t="s">
        <v>515</v>
      </c>
      <c r="G28" s="1" t="s">
        <v>910</v>
      </c>
      <c r="H28" s="4">
        <v>65</v>
      </c>
      <c r="I28" s="38">
        <v>1</v>
      </c>
      <c r="J28" s="4">
        <v>0</v>
      </c>
      <c r="K28" s="4">
        <v>0</v>
      </c>
      <c r="L28" s="65">
        <v>0</v>
      </c>
      <c r="M28" s="64">
        <v>0</v>
      </c>
      <c r="N28" s="64">
        <v>0</v>
      </c>
      <c r="O28" s="65">
        <v>0</v>
      </c>
      <c r="P28" s="64">
        <v>0</v>
      </c>
      <c r="Q28" s="65">
        <v>0</v>
      </c>
      <c r="R28" s="64">
        <v>0</v>
      </c>
      <c r="S28" s="64">
        <v>65</v>
      </c>
      <c r="T28" s="64">
        <v>65</v>
      </c>
      <c r="V28" s="64">
        <v>65</v>
      </c>
      <c r="W28" s="66">
        <v>46217</v>
      </c>
      <c r="X28">
        <v>20</v>
      </c>
      <c r="Y28">
        <v>1000</v>
      </c>
      <c r="Z28" t="e">
        <v>#REF!</v>
      </c>
      <c r="AA28">
        <v>0</v>
      </c>
      <c r="AB28" t="s">
        <v>169</v>
      </c>
    </row>
    <row r="29" spans="2:28">
      <c r="B29" s="141">
        <v>46197</v>
      </c>
      <c r="C29" s="1" t="s">
        <v>505</v>
      </c>
      <c r="F29" s="1" t="s">
        <v>516</v>
      </c>
      <c r="G29" s="1" t="s">
        <v>911</v>
      </c>
      <c r="H29" s="4">
        <v>110</v>
      </c>
      <c r="I29" s="38">
        <v>2</v>
      </c>
      <c r="J29" s="4">
        <v>0</v>
      </c>
      <c r="K29" s="4">
        <v>0</v>
      </c>
      <c r="L29" s="65">
        <v>0</v>
      </c>
      <c r="M29" s="64">
        <v>0</v>
      </c>
      <c r="N29" s="64">
        <v>0</v>
      </c>
      <c r="O29" s="65">
        <v>0</v>
      </c>
      <c r="P29" s="64">
        <v>0</v>
      </c>
      <c r="Q29" s="65">
        <v>0</v>
      </c>
      <c r="R29" s="64">
        <v>0</v>
      </c>
      <c r="S29" s="64">
        <v>110</v>
      </c>
      <c r="T29" s="64">
        <v>110</v>
      </c>
      <c r="V29" s="64">
        <v>80</v>
      </c>
      <c r="W29" s="66">
        <v>46217</v>
      </c>
      <c r="X29">
        <v>20</v>
      </c>
      <c r="Y29">
        <v>1000</v>
      </c>
      <c r="Z29" t="e">
        <v>#REF!</v>
      </c>
      <c r="AA29">
        <v>0</v>
      </c>
      <c r="AB29" t="s">
        <v>169</v>
      </c>
    </row>
    <row r="30" spans="2:28">
      <c r="B30" s="141">
        <v>46197</v>
      </c>
      <c r="C30" s="1" t="s">
        <v>505</v>
      </c>
      <c r="F30" s="1" t="s">
        <v>517</v>
      </c>
      <c r="G30" s="1" t="s">
        <v>912</v>
      </c>
      <c r="H30" s="4">
        <v>120</v>
      </c>
      <c r="I30" s="38">
        <v>2</v>
      </c>
      <c r="J30" s="4">
        <v>0</v>
      </c>
      <c r="K30" s="4">
        <v>0</v>
      </c>
      <c r="L30" s="65">
        <v>0</v>
      </c>
      <c r="M30" s="64">
        <v>0</v>
      </c>
      <c r="N30" s="64">
        <v>0</v>
      </c>
      <c r="O30" s="65">
        <v>0</v>
      </c>
      <c r="P30" s="64">
        <v>0</v>
      </c>
      <c r="Q30" s="65">
        <v>0</v>
      </c>
      <c r="R30" s="64">
        <v>0</v>
      </c>
      <c r="S30" s="64">
        <v>120</v>
      </c>
      <c r="T30" s="64">
        <v>120</v>
      </c>
      <c r="V30" s="64">
        <v>80</v>
      </c>
      <c r="W30" s="66">
        <v>46217</v>
      </c>
      <c r="X30">
        <v>20</v>
      </c>
      <c r="Y30">
        <v>1000</v>
      </c>
      <c r="Z30" t="e">
        <v>#REF!</v>
      </c>
      <c r="AA30">
        <v>0</v>
      </c>
      <c r="AB30" t="s">
        <v>169</v>
      </c>
    </row>
    <row r="31" spans="2:28">
      <c r="B31" s="141">
        <v>46197</v>
      </c>
      <c r="C31" s="1" t="s">
        <v>505</v>
      </c>
      <c r="F31" s="1" t="s">
        <v>518</v>
      </c>
      <c r="G31" s="1" t="s">
        <v>913</v>
      </c>
      <c r="H31" s="4">
        <v>73</v>
      </c>
      <c r="I31" s="38">
        <v>1</v>
      </c>
      <c r="J31" s="4">
        <v>0</v>
      </c>
      <c r="K31" s="4">
        <v>0</v>
      </c>
      <c r="L31" s="65">
        <v>0</v>
      </c>
      <c r="M31" s="64">
        <v>0</v>
      </c>
      <c r="N31" s="64">
        <v>0</v>
      </c>
      <c r="O31" s="65">
        <v>0</v>
      </c>
      <c r="P31" s="64">
        <v>0</v>
      </c>
      <c r="Q31" s="65">
        <v>0</v>
      </c>
      <c r="R31" s="64">
        <v>0</v>
      </c>
      <c r="S31" s="64">
        <v>73</v>
      </c>
      <c r="T31" s="64">
        <v>73</v>
      </c>
      <c r="V31" s="64">
        <v>73</v>
      </c>
      <c r="W31" s="66">
        <v>46217</v>
      </c>
      <c r="X31">
        <v>20</v>
      </c>
      <c r="Y31">
        <v>1000</v>
      </c>
      <c r="Z31" t="e">
        <v>#REF!</v>
      </c>
      <c r="AA31">
        <v>0</v>
      </c>
      <c r="AB31" t="s">
        <v>169</v>
      </c>
    </row>
    <row r="32" spans="2:28">
      <c r="B32" s="141">
        <v>46197</v>
      </c>
      <c r="C32" s="1" t="s">
        <v>505</v>
      </c>
      <c r="F32" s="1" t="s">
        <v>519</v>
      </c>
      <c r="G32" s="1" t="s">
        <v>914</v>
      </c>
      <c r="H32" s="4">
        <v>33</v>
      </c>
      <c r="I32" s="38">
        <v>1</v>
      </c>
      <c r="J32" s="4">
        <v>0</v>
      </c>
      <c r="K32" s="4">
        <v>0</v>
      </c>
      <c r="L32" s="65">
        <v>0</v>
      </c>
      <c r="M32" s="64">
        <v>0</v>
      </c>
      <c r="N32" s="64">
        <v>0</v>
      </c>
      <c r="O32" s="65">
        <v>0</v>
      </c>
      <c r="P32" s="64">
        <v>0</v>
      </c>
      <c r="Q32" s="65">
        <v>0</v>
      </c>
      <c r="R32" s="64">
        <v>0</v>
      </c>
      <c r="S32" s="64">
        <v>33</v>
      </c>
      <c r="T32" s="64">
        <v>33</v>
      </c>
      <c r="V32" s="64">
        <v>33</v>
      </c>
      <c r="W32" s="66">
        <v>46217</v>
      </c>
      <c r="X32">
        <v>20</v>
      </c>
      <c r="Y32">
        <v>1000</v>
      </c>
      <c r="Z32" t="e">
        <v>#REF!</v>
      </c>
      <c r="AA32">
        <v>0</v>
      </c>
      <c r="AB32" t="s">
        <v>169</v>
      </c>
    </row>
    <row r="33" spans="2:28">
      <c r="B33" s="141">
        <v>46197</v>
      </c>
      <c r="C33" s="1" t="s">
        <v>505</v>
      </c>
      <c r="F33" s="1" t="s">
        <v>520</v>
      </c>
      <c r="G33" s="1" t="s">
        <v>915</v>
      </c>
      <c r="H33" s="4">
        <v>51</v>
      </c>
      <c r="I33" s="38">
        <v>1</v>
      </c>
      <c r="J33" s="4">
        <v>0</v>
      </c>
      <c r="K33" s="4">
        <v>0</v>
      </c>
      <c r="L33" s="65">
        <v>0</v>
      </c>
      <c r="M33" s="64">
        <v>0</v>
      </c>
      <c r="N33" s="64">
        <v>0</v>
      </c>
      <c r="O33" s="65">
        <v>0</v>
      </c>
      <c r="P33" s="64">
        <v>0</v>
      </c>
      <c r="Q33" s="65">
        <v>0</v>
      </c>
      <c r="R33" s="64">
        <v>0</v>
      </c>
      <c r="S33" s="64">
        <v>51</v>
      </c>
      <c r="T33" s="64">
        <v>51</v>
      </c>
      <c r="V33" s="64">
        <v>51</v>
      </c>
      <c r="W33" s="66">
        <v>46217</v>
      </c>
      <c r="X33">
        <v>20</v>
      </c>
      <c r="Y33">
        <v>1000</v>
      </c>
      <c r="Z33" t="e">
        <v>#REF!</v>
      </c>
      <c r="AA33">
        <v>0</v>
      </c>
      <c r="AB33" t="s">
        <v>169</v>
      </c>
    </row>
    <row r="34" spans="2:28">
      <c r="B34" s="141">
        <v>46197</v>
      </c>
      <c r="C34" s="1" t="s">
        <v>506</v>
      </c>
      <c r="F34" s="1" t="s">
        <v>521</v>
      </c>
      <c r="G34" s="1" t="s">
        <v>916</v>
      </c>
      <c r="H34" s="4">
        <v>20</v>
      </c>
      <c r="I34" s="38">
        <v>1</v>
      </c>
      <c r="J34" s="4">
        <v>0</v>
      </c>
      <c r="K34" s="4">
        <v>0</v>
      </c>
      <c r="L34" s="65">
        <v>0</v>
      </c>
      <c r="M34" s="64">
        <v>0</v>
      </c>
      <c r="N34" s="64">
        <v>0</v>
      </c>
      <c r="O34" s="65">
        <v>0</v>
      </c>
      <c r="P34" s="64">
        <v>0</v>
      </c>
      <c r="Q34" s="65">
        <v>0</v>
      </c>
      <c r="R34" s="64">
        <v>20</v>
      </c>
      <c r="S34" s="64">
        <v>0</v>
      </c>
      <c r="T34" s="64">
        <v>20</v>
      </c>
      <c r="V34" s="64">
        <v>20</v>
      </c>
      <c r="W34" s="66">
        <v>46217</v>
      </c>
      <c r="X34">
        <v>20</v>
      </c>
      <c r="Y34">
        <v>1000</v>
      </c>
      <c r="Z34" t="e">
        <v>#REF!</v>
      </c>
      <c r="AA34">
        <v>0</v>
      </c>
      <c r="AB34" t="s">
        <v>169</v>
      </c>
    </row>
    <row r="35" spans="2:28">
      <c r="B35" s="141">
        <v>46197</v>
      </c>
      <c r="C35" s="1" t="s">
        <v>506</v>
      </c>
      <c r="F35" s="1" t="s">
        <v>522</v>
      </c>
      <c r="G35" s="1" t="s">
        <v>917</v>
      </c>
      <c r="H35" s="4">
        <v>20</v>
      </c>
      <c r="I35" s="38">
        <v>1</v>
      </c>
      <c r="J35" s="4">
        <v>0</v>
      </c>
      <c r="K35" s="4">
        <v>0</v>
      </c>
      <c r="L35" s="65">
        <v>0</v>
      </c>
      <c r="M35" s="64">
        <v>0</v>
      </c>
      <c r="N35" s="64">
        <v>0</v>
      </c>
      <c r="O35" s="65">
        <v>0</v>
      </c>
      <c r="P35" s="64">
        <v>0</v>
      </c>
      <c r="Q35" s="65">
        <v>0</v>
      </c>
      <c r="R35" s="64">
        <v>20</v>
      </c>
      <c r="S35" s="64">
        <v>0</v>
      </c>
      <c r="T35" s="64">
        <v>20</v>
      </c>
      <c r="V35" s="64">
        <v>20</v>
      </c>
      <c r="W35" s="66">
        <v>46217</v>
      </c>
      <c r="X35">
        <v>20</v>
      </c>
      <c r="Y35">
        <v>1000</v>
      </c>
      <c r="Z35" t="e">
        <v>#REF!</v>
      </c>
      <c r="AA35">
        <v>0</v>
      </c>
      <c r="AB35" t="s">
        <v>169</v>
      </c>
    </row>
    <row r="36" spans="2:28">
      <c r="B36" s="141">
        <v>46197</v>
      </c>
      <c r="C36" s="1" t="s">
        <v>918</v>
      </c>
      <c r="F36" s="1" t="s">
        <v>732</v>
      </c>
      <c r="G36" s="1" t="s">
        <v>919</v>
      </c>
      <c r="H36" s="4">
        <v>200</v>
      </c>
      <c r="I36" s="38">
        <v>2</v>
      </c>
      <c r="J36" s="4">
        <v>0</v>
      </c>
      <c r="K36" s="4">
        <v>0</v>
      </c>
      <c r="L36" s="65">
        <v>0</v>
      </c>
      <c r="M36" s="64">
        <v>0</v>
      </c>
      <c r="N36" s="64">
        <v>0</v>
      </c>
      <c r="O36" s="65">
        <v>0</v>
      </c>
      <c r="P36" s="64">
        <v>0</v>
      </c>
      <c r="Q36" s="65">
        <v>0</v>
      </c>
      <c r="R36" s="64">
        <v>0</v>
      </c>
      <c r="S36" s="64">
        <v>200</v>
      </c>
      <c r="T36" s="64">
        <v>200</v>
      </c>
      <c r="V36" s="64">
        <v>120</v>
      </c>
      <c r="W36" s="66">
        <v>46217</v>
      </c>
      <c r="X36">
        <v>20</v>
      </c>
      <c r="Y36">
        <v>1000</v>
      </c>
      <c r="Z36" t="e">
        <v>#REF!</v>
      </c>
      <c r="AA36">
        <v>0</v>
      </c>
      <c r="AB36" t="s">
        <v>169</v>
      </c>
    </row>
    <row r="37" spans="2:28">
      <c r="B37" s="141">
        <v>46209</v>
      </c>
      <c r="C37" s="1" t="s">
        <v>920</v>
      </c>
      <c r="D37" s="1" t="s">
        <v>883</v>
      </c>
      <c r="F37" s="1" t="s">
        <v>817</v>
      </c>
      <c r="G37" s="1" t="s">
        <v>921</v>
      </c>
      <c r="H37" s="4">
        <v>1600</v>
      </c>
      <c r="I37" s="38">
        <v>40</v>
      </c>
      <c r="J37" s="4">
        <v>0</v>
      </c>
      <c r="K37" s="4">
        <v>0</v>
      </c>
      <c r="L37" s="65">
        <v>0</v>
      </c>
      <c r="M37" s="64">
        <v>0</v>
      </c>
      <c r="N37" s="64">
        <v>0</v>
      </c>
      <c r="O37" s="65">
        <v>0</v>
      </c>
      <c r="P37" s="64">
        <v>0</v>
      </c>
      <c r="Q37" s="65">
        <v>0</v>
      </c>
      <c r="R37" s="64">
        <v>0</v>
      </c>
      <c r="S37" s="64">
        <v>1600</v>
      </c>
      <c r="T37" s="64">
        <v>1600</v>
      </c>
      <c r="V37" s="64">
        <v>40</v>
      </c>
      <c r="W37" s="66">
        <v>46229</v>
      </c>
      <c r="X37">
        <v>20</v>
      </c>
      <c r="Y37">
        <v>1000</v>
      </c>
      <c r="Z37" t="e">
        <v>#REF!</v>
      </c>
      <c r="AA37">
        <v>0</v>
      </c>
      <c r="AB37" t="s">
        <v>169</v>
      </c>
    </row>
    <row r="38" spans="2:28">
      <c r="B38" s="141">
        <v>46212</v>
      </c>
      <c r="C38" s="1" t="s">
        <v>662</v>
      </c>
      <c r="D38" s="1" t="s">
        <v>883</v>
      </c>
      <c r="F38" s="1" t="s">
        <v>663</v>
      </c>
      <c r="G38" s="1" t="s">
        <v>922</v>
      </c>
      <c r="H38" s="4">
        <v>266</v>
      </c>
      <c r="I38" s="38">
        <v>8</v>
      </c>
      <c r="J38" s="4">
        <v>0</v>
      </c>
      <c r="K38" s="4">
        <v>0</v>
      </c>
      <c r="L38" s="65">
        <v>0</v>
      </c>
      <c r="M38" s="64">
        <v>0</v>
      </c>
      <c r="N38" s="64">
        <v>0</v>
      </c>
      <c r="O38" s="65">
        <v>0</v>
      </c>
      <c r="P38" s="64">
        <v>0</v>
      </c>
      <c r="Q38" s="65">
        <v>0</v>
      </c>
      <c r="R38" s="64">
        <v>0</v>
      </c>
      <c r="S38" s="64">
        <v>266</v>
      </c>
      <c r="T38" s="64">
        <v>266</v>
      </c>
      <c r="V38" s="64">
        <v>36</v>
      </c>
      <c r="W38" s="66">
        <v>46232</v>
      </c>
      <c r="X38">
        <v>20</v>
      </c>
      <c r="Y38">
        <v>1000</v>
      </c>
      <c r="Z38" t="e">
        <v>#REF!</v>
      </c>
      <c r="AA38">
        <v>0</v>
      </c>
      <c r="AB38" t="s">
        <v>169</v>
      </c>
    </row>
    <row r="39" spans="2:28">
      <c r="B39" s="141">
        <v>46212</v>
      </c>
      <c r="C39" s="1" t="s">
        <v>662</v>
      </c>
      <c r="F39" s="1" t="s">
        <v>923</v>
      </c>
      <c r="G39" s="1" t="s">
        <v>924</v>
      </c>
      <c r="H39" s="4">
        <v>100</v>
      </c>
      <c r="I39" s="38">
        <v>3</v>
      </c>
      <c r="J39" s="4">
        <v>0</v>
      </c>
      <c r="K39" s="4">
        <v>0</v>
      </c>
      <c r="L39" s="65">
        <v>0</v>
      </c>
      <c r="M39" s="64">
        <v>0</v>
      </c>
      <c r="N39" s="64">
        <v>0</v>
      </c>
      <c r="O39" s="65">
        <v>0</v>
      </c>
      <c r="P39" s="64">
        <v>0</v>
      </c>
      <c r="Q39" s="65">
        <v>0</v>
      </c>
      <c r="R39" s="64">
        <v>0</v>
      </c>
      <c r="S39" s="64">
        <v>100</v>
      </c>
      <c r="T39" s="64">
        <v>100</v>
      </c>
      <c r="V39" s="64">
        <v>36</v>
      </c>
      <c r="W39" s="66">
        <v>46232</v>
      </c>
      <c r="X39">
        <v>20</v>
      </c>
      <c r="Y39">
        <v>1000</v>
      </c>
      <c r="Z39" t="e">
        <v>#REF!</v>
      </c>
      <c r="AA39">
        <v>0</v>
      </c>
      <c r="AB39" t="s">
        <v>169</v>
      </c>
    </row>
    <row r="40" spans="2:28">
      <c r="B40" s="141">
        <v>46212</v>
      </c>
      <c r="C40" s="1" t="s">
        <v>662</v>
      </c>
      <c r="F40" s="1" t="s">
        <v>925</v>
      </c>
      <c r="G40" s="1" t="s">
        <v>926</v>
      </c>
      <c r="H40" s="4">
        <v>200</v>
      </c>
      <c r="I40" s="38">
        <v>6</v>
      </c>
      <c r="J40" s="4">
        <v>0</v>
      </c>
      <c r="K40" s="4">
        <v>0</v>
      </c>
      <c r="L40" s="65">
        <v>0</v>
      </c>
      <c r="M40" s="64">
        <v>0</v>
      </c>
      <c r="N40" s="64">
        <v>0</v>
      </c>
      <c r="O40" s="65">
        <v>0</v>
      </c>
      <c r="P40" s="64">
        <v>0</v>
      </c>
      <c r="Q40" s="65">
        <v>0</v>
      </c>
      <c r="R40" s="64">
        <v>0</v>
      </c>
      <c r="S40" s="64">
        <v>200</v>
      </c>
      <c r="T40" s="64">
        <v>200</v>
      </c>
      <c r="V40" s="64">
        <v>36</v>
      </c>
      <c r="W40" s="66">
        <v>46232</v>
      </c>
      <c r="X40">
        <v>20</v>
      </c>
      <c r="Y40">
        <v>1000</v>
      </c>
      <c r="Z40" t="e">
        <v>#REF!</v>
      </c>
      <c r="AA40">
        <v>0</v>
      </c>
      <c r="AB40" t="s">
        <v>169</v>
      </c>
    </row>
    <row r="41" spans="2:28">
      <c r="B41" s="141">
        <v>46212</v>
      </c>
      <c r="C41" s="1" t="s">
        <v>662</v>
      </c>
      <c r="F41" s="1" t="s">
        <v>927</v>
      </c>
      <c r="G41" s="1" t="s">
        <v>928</v>
      </c>
      <c r="H41" s="4">
        <v>360</v>
      </c>
      <c r="I41" s="38">
        <v>9</v>
      </c>
      <c r="J41" s="4">
        <v>0</v>
      </c>
      <c r="K41" s="4">
        <v>0</v>
      </c>
      <c r="L41" s="65">
        <v>0</v>
      </c>
      <c r="M41" s="64">
        <v>0</v>
      </c>
      <c r="N41" s="64">
        <v>0</v>
      </c>
      <c r="O41" s="65">
        <v>0</v>
      </c>
      <c r="P41" s="64">
        <v>0</v>
      </c>
      <c r="Q41" s="65">
        <v>0</v>
      </c>
      <c r="R41" s="64">
        <v>0</v>
      </c>
      <c r="S41" s="64">
        <v>360</v>
      </c>
      <c r="T41" s="64">
        <v>360</v>
      </c>
      <c r="V41" s="64">
        <v>40</v>
      </c>
      <c r="W41" s="66">
        <v>46232</v>
      </c>
      <c r="X41">
        <v>20</v>
      </c>
      <c r="Y41">
        <v>1000</v>
      </c>
      <c r="Z41" t="e">
        <v>#REF!</v>
      </c>
      <c r="AA41">
        <v>0</v>
      </c>
      <c r="AB41" t="s">
        <v>169</v>
      </c>
    </row>
    <row r="42" spans="2:28">
      <c r="B42" s="141">
        <v>46212</v>
      </c>
      <c r="C42" s="1" t="s">
        <v>662</v>
      </c>
      <c r="F42" s="1" t="s">
        <v>929</v>
      </c>
      <c r="G42" s="1" t="s">
        <v>930</v>
      </c>
      <c r="H42" s="4">
        <v>160</v>
      </c>
      <c r="I42" s="38">
        <v>4</v>
      </c>
      <c r="J42" s="4">
        <v>0</v>
      </c>
      <c r="K42" s="4">
        <v>0</v>
      </c>
      <c r="L42" s="65">
        <v>0</v>
      </c>
      <c r="M42" s="64">
        <v>0</v>
      </c>
      <c r="N42" s="64">
        <v>0</v>
      </c>
      <c r="O42" s="65">
        <v>0</v>
      </c>
      <c r="P42" s="64">
        <v>0</v>
      </c>
      <c r="Q42" s="65">
        <v>0</v>
      </c>
      <c r="R42" s="64">
        <v>0</v>
      </c>
      <c r="S42" s="64">
        <v>160</v>
      </c>
      <c r="T42" s="64">
        <v>160</v>
      </c>
      <c r="V42" s="64">
        <v>40</v>
      </c>
      <c r="W42" s="66">
        <v>46232</v>
      </c>
      <c r="X42">
        <v>20</v>
      </c>
      <c r="Y42">
        <v>1000</v>
      </c>
      <c r="Z42" t="e">
        <v>#REF!</v>
      </c>
      <c r="AA42">
        <v>0</v>
      </c>
      <c r="AB42" t="s">
        <v>169</v>
      </c>
    </row>
    <row r="43" spans="2:28">
      <c r="B43" s="141">
        <v>46212</v>
      </c>
      <c r="C43" s="1" t="s">
        <v>662</v>
      </c>
      <c r="F43" s="1" t="s">
        <v>931</v>
      </c>
      <c r="G43" s="1" t="s">
        <v>932</v>
      </c>
      <c r="H43" s="4">
        <v>110</v>
      </c>
      <c r="I43" s="38">
        <v>3</v>
      </c>
      <c r="J43" s="4">
        <v>0</v>
      </c>
      <c r="K43" s="4">
        <v>0</v>
      </c>
      <c r="L43" s="65">
        <v>0</v>
      </c>
      <c r="M43" s="64">
        <v>0</v>
      </c>
      <c r="N43" s="64">
        <v>0</v>
      </c>
      <c r="O43" s="65">
        <v>0</v>
      </c>
      <c r="P43" s="64">
        <v>0</v>
      </c>
      <c r="Q43" s="65">
        <v>0</v>
      </c>
      <c r="R43" s="64">
        <v>0</v>
      </c>
      <c r="S43" s="64">
        <v>110</v>
      </c>
      <c r="T43" s="64">
        <v>110</v>
      </c>
      <c r="V43" s="64">
        <v>40</v>
      </c>
      <c r="W43" s="66">
        <v>46232</v>
      </c>
      <c r="X43">
        <v>20</v>
      </c>
      <c r="Y43">
        <v>1000</v>
      </c>
      <c r="Z43" t="e">
        <v>#REF!</v>
      </c>
      <c r="AA43">
        <v>0</v>
      </c>
      <c r="AB43" t="s">
        <v>169</v>
      </c>
    </row>
    <row r="44" spans="2:28">
      <c r="B44" s="141">
        <v>46212</v>
      </c>
      <c r="C44" s="1" t="s">
        <v>662</v>
      </c>
      <c r="F44" s="1" t="s">
        <v>664</v>
      </c>
      <c r="G44" s="1" t="s">
        <v>933</v>
      </c>
      <c r="H44" s="4">
        <v>100</v>
      </c>
      <c r="I44" s="38">
        <v>3</v>
      </c>
      <c r="J44" s="4">
        <v>0</v>
      </c>
      <c r="K44" s="4">
        <v>0</v>
      </c>
      <c r="L44" s="65">
        <v>0</v>
      </c>
      <c r="M44" s="64">
        <v>0</v>
      </c>
      <c r="N44" s="64">
        <v>0</v>
      </c>
      <c r="O44" s="65">
        <v>0</v>
      </c>
      <c r="P44" s="64">
        <v>0</v>
      </c>
      <c r="Q44" s="65">
        <v>0</v>
      </c>
      <c r="R44" s="64">
        <v>0</v>
      </c>
      <c r="S44" s="64">
        <v>100</v>
      </c>
      <c r="T44" s="64">
        <v>100</v>
      </c>
      <c r="V44" s="64">
        <v>40</v>
      </c>
      <c r="W44" s="66">
        <v>46232</v>
      </c>
      <c r="X44">
        <v>20</v>
      </c>
      <c r="Y44">
        <v>1000</v>
      </c>
      <c r="Z44" t="e">
        <v>#REF!</v>
      </c>
      <c r="AA44">
        <v>0</v>
      </c>
      <c r="AB44" t="s">
        <v>169</v>
      </c>
    </row>
    <row r="45" spans="2:28">
      <c r="B45" s="141">
        <v>46213</v>
      </c>
      <c r="C45" s="1" t="s">
        <v>878</v>
      </c>
      <c r="F45" s="1" t="s">
        <v>934</v>
      </c>
      <c r="G45" s="1" t="s">
        <v>935</v>
      </c>
      <c r="H45" s="4">
        <v>300</v>
      </c>
      <c r="I45" s="38">
        <v>8</v>
      </c>
      <c r="J45" s="4">
        <v>0</v>
      </c>
      <c r="K45" s="4">
        <v>0</v>
      </c>
      <c r="L45" s="65">
        <v>0</v>
      </c>
      <c r="M45" s="64">
        <v>0</v>
      </c>
      <c r="N45" s="64">
        <v>0</v>
      </c>
      <c r="O45" s="65">
        <v>0</v>
      </c>
      <c r="P45" s="64">
        <v>0</v>
      </c>
      <c r="Q45" s="65">
        <v>0</v>
      </c>
      <c r="R45" s="64">
        <v>0</v>
      </c>
      <c r="S45" s="64">
        <v>300</v>
      </c>
      <c r="T45" s="64">
        <v>300</v>
      </c>
      <c r="V45" s="64">
        <v>40</v>
      </c>
      <c r="W45" s="66">
        <v>46233</v>
      </c>
      <c r="X45">
        <v>20</v>
      </c>
      <c r="Y45">
        <v>1000</v>
      </c>
      <c r="Z45" t="e">
        <v>#REF!</v>
      </c>
      <c r="AA45">
        <v>0</v>
      </c>
      <c r="AB45" t="s">
        <v>169</v>
      </c>
    </row>
    <row r="46" spans="2:28">
      <c r="B46" s="141">
        <v>46213</v>
      </c>
      <c r="C46" s="1" t="s">
        <v>878</v>
      </c>
      <c r="F46" s="1" t="s">
        <v>817</v>
      </c>
      <c r="G46" s="1" t="s">
        <v>936</v>
      </c>
      <c r="H46" s="4">
        <v>1250</v>
      </c>
      <c r="I46" s="38">
        <v>32</v>
      </c>
      <c r="J46" s="4">
        <v>0</v>
      </c>
      <c r="K46" s="4">
        <v>0</v>
      </c>
      <c r="L46" s="65">
        <v>0</v>
      </c>
      <c r="M46" s="64">
        <v>0</v>
      </c>
      <c r="N46" s="64">
        <v>200</v>
      </c>
      <c r="O46" s="65">
        <v>5</v>
      </c>
      <c r="P46" s="64">
        <v>200</v>
      </c>
      <c r="Q46" s="65">
        <v>5</v>
      </c>
      <c r="R46" s="64">
        <v>0</v>
      </c>
      <c r="S46" s="64">
        <v>1050</v>
      </c>
      <c r="T46" s="64">
        <v>1050</v>
      </c>
      <c r="V46" s="64">
        <v>40</v>
      </c>
      <c r="W46" s="66">
        <v>46233</v>
      </c>
      <c r="X46">
        <v>20</v>
      </c>
      <c r="Y46">
        <v>1000</v>
      </c>
      <c r="Z46" t="e">
        <v>#REF!</v>
      </c>
      <c r="AA46">
        <v>10000</v>
      </c>
      <c r="AB46" t="s">
        <v>169</v>
      </c>
    </row>
    <row r="47" spans="2:28">
      <c r="B47" s="141">
        <v>46213</v>
      </c>
      <c r="C47" s="1" t="s">
        <v>879</v>
      </c>
      <c r="F47" s="1" t="s">
        <v>937</v>
      </c>
      <c r="G47" s="1" t="s">
        <v>938</v>
      </c>
      <c r="H47" s="4">
        <v>560</v>
      </c>
      <c r="I47" s="38">
        <v>12</v>
      </c>
      <c r="J47" s="4">
        <v>0</v>
      </c>
      <c r="K47" s="4">
        <v>0</v>
      </c>
      <c r="L47" s="65">
        <v>0</v>
      </c>
      <c r="M47" s="64">
        <v>0</v>
      </c>
      <c r="N47" s="64">
        <v>0</v>
      </c>
      <c r="O47" s="65">
        <v>0</v>
      </c>
      <c r="P47" s="64">
        <v>0</v>
      </c>
      <c r="Q47" s="65">
        <v>0</v>
      </c>
      <c r="R47" s="64">
        <v>0</v>
      </c>
      <c r="S47" s="64">
        <v>560</v>
      </c>
      <c r="T47" s="64">
        <v>560</v>
      </c>
      <c r="V47" s="64">
        <v>48</v>
      </c>
      <c r="W47" s="66">
        <v>46233</v>
      </c>
      <c r="X47">
        <v>20</v>
      </c>
      <c r="Y47">
        <v>1000</v>
      </c>
      <c r="Z47" t="e">
        <v>#REF!</v>
      </c>
      <c r="AA47">
        <v>0</v>
      </c>
      <c r="AB47" t="s">
        <v>169</v>
      </c>
    </row>
    <row r="48" spans="2:28">
      <c r="B48" s="141">
        <v>46213</v>
      </c>
      <c r="C48" s="1" t="s">
        <v>879</v>
      </c>
      <c r="F48" s="1" t="s">
        <v>939</v>
      </c>
      <c r="G48" s="1" t="s">
        <v>940</v>
      </c>
      <c r="H48" s="4">
        <v>100</v>
      </c>
      <c r="I48" s="38">
        <v>3</v>
      </c>
      <c r="J48" s="4">
        <v>0</v>
      </c>
      <c r="K48" s="4">
        <v>0</v>
      </c>
      <c r="L48" s="65">
        <v>0</v>
      </c>
      <c r="M48" s="64">
        <v>0</v>
      </c>
      <c r="N48" s="64">
        <v>0</v>
      </c>
      <c r="O48" s="65">
        <v>0</v>
      </c>
      <c r="P48" s="64">
        <v>0</v>
      </c>
      <c r="Q48" s="65">
        <v>0</v>
      </c>
      <c r="R48" s="64">
        <v>0</v>
      </c>
      <c r="S48" s="64">
        <v>100</v>
      </c>
      <c r="T48" s="64">
        <v>100</v>
      </c>
      <c r="V48" s="64">
        <v>42</v>
      </c>
      <c r="W48" s="66">
        <v>46233</v>
      </c>
      <c r="X48">
        <v>20</v>
      </c>
      <c r="Y48">
        <v>1000</v>
      </c>
      <c r="Z48" t="e">
        <v>#REF!</v>
      </c>
      <c r="AA48">
        <v>0</v>
      </c>
      <c r="AB48" t="s">
        <v>169</v>
      </c>
    </row>
    <row r="49" spans="2:28">
      <c r="B49" s="141">
        <v>46213</v>
      </c>
      <c r="C49" s="1" t="s">
        <v>879</v>
      </c>
      <c r="F49" s="1" t="s">
        <v>817</v>
      </c>
      <c r="G49" s="1" t="s">
        <v>941</v>
      </c>
      <c r="H49" s="4">
        <v>1120</v>
      </c>
      <c r="I49" s="38">
        <v>28</v>
      </c>
      <c r="J49" s="4">
        <v>0</v>
      </c>
      <c r="K49" s="4">
        <v>0</v>
      </c>
      <c r="L49" s="65">
        <v>0</v>
      </c>
      <c r="M49" s="64">
        <v>0</v>
      </c>
      <c r="N49" s="64">
        <v>160</v>
      </c>
      <c r="O49" s="65">
        <v>4</v>
      </c>
      <c r="P49" s="64">
        <v>160</v>
      </c>
      <c r="Q49" s="65">
        <v>4</v>
      </c>
      <c r="R49" s="64">
        <v>0</v>
      </c>
      <c r="S49" s="64">
        <v>960</v>
      </c>
      <c r="T49" s="64">
        <v>960</v>
      </c>
      <c r="V49" s="64">
        <v>40</v>
      </c>
      <c r="W49" s="66">
        <v>46233</v>
      </c>
      <c r="X49">
        <v>20</v>
      </c>
      <c r="Y49">
        <v>1000</v>
      </c>
      <c r="Z49" t="e">
        <v>#REF!</v>
      </c>
      <c r="AA49">
        <v>8000</v>
      </c>
      <c r="AB49" t="s">
        <v>169</v>
      </c>
    </row>
    <row r="50" spans="2:28">
      <c r="B50" s="141">
        <v>46216</v>
      </c>
      <c r="C50" s="1" t="s">
        <v>942</v>
      </c>
      <c r="F50" s="1" t="s">
        <v>817</v>
      </c>
      <c r="G50" s="1" t="s">
        <v>943</v>
      </c>
      <c r="H50" s="4">
        <v>1600</v>
      </c>
      <c r="I50" s="38">
        <v>40</v>
      </c>
      <c r="J50" s="4">
        <v>0</v>
      </c>
      <c r="K50" s="4">
        <v>0</v>
      </c>
      <c r="L50" s="65">
        <v>0</v>
      </c>
      <c r="M50" s="64">
        <v>0</v>
      </c>
      <c r="N50" s="64">
        <v>1600</v>
      </c>
      <c r="O50" s="65">
        <v>40</v>
      </c>
      <c r="P50" s="64">
        <v>1600</v>
      </c>
      <c r="Q50" s="65">
        <v>40</v>
      </c>
      <c r="R50" s="64">
        <v>0</v>
      </c>
      <c r="S50" s="64">
        <v>0</v>
      </c>
      <c r="T50" s="64">
        <v>0</v>
      </c>
      <c r="V50" s="64">
        <v>40</v>
      </c>
      <c r="W50" s="66">
        <v>46236</v>
      </c>
      <c r="X50">
        <v>20</v>
      </c>
      <c r="Y50">
        <v>1000</v>
      </c>
      <c r="Z50" t="e">
        <v>#REF!</v>
      </c>
      <c r="AA50" t="s">
        <v>944</v>
      </c>
      <c r="AB50" t="s">
        <v>169</v>
      </c>
    </row>
    <row r="51" spans="2:28">
      <c r="B51" s="141">
        <v>46218</v>
      </c>
      <c r="C51" s="1" t="s">
        <v>725</v>
      </c>
      <c r="F51" s="1" t="s">
        <v>945</v>
      </c>
      <c r="G51" s="1" t="s">
        <v>946</v>
      </c>
      <c r="H51" s="4">
        <v>250</v>
      </c>
      <c r="I51" s="38">
        <v>9</v>
      </c>
      <c r="J51" s="4">
        <v>0</v>
      </c>
      <c r="K51" s="4">
        <v>0</v>
      </c>
      <c r="L51" s="65">
        <v>0</v>
      </c>
      <c r="M51" s="64">
        <v>0</v>
      </c>
      <c r="N51" s="64">
        <v>0</v>
      </c>
      <c r="O51" s="65">
        <v>0</v>
      </c>
      <c r="P51" s="64">
        <v>0</v>
      </c>
      <c r="Q51" s="65">
        <v>0</v>
      </c>
      <c r="R51" s="64">
        <v>0</v>
      </c>
      <c r="S51" s="64">
        <v>250</v>
      </c>
      <c r="T51" s="64">
        <v>250</v>
      </c>
      <c r="V51" s="64">
        <v>28</v>
      </c>
      <c r="W51" s="66">
        <v>46238</v>
      </c>
      <c r="X51">
        <v>20</v>
      </c>
      <c r="Y51">
        <v>1000</v>
      </c>
      <c r="Z51" t="e">
        <v>#REF!</v>
      </c>
      <c r="AA51" t="s">
        <v>944</v>
      </c>
      <c r="AB51" t="s">
        <v>169</v>
      </c>
    </row>
    <row r="52" spans="2:28">
      <c r="B52" s="141">
        <v>46218</v>
      </c>
      <c r="C52" s="1" t="s">
        <v>725</v>
      </c>
      <c r="F52" s="1" t="s">
        <v>729</v>
      </c>
      <c r="G52" s="1" t="s">
        <v>947</v>
      </c>
      <c r="H52" s="4">
        <v>250</v>
      </c>
      <c r="I52" s="38">
        <v>9</v>
      </c>
      <c r="J52" s="4">
        <v>0</v>
      </c>
      <c r="K52" s="4">
        <v>0</v>
      </c>
      <c r="L52" s="65">
        <v>0</v>
      </c>
      <c r="M52" s="64">
        <v>0</v>
      </c>
      <c r="N52" s="64">
        <v>0</v>
      </c>
      <c r="O52" s="65">
        <v>0</v>
      </c>
      <c r="P52" s="64">
        <v>0</v>
      </c>
      <c r="Q52" s="65">
        <v>0</v>
      </c>
      <c r="R52" s="64">
        <v>0</v>
      </c>
      <c r="S52" s="64">
        <v>250</v>
      </c>
      <c r="T52" s="64">
        <v>250</v>
      </c>
      <c r="V52" s="64">
        <v>28</v>
      </c>
      <c r="W52" s="66">
        <v>46238</v>
      </c>
      <c r="X52">
        <v>20</v>
      </c>
      <c r="Y52">
        <v>1000</v>
      </c>
      <c r="Z52" t="e">
        <v>#REF!</v>
      </c>
      <c r="AA52" t="s">
        <v>944</v>
      </c>
      <c r="AB52" t="s">
        <v>169</v>
      </c>
    </row>
    <row r="53" spans="2:28">
      <c r="B53" s="141">
        <v>46218</v>
      </c>
      <c r="C53" s="1" t="s">
        <v>726</v>
      </c>
      <c r="F53" s="1" t="s">
        <v>948</v>
      </c>
      <c r="G53" s="1" t="s">
        <v>949</v>
      </c>
      <c r="H53" s="4">
        <v>200</v>
      </c>
      <c r="I53" s="38">
        <v>5</v>
      </c>
      <c r="J53" s="4">
        <v>0</v>
      </c>
      <c r="K53" s="4">
        <v>0</v>
      </c>
      <c r="L53" s="65">
        <v>0</v>
      </c>
      <c r="M53" s="64">
        <v>0</v>
      </c>
      <c r="N53" s="64">
        <v>200</v>
      </c>
      <c r="O53" s="65">
        <v>5</v>
      </c>
      <c r="P53" s="64">
        <v>200</v>
      </c>
      <c r="Q53" s="65">
        <v>5</v>
      </c>
      <c r="R53" s="64">
        <v>0</v>
      </c>
      <c r="S53" s="64">
        <v>0</v>
      </c>
      <c r="T53" s="64">
        <v>0</v>
      </c>
      <c r="V53" s="64">
        <v>40</v>
      </c>
      <c r="W53" s="66">
        <v>46238</v>
      </c>
      <c r="X53">
        <v>20</v>
      </c>
      <c r="Y53">
        <v>1000</v>
      </c>
      <c r="Z53" t="e">
        <v>#REF!</v>
      </c>
      <c r="AA53" t="s">
        <v>944</v>
      </c>
      <c r="AB53" t="s">
        <v>169</v>
      </c>
    </row>
    <row r="54" spans="2:28">
      <c r="B54" s="141">
        <v>46218</v>
      </c>
      <c r="C54" s="1" t="s">
        <v>727</v>
      </c>
      <c r="F54" s="1" t="s">
        <v>730</v>
      </c>
      <c r="G54" s="1" t="s">
        <v>950</v>
      </c>
      <c r="H54" s="4">
        <v>50</v>
      </c>
      <c r="I54" s="38">
        <v>1</v>
      </c>
      <c r="J54" s="4">
        <v>0</v>
      </c>
      <c r="K54" s="4">
        <v>0</v>
      </c>
      <c r="L54" s="65">
        <v>0</v>
      </c>
      <c r="M54" s="64">
        <v>0</v>
      </c>
      <c r="N54" s="64">
        <v>0</v>
      </c>
      <c r="O54" s="65">
        <v>0</v>
      </c>
      <c r="P54" s="64">
        <v>0</v>
      </c>
      <c r="Q54" s="65">
        <v>0</v>
      </c>
      <c r="R54" s="64">
        <v>0</v>
      </c>
      <c r="S54" s="64">
        <v>50</v>
      </c>
      <c r="T54" s="64">
        <v>50</v>
      </c>
      <c r="V54" s="64">
        <v>50</v>
      </c>
      <c r="W54" s="66">
        <v>46238</v>
      </c>
      <c r="X54">
        <v>20</v>
      </c>
      <c r="Y54">
        <v>1000</v>
      </c>
      <c r="Z54" t="e">
        <v>#REF!</v>
      </c>
      <c r="AA54" t="s">
        <v>944</v>
      </c>
      <c r="AB54" t="s">
        <v>169</v>
      </c>
    </row>
    <row r="55" spans="2:28">
      <c r="B55" s="141">
        <v>46218</v>
      </c>
      <c r="C55" s="1" t="s">
        <v>727</v>
      </c>
      <c r="F55" s="1" t="s">
        <v>731</v>
      </c>
      <c r="G55" s="1" t="s">
        <v>951</v>
      </c>
      <c r="H55" s="4">
        <v>50</v>
      </c>
      <c r="I55" s="38">
        <v>1</v>
      </c>
      <c r="J55" s="4">
        <v>0</v>
      </c>
      <c r="K55" s="4">
        <v>0</v>
      </c>
      <c r="L55" s="65">
        <v>0</v>
      </c>
      <c r="M55" s="64">
        <v>0</v>
      </c>
      <c r="N55" s="64">
        <v>0</v>
      </c>
      <c r="O55" s="65">
        <v>0</v>
      </c>
      <c r="P55" s="64">
        <v>0</v>
      </c>
      <c r="Q55" s="65">
        <v>0</v>
      </c>
      <c r="R55" s="64">
        <v>0</v>
      </c>
      <c r="S55" s="64">
        <v>50</v>
      </c>
      <c r="T55" s="64">
        <v>50</v>
      </c>
      <c r="V55" s="64">
        <v>50</v>
      </c>
      <c r="W55" s="66">
        <v>46238</v>
      </c>
      <c r="X55">
        <v>20</v>
      </c>
      <c r="Y55">
        <v>1000</v>
      </c>
      <c r="Z55" t="e">
        <v>#REF!</v>
      </c>
      <c r="AA55" t="s">
        <v>944</v>
      </c>
      <c r="AB55" t="s">
        <v>169</v>
      </c>
    </row>
    <row r="56" spans="2:28">
      <c r="B56" s="141">
        <v>46218</v>
      </c>
      <c r="C56" s="1" t="s">
        <v>952</v>
      </c>
      <c r="F56" s="1" t="s">
        <v>953</v>
      </c>
      <c r="G56" s="1" t="s">
        <v>954</v>
      </c>
      <c r="H56" s="4">
        <v>150</v>
      </c>
      <c r="I56" s="38">
        <v>2</v>
      </c>
      <c r="J56" s="4">
        <v>0</v>
      </c>
      <c r="K56" s="4">
        <v>0</v>
      </c>
      <c r="L56" s="65">
        <v>0</v>
      </c>
      <c r="M56" s="64">
        <v>0</v>
      </c>
      <c r="N56" s="64">
        <v>0</v>
      </c>
      <c r="O56" s="65">
        <v>0</v>
      </c>
      <c r="P56" s="64">
        <v>0</v>
      </c>
      <c r="Q56" s="65">
        <v>0</v>
      </c>
      <c r="R56" s="64">
        <v>0</v>
      </c>
      <c r="S56" s="64">
        <v>150</v>
      </c>
      <c r="T56" s="64">
        <v>150</v>
      </c>
      <c r="V56" s="64">
        <v>84</v>
      </c>
      <c r="W56" s="66">
        <v>46238</v>
      </c>
      <c r="X56">
        <v>20</v>
      </c>
      <c r="Y56">
        <v>1000</v>
      </c>
      <c r="Z56" t="e">
        <v>#REF!</v>
      </c>
      <c r="AA56" t="s">
        <v>944</v>
      </c>
      <c r="AB56" t="s">
        <v>169</v>
      </c>
    </row>
    <row r="57" spans="2:28">
      <c r="B57" s="141">
        <v>46218</v>
      </c>
      <c r="C57" s="1" t="s">
        <v>952</v>
      </c>
      <c r="F57" s="1" t="s">
        <v>955</v>
      </c>
      <c r="G57" s="1" t="s">
        <v>956</v>
      </c>
      <c r="H57" s="4">
        <v>100</v>
      </c>
      <c r="I57" s="38">
        <v>1</v>
      </c>
      <c r="J57" s="4">
        <v>0</v>
      </c>
      <c r="K57" s="4">
        <v>0</v>
      </c>
      <c r="L57" s="65">
        <v>0</v>
      </c>
      <c r="M57" s="64">
        <v>0</v>
      </c>
      <c r="N57" s="64">
        <v>0</v>
      </c>
      <c r="O57" s="65">
        <v>0</v>
      </c>
      <c r="P57" s="64">
        <v>0</v>
      </c>
      <c r="Q57" s="65">
        <v>0</v>
      </c>
      <c r="R57" s="64">
        <v>0</v>
      </c>
      <c r="S57" s="64">
        <v>100</v>
      </c>
      <c r="T57" s="64">
        <v>100</v>
      </c>
      <c r="V57" s="64">
        <v>100</v>
      </c>
      <c r="W57" s="66">
        <v>46238</v>
      </c>
      <c r="X57">
        <v>20</v>
      </c>
      <c r="Y57">
        <v>1000</v>
      </c>
      <c r="Z57" t="e">
        <v>#REF!</v>
      </c>
      <c r="AA57" t="s">
        <v>944</v>
      </c>
      <c r="AB57" t="s">
        <v>169</v>
      </c>
    </row>
    <row r="58" spans="2:28">
      <c r="B58" s="141">
        <v>46218</v>
      </c>
      <c r="C58" s="1" t="s">
        <v>957</v>
      </c>
      <c r="F58" s="1" t="s">
        <v>732</v>
      </c>
      <c r="G58" s="1" t="s">
        <v>958</v>
      </c>
      <c r="H58" s="4">
        <v>200</v>
      </c>
      <c r="I58" s="38">
        <v>2</v>
      </c>
      <c r="J58" s="4">
        <v>0</v>
      </c>
      <c r="K58" s="4">
        <v>0</v>
      </c>
      <c r="L58" s="65">
        <v>0</v>
      </c>
      <c r="M58" s="64">
        <v>0</v>
      </c>
      <c r="N58" s="64">
        <v>0</v>
      </c>
      <c r="O58" s="65">
        <v>0</v>
      </c>
      <c r="P58" s="64">
        <v>0</v>
      </c>
      <c r="Q58" s="65">
        <v>0</v>
      </c>
      <c r="R58" s="64">
        <v>0</v>
      </c>
      <c r="S58" s="64">
        <v>200</v>
      </c>
      <c r="T58" s="64">
        <v>200</v>
      </c>
      <c r="V58" s="64">
        <v>104</v>
      </c>
      <c r="W58" s="66">
        <v>46238</v>
      </c>
      <c r="X58">
        <v>20</v>
      </c>
      <c r="Y58">
        <v>1000</v>
      </c>
      <c r="Z58" t="e">
        <v>#REF!</v>
      </c>
      <c r="AA58" t="s">
        <v>944</v>
      </c>
      <c r="AB58" t="s">
        <v>169</v>
      </c>
    </row>
    <row r="59" spans="2:28">
      <c r="B59" s="141">
        <v>46218</v>
      </c>
      <c r="C59" s="1" t="s">
        <v>957</v>
      </c>
      <c r="F59" s="1" t="s">
        <v>733</v>
      </c>
      <c r="G59" s="1" t="s">
        <v>959</v>
      </c>
      <c r="H59" s="4">
        <v>100</v>
      </c>
      <c r="I59" s="38">
        <v>1</v>
      </c>
      <c r="J59" s="4">
        <v>0</v>
      </c>
      <c r="K59" s="4">
        <v>0</v>
      </c>
      <c r="L59" s="65">
        <v>0</v>
      </c>
      <c r="M59" s="64">
        <v>0</v>
      </c>
      <c r="N59" s="64">
        <v>0</v>
      </c>
      <c r="O59" s="65">
        <v>0</v>
      </c>
      <c r="P59" s="64">
        <v>0</v>
      </c>
      <c r="Q59" s="65">
        <v>0</v>
      </c>
      <c r="R59" s="64">
        <v>0</v>
      </c>
      <c r="S59" s="64">
        <v>100</v>
      </c>
      <c r="T59" s="64">
        <v>100</v>
      </c>
      <c r="V59" s="64">
        <v>100</v>
      </c>
      <c r="W59" s="66">
        <v>46238</v>
      </c>
      <c r="X59">
        <v>20</v>
      </c>
      <c r="Y59">
        <v>1000</v>
      </c>
      <c r="Z59" t="e">
        <v>#REF!</v>
      </c>
      <c r="AA59" t="s">
        <v>944</v>
      </c>
      <c r="AB59" t="s">
        <v>169</v>
      </c>
    </row>
    <row r="60" spans="2:28">
      <c r="B60" s="141">
        <v>46218</v>
      </c>
      <c r="C60" s="1" t="s">
        <v>728</v>
      </c>
      <c r="F60" s="1" t="s">
        <v>960</v>
      </c>
      <c r="G60" s="1" t="s">
        <v>961</v>
      </c>
      <c r="H60" s="4">
        <v>20</v>
      </c>
      <c r="I60" s="38">
        <v>1</v>
      </c>
      <c r="J60" s="4">
        <v>0</v>
      </c>
      <c r="K60" s="4">
        <v>0</v>
      </c>
      <c r="L60" s="65">
        <v>0</v>
      </c>
      <c r="M60" s="64">
        <v>0</v>
      </c>
      <c r="N60" s="64">
        <v>0</v>
      </c>
      <c r="O60" s="65">
        <v>0</v>
      </c>
      <c r="P60" s="64">
        <v>0</v>
      </c>
      <c r="Q60" s="65">
        <v>0</v>
      </c>
      <c r="R60" s="64">
        <v>0</v>
      </c>
      <c r="S60" s="64">
        <v>20</v>
      </c>
      <c r="T60" s="64">
        <v>20</v>
      </c>
      <c r="V60" s="64">
        <v>20</v>
      </c>
      <c r="W60" s="66">
        <v>46238</v>
      </c>
      <c r="X60">
        <v>20</v>
      </c>
      <c r="Y60">
        <v>1000</v>
      </c>
      <c r="Z60" t="e">
        <v>#REF!</v>
      </c>
      <c r="AA60" t="s">
        <v>944</v>
      </c>
      <c r="AB60" t="s">
        <v>169</v>
      </c>
    </row>
    <row r="61" spans="2:28">
      <c r="B61" s="141">
        <v>46218</v>
      </c>
      <c r="C61" s="1" t="s">
        <v>728</v>
      </c>
      <c r="F61" s="1" t="s">
        <v>962</v>
      </c>
      <c r="G61" s="1" t="s">
        <v>963</v>
      </c>
      <c r="H61" s="4">
        <v>120</v>
      </c>
      <c r="I61" s="38">
        <v>2</v>
      </c>
      <c r="J61" s="4">
        <v>0</v>
      </c>
      <c r="K61" s="4">
        <v>0</v>
      </c>
      <c r="L61" s="65">
        <v>0</v>
      </c>
      <c r="M61" s="64">
        <v>0</v>
      </c>
      <c r="N61" s="64">
        <v>0</v>
      </c>
      <c r="O61" s="65">
        <v>0</v>
      </c>
      <c r="P61" s="64">
        <v>0</v>
      </c>
      <c r="Q61" s="65">
        <v>0</v>
      </c>
      <c r="R61" s="64">
        <v>0</v>
      </c>
      <c r="S61" s="64">
        <v>120</v>
      </c>
      <c r="T61" s="64">
        <v>120</v>
      </c>
      <c r="V61" s="64">
        <v>64</v>
      </c>
      <c r="W61" s="66">
        <v>46238</v>
      </c>
      <c r="X61">
        <v>20</v>
      </c>
      <c r="Y61">
        <v>1000</v>
      </c>
      <c r="Z61" t="e">
        <v>#REF!</v>
      </c>
      <c r="AA61" t="s">
        <v>944</v>
      </c>
      <c r="AB61" t="s">
        <v>169</v>
      </c>
    </row>
    <row r="62" spans="2:28">
      <c r="B62" s="141">
        <v>46218</v>
      </c>
      <c r="C62" s="1" t="s">
        <v>728</v>
      </c>
      <c r="F62" s="1" t="s">
        <v>734</v>
      </c>
      <c r="G62" s="1" t="s">
        <v>964</v>
      </c>
      <c r="H62" s="4">
        <v>105</v>
      </c>
      <c r="I62" s="38">
        <v>2</v>
      </c>
      <c r="J62" s="4">
        <v>0</v>
      </c>
      <c r="K62" s="4">
        <v>0</v>
      </c>
      <c r="L62" s="65">
        <v>0</v>
      </c>
      <c r="M62" s="64">
        <v>0</v>
      </c>
      <c r="N62" s="64">
        <v>0</v>
      </c>
      <c r="O62" s="65">
        <v>0</v>
      </c>
      <c r="P62" s="64">
        <v>0</v>
      </c>
      <c r="Q62" s="65">
        <v>0</v>
      </c>
      <c r="R62" s="64">
        <v>0</v>
      </c>
      <c r="S62" s="64">
        <v>105</v>
      </c>
      <c r="T62" s="64">
        <v>105</v>
      </c>
      <c r="V62" s="64">
        <v>56</v>
      </c>
      <c r="W62" s="66">
        <v>46238</v>
      </c>
      <c r="X62">
        <v>20</v>
      </c>
      <c r="Y62">
        <v>1000</v>
      </c>
      <c r="Z62" t="e">
        <v>#REF!</v>
      </c>
      <c r="AA62" t="s">
        <v>944</v>
      </c>
      <c r="AB62" t="s">
        <v>169</v>
      </c>
    </row>
    <row r="63" spans="2:28">
      <c r="B63" s="141">
        <v>46218</v>
      </c>
      <c r="C63" s="1" t="s">
        <v>728</v>
      </c>
      <c r="F63" s="1" t="s">
        <v>735</v>
      </c>
      <c r="G63" s="1" t="s">
        <v>965</v>
      </c>
      <c r="H63" s="4">
        <v>525</v>
      </c>
      <c r="I63" s="38">
        <v>10</v>
      </c>
      <c r="J63" s="4">
        <v>0</v>
      </c>
      <c r="K63" s="4">
        <v>0</v>
      </c>
      <c r="L63" s="65">
        <v>0</v>
      </c>
      <c r="M63" s="64">
        <v>0</v>
      </c>
      <c r="N63" s="64">
        <v>0</v>
      </c>
      <c r="O63" s="65">
        <v>0</v>
      </c>
      <c r="P63" s="64">
        <v>0</v>
      </c>
      <c r="Q63" s="65">
        <v>0</v>
      </c>
      <c r="R63" s="64">
        <v>0</v>
      </c>
      <c r="S63" s="64">
        <v>525</v>
      </c>
      <c r="T63" s="64">
        <v>525</v>
      </c>
      <c r="V63" s="64">
        <v>56</v>
      </c>
      <c r="W63" s="66">
        <v>46238</v>
      </c>
      <c r="X63">
        <v>20</v>
      </c>
      <c r="Y63">
        <v>1000</v>
      </c>
      <c r="Z63" t="e">
        <v>#REF!</v>
      </c>
      <c r="AA63" t="s">
        <v>944</v>
      </c>
      <c r="AB63" t="s">
        <v>169</v>
      </c>
    </row>
    <row r="64" spans="2:28">
      <c r="B64" s="141">
        <v>46218</v>
      </c>
      <c r="C64" s="1" t="s">
        <v>728</v>
      </c>
      <c r="F64" s="1" t="s">
        <v>736</v>
      </c>
      <c r="G64" s="1" t="s">
        <v>966</v>
      </c>
      <c r="H64" s="4">
        <v>105</v>
      </c>
      <c r="I64" s="38">
        <v>2</v>
      </c>
      <c r="J64" s="4">
        <v>0</v>
      </c>
      <c r="K64" s="4">
        <v>0</v>
      </c>
      <c r="L64" s="65">
        <v>0</v>
      </c>
      <c r="M64" s="64">
        <v>0</v>
      </c>
      <c r="N64" s="64">
        <v>0</v>
      </c>
      <c r="O64" s="65">
        <v>0</v>
      </c>
      <c r="P64" s="64">
        <v>0</v>
      </c>
      <c r="Q64" s="65">
        <v>0</v>
      </c>
      <c r="R64" s="64">
        <v>0</v>
      </c>
      <c r="S64" s="64">
        <v>105</v>
      </c>
      <c r="T64" s="64">
        <v>105</v>
      </c>
      <c r="V64" s="64">
        <v>56</v>
      </c>
      <c r="W64" s="66">
        <v>46238</v>
      </c>
      <c r="X64">
        <v>20</v>
      </c>
      <c r="Y64">
        <v>1000</v>
      </c>
      <c r="Z64" t="e">
        <v>#REF!</v>
      </c>
      <c r="AA64" t="s">
        <v>944</v>
      </c>
      <c r="AB64" t="s">
        <v>169</v>
      </c>
    </row>
    <row r="65" spans="2:28">
      <c r="B65" s="141">
        <v>46218</v>
      </c>
      <c r="C65" s="1" t="s">
        <v>728</v>
      </c>
      <c r="F65" s="1" t="s">
        <v>737</v>
      </c>
      <c r="G65" s="1" t="s">
        <v>967</v>
      </c>
      <c r="H65" s="4">
        <v>105</v>
      </c>
      <c r="I65" s="38">
        <v>2</v>
      </c>
      <c r="J65" s="4">
        <v>0</v>
      </c>
      <c r="K65" s="4">
        <v>0</v>
      </c>
      <c r="L65" s="65">
        <v>0</v>
      </c>
      <c r="M65" s="64">
        <v>0</v>
      </c>
      <c r="N65" s="64">
        <v>0</v>
      </c>
      <c r="O65" s="65">
        <v>0</v>
      </c>
      <c r="P65" s="64">
        <v>0</v>
      </c>
      <c r="Q65" s="65">
        <v>0</v>
      </c>
      <c r="R65" s="64">
        <v>0</v>
      </c>
      <c r="S65" s="64">
        <v>105</v>
      </c>
      <c r="T65" s="64">
        <v>105</v>
      </c>
      <c r="V65" s="64">
        <v>56</v>
      </c>
      <c r="W65" s="66">
        <v>46238</v>
      </c>
      <c r="X65">
        <v>20</v>
      </c>
      <c r="Y65">
        <v>1000</v>
      </c>
      <c r="Z65" t="e">
        <v>#REF!</v>
      </c>
      <c r="AA65" t="s">
        <v>944</v>
      </c>
      <c r="AB65" t="s">
        <v>169</v>
      </c>
    </row>
    <row r="66" spans="2:28">
      <c r="B66" s="141">
        <v>46218</v>
      </c>
      <c r="C66" s="1" t="s">
        <v>968</v>
      </c>
      <c r="F66" s="1" t="s">
        <v>969</v>
      </c>
      <c r="G66" s="1" t="s">
        <v>970</v>
      </c>
      <c r="H66" s="4">
        <v>74</v>
      </c>
      <c r="I66" s="38">
        <v>2</v>
      </c>
      <c r="J66" s="4">
        <v>0</v>
      </c>
      <c r="K66" s="4">
        <v>0</v>
      </c>
      <c r="L66" s="65">
        <v>0</v>
      </c>
      <c r="M66" s="64">
        <v>0</v>
      </c>
      <c r="N66" s="64">
        <v>0</v>
      </c>
      <c r="O66" s="65">
        <v>0</v>
      </c>
      <c r="P66" s="64">
        <v>0</v>
      </c>
      <c r="Q66" s="65">
        <v>0</v>
      </c>
      <c r="R66" s="64">
        <v>0</v>
      </c>
      <c r="S66" s="64">
        <v>74</v>
      </c>
      <c r="T66" s="64">
        <v>74</v>
      </c>
      <c r="V66" s="64">
        <v>48</v>
      </c>
      <c r="W66" s="66">
        <v>46238</v>
      </c>
      <c r="X66">
        <v>20</v>
      </c>
      <c r="Y66">
        <v>1000</v>
      </c>
      <c r="Z66" t="e">
        <v>#REF!</v>
      </c>
      <c r="AA66" t="s">
        <v>944</v>
      </c>
      <c r="AB66" t="s">
        <v>169</v>
      </c>
    </row>
    <row r="67" spans="2:28">
      <c r="B67" s="141">
        <v>46223</v>
      </c>
      <c r="C67" s="1" t="s">
        <v>789</v>
      </c>
      <c r="F67" s="1" t="s">
        <v>884</v>
      </c>
      <c r="G67" s="1" t="s">
        <v>971</v>
      </c>
      <c r="H67" s="4">
        <v>935</v>
      </c>
      <c r="I67" s="38">
        <v>10</v>
      </c>
      <c r="J67" s="4">
        <v>0</v>
      </c>
      <c r="K67" s="4">
        <v>0</v>
      </c>
      <c r="L67" s="65">
        <v>0</v>
      </c>
      <c r="M67" s="64">
        <v>0</v>
      </c>
      <c r="N67" s="64">
        <v>0</v>
      </c>
      <c r="O67" s="65">
        <v>0</v>
      </c>
      <c r="P67" s="64">
        <v>0</v>
      </c>
      <c r="Q67" s="65">
        <v>0</v>
      </c>
      <c r="R67" s="64">
        <v>0</v>
      </c>
      <c r="S67" s="64">
        <v>935</v>
      </c>
      <c r="T67" s="64">
        <v>935</v>
      </c>
      <c r="V67" s="64">
        <v>100</v>
      </c>
      <c r="W67" s="66">
        <v>46243</v>
      </c>
      <c r="X67">
        <v>20</v>
      </c>
      <c r="Y67">
        <v>1000</v>
      </c>
      <c r="Z67" t="e">
        <v>#REF!</v>
      </c>
      <c r="AA67" t="s">
        <v>944</v>
      </c>
      <c r="AB67" t="s">
        <v>169</v>
      </c>
    </row>
    <row r="68" spans="2:28">
      <c r="B68" s="141">
        <v>46223</v>
      </c>
      <c r="C68" s="1" t="s">
        <v>789</v>
      </c>
      <c r="F68" s="1" t="s">
        <v>497</v>
      </c>
      <c r="G68" s="1" t="s">
        <v>972</v>
      </c>
      <c r="H68" s="4">
        <v>800</v>
      </c>
      <c r="I68" s="38">
        <v>8</v>
      </c>
      <c r="J68" s="4">
        <v>0</v>
      </c>
      <c r="K68" s="4">
        <v>0</v>
      </c>
      <c r="L68" s="65">
        <v>0</v>
      </c>
      <c r="M68" s="64">
        <v>0</v>
      </c>
      <c r="N68" s="64">
        <v>800</v>
      </c>
      <c r="O68" s="65">
        <v>8</v>
      </c>
      <c r="P68" s="64">
        <v>800</v>
      </c>
      <c r="Q68" s="65">
        <v>8</v>
      </c>
      <c r="R68" s="64">
        <v>0</v>
      </c>
      <c r="S68" s="64">
        <v>0</v>
      </c>
      <c r="T68" s="64">
        <v>0</v>
      </c>
      <c r="V68" s="64">
        <v>100</v>
      </c>
      <c r="W68" s="66">
        <v>46243</v>
      </c>
      <c r="X68">
        <v>20</v>
      </c>
      <c r="Y68">
        <v>1000</v>
      </c>
      <c r="Z68" t="e">
        <v>#REF!</v>
      </c>
      <c r="AA68" t="s">
        <v>944</v>
      </c>
      <c r="AB68" t="s">
        <v>169</v>
      </c>
    </row>
    <row r="69" spans="2:28">
      <c r="B69" s="141">
        <v>46223</v>
      </c>
      <c r="C69" s="1" t="s">
        <v>789</v>
      </c>
      <c r="F69" s="1" t="s">
        <v>791</v>
      </c>
      <c r="G69" s="1" t="s">
        <v>973</v>
      </c>
      <c r="H69" s="4">
        <v>195</v>
      </c>
      <c r="I69" s="38">
        <v>2</v>
      </c>
      <c r="J69" s="4">
        <v>0</v>
      </c>
      <c r="K69" s="4">
        <v>0</v>
      </c>
      <c r="L69" s="65">
        <v>0</v>
      </c>
      <c r="M69" s="64">
        <v>0</v>
      </c>
      <c r="N69" s="64">
        <v>195</v>
      </c>
      <c r="O69" s="65">
        <v>2</v>
      </c>
      <c r="P69" s="64">
        <v>195</v>
      </c>
      <c r="Q69" s="65">
        <v>2</v>
      </c>
      <c r="R69" s="64">
        <v>0</v>
      </c>
      <c r="S69" s="64">
        <v>0</v>
      </c>
      <c r="T69" s="64">
        <v>0</v>
      </c>
      <c r="V69" s="64">
        <v>100</v>
      </c>
      <c r="W69" s="66">
        <v>46243</v>
      </c>
      <c r="X69">
        <v>20</v>
      </c>
      <c r="Y69">
        <v>1000</v>
      </c>
      <c r="Z69" t="e">
        <v>#REF!</v>
      </c>
      <c r="AA69" t="s">
        <v>944</v>
      </c>
      <c r="AB69" t="s">
        <v>169</v>
      </c>
    </row>
    <row r="70" spans="2:28">
      <c r="B70" s="141">
        <v>46223</v>
      </c>
      <c r="C70" s="1" t="s">
        <v>790</v>
      </c>
      <c r="D70" s="1" t="s">
        <v>883</v>
      </c>
      <c r="E70" s="1" t="s">
        <v>974</v>
      </c>
      <c r="F70" s="1" t="s">
        <v>792</v>
      </c>
      <c r="G70" s="1" t="s">
        <v>975</v>
      </c>
      <c r="H70" s="4">
        <v>700</v>
      </c>
      <c r="I70" s="38">
        <v>6</v>
      </c>
      <c r="J70" s="4">
        <v>0</v>
      </c>
      <c r="K70" s="4">
        <v>0</v>
      </c>
      <c r="L70" s="65">
        <v>0</v>
      </c>
      <c r="M70" s="64">
        <v>0</v>
      </c>
      <c r="N70" s="64">
        <v>0</v>
      </c>
      <c r="O70" s="65">
        <v>0</v>
      </c>
      <c r="P70" s="64">
        <v>0</v>
      </c>
      <c r="Q70" s="65">
        <v>0</v>
      </c>
      <c r="R70" s="64">
        <v>0</v>
      </c>
      <c r="S70" s="64">
        <v>700</v>
      </c>
      <c r="T70" s="64">
        <v>700</v>
      </c>
      <c r="V70" s="64">
        <v>120</v>
      </c>
      <c r="W70" s="66">
        <v>46243</v>
      </c>
      <c r="X70">
        <v>20</v>
      </c>
      <c r="Y70">
        <v>1000</v>
      </c>
      <c r="Z70" t="e">
        <v>#REF!</v>
      </c>
      <c r="AA70" t="s">
        <v>944</v>
      </c>
      <c r="AB70" t="s">
        <v>169</v>
      </c>
    </row>
    <row r="71" spans="2:28">
      <c r="B71" s="141">
        <v>46223</v>
      </c>
      <c r="C71" s="1" t="s">
        <v>790</v>
      </c>
      <c r="F71" s="1" t="s">
        <v>793</v>
      </c>
      <c r="G71" s="1" t="s">
        <v>976</v>
      </c>
      <c r="H71" s="4">
        <v>200</v>
      </c>
      <c r="I71" s="38">
        <v>6</v>
      </c>
      <c r="J71" s="4">
        <v>0</v>
      </c>
      <c r="K71" s="4">
        <v>0</v>
      </c>
      <c r="L71" s="65">
        <v>0</v>
      </c>
      <c r="M71" s="64">
        <v>0</v>
      </c>
      <c r="N71" s="64">
        <v>0</v>
      </c>
      <c r="O71" s="65">
        <v>0</v>
      </c>
      <c r="P71" s="64">
        <v>0</v>
      </c>
      <c r="Q71" s="65">
        <v>0</v>
      </c>
      <c r="R71" s="64">
        <v>0</v>
      </c>
      <c r="S71" s="64">
        <v>200</v>
      </c>
      <c r="T71" s="64">
        <v>200</v>
      </c>
      <c r="V71" s="64">
        <v>36</v>
      </c>
      <c r="W71" s="66">
        <v>46243</v>
      </c>
      <c r="X71">
        <v>20</v>
      </c>
      <c r="Y71">
        <v>1000</v>
      </c>
      <c r="Z71" t="e">
        <v>#REF!</v>
      </c>
      <c r="AA71" t="s">
        <v>944</v>
      </c>
      <c r="AB71" t="s">
        <v>169</v>
      </c>
    </row>
    <row r="72" spans="2:28">
      <c r="B72" s="141">
        <v>46223</v>
      </c>
      <c r="C72" s="1" t="s">
        <v>790</v>
      </c>
      <c r="F72" s="1" t="s">
        <v>794</v>
      </c>
      <c r="G72" s="1" t="s">
        <v>977</v>
      </c>
      <c r="H72" s="4">
        <v>150</v>
      </c>
      <c r="I72" s="38">
        <v>7</v>
      </c>
      <c r="J72" s="4">
        <v>0</v>
      </c>
      <c r="K72" s="4">
        <v>0</v>
      </c>
      <c r="L72" s="65">
        <v>0</v>
      </c>
      <c r="M72" s="64">
        <v>0</v>
      </c>
      <c r="N72" s="64">
        <v>0</v>
      </c>
      <c r="O72" s="65">
        <v>0</v>
      </c>
      <c r="P72" s="64">
        <v>0</v>
      </c>
      <c r="Q72" s="65">
        <v>0</v>
      </c>
      <c r="R72" s="64">
        <v>0</v>
      </c>
      <c r="S72" s="64">
        <v>150</v>
      </c>
      <c r="T72" s="64">
        <v>150</v>
      </c>
      <c r="V72" s="64">
        <v>24</v>
      </c>
      <c r="W72" s="66">
        <v>46243</v>
      </c>
      <c r="X72">
        <v>20</v>
      </c>
      <c r="Y72">
        <v>1000</v>
      </c>
      <c r="Z72" t="e">
        <v>#REF!</v>
      </c>
      <c r="AA72" t="s">
        <v>944</v>
      </c>
      <c r="AB72" t="s">
        <v>169</v>
      </c>
    </row>
    <row r="73" spans="2:28">
      <c r="B73" s="141">
        <v>46223</v>
      </c>
      <c r="C73" s="1" t="s">
        <v>790</v>
      </c>
      <c r="F73" s="1" t="s">
        <v>795</v>
      </c>
      <c r="G73" s="1" t="s">
        <v>978</v>
      </c>
      <c r="H73" s="4">
        <v>142</v>
      </c>
      <c r="I73" s="38">
        <v>6</v>
      </c>
      <c r="J73" s="4">
        <v>0</v>
      </c>
      <c r="K73" s="4">
        <v>0</v>
      </c>
      <c r="L73" s="65">
        <v>0</v>
      </c>
      <c r="M73" s="64">
        <v>0</v>
      </c>
      <c r="N73" s="64">
        <v>0</v>
      </c>
      <c r="O73" s="65">
        <v>0</v>
      </c>
      <c r="P73" s="64">
        <v>0</v>
      </c>
      <c r="Q73" s="65">
        <v>0</v>
      </c>
      <c r="R73" s="64">
        <v>0</v>
      </c>
      <c r="S73" s="64">
        <v>142</v>
      </c>
      <c r="T73" s="64">
        <v>142</v>
      </c>
      <c r="V73" s="64">
        <v>24</v>
      </c>
      <c r="W73" s="66">
        <v>46243</v>
      </c>
      <c r="X73">
        <v>20</v>
      </c>
      <c r="Y73">
        <v>1000</v>
      </c>
      <c r="Z73" t="e">
        <v>#REF!</v>
      </c>
      <c r="AA73" t="s">
        <v>944</v>
      </c>
      <c r="AB73" t="s">
        <v>169</v>
      </c>
    </row>
    <row r="74" spans="2:28">
      <c r="B74" s="141">
        <v>46223</v>
      </c>
      <c r="C74" s="1" t="s">
        <v>790</v>
      </c>
      <c r="F74" s="1" t="s">
        <v>796</v>
      </c>
      <c r="G74" s="1" t="s">
        <v>979</v>
      </c>
      <c r="H74" s="4">
        <v>80</v>
      </c>
      <c r="I74" s="38">
        <v>5</v>
      </c>
      <c r="J74" s="4">
        <v>0</v>
      </c>
      <c r="K74" s="4">
        <v>0</v>
      </c>
      <c r="L74" s="65">
        <v>0</v>
      </c>
      <c r="M74" s="64">
        <v>0</v>
      </c>
      <c r="N74" s="64">
        <v>0</v>
      </c>
      <c r="O74" s="65">
        <v>0</v>
      </c>
      <c r="P74" s="64">
        <v>0</v>
      </c>
      <c r="Q74" s="65">
        <v>0</v>
      </c>
      <c r="R74" s="64">
        <v>0</v>
      </c>
      <c r="S74" s="64">
        <v>80</v>
      </c>
      <c r="T74" s="64">
        <v>80</v>
      </c>
      <c r="V74" s="64">
        <v>16</v>
      </c>
      <c r="W74" s="66">
        <v>46243</v>
      </c>
      <c r="X74">
        <v>20</v>
      </c>
      <c r="Y74">
        <v>1000</v>
      </c>
      <c r="Z74" t="e">
        <v>#REF!</v>
      </c>
      <c r="AA74" t="s">
        <v>944</v>
      </c>
      <c r="AB74" t="s">
        <v>169</v>
      </c>
    </row>
    <row r="75" spans="2:28">
      <c r="B75" s="141">
        <v>46223</v>
      </c>
      <c r="C75" s="1" t="s">
        <v>790</v>
      </c>
      <c r="F75" s="1" t="s">
        <v>797</v>
      </c>
      <c r="G75" s="1" t="s">
        <v>980</v>
      </c>
      <c r="H75" s="4">
        <v>80</v>
      </c>
      <c r="I75" s="38">
        <v>5</v>
      </c>
      <c r="J75" s="4">
        <v>0</v>
      </c>
      <c r="K75" s="4">
        <v>0</v>
      </c>
      <c r="L75" s="65">
        <v>0</v>
      </c>
      <c r="M75" s="64">
        <v>0</v>
      </c>
      <c r="N75" s="64">
        <v>0</v>
      </c>
      <c r="O75" s="65">
        <v>0</v>
      </c>
      <c r="P75" s="64">
        <v>0</v>
      </c>
      <c r="Q75" s="65">
        <v>0</v>
      </c>
      <c r="R75" s="64">
        <v>0</v>
      </c>
      <c r="S75" s="64">
        <v>80</v>
      </c>
      <c r="T75" s="64">
        <v>80</v>
      </c>
      <c r="V75" s="64">
        <v>16</v>
      </c>
      <c r="W75" s="66">
        <v>46243</v>
      </c>
      <c r="X75">
        <v>20</v>
      </c>
      <c r="Y75">
        <v>1000</v>
      </c>
      <c r="Z75" t="e">
        <v>#REF!</v>
      </c>
      <c r="AA75" t="s">
        <v>944</v>
      </c>
      <c r="AB75" t="s">
        <v>169</v>
      </c>
    </row>
    <row r="76" spans="2:28">
      <c r="B76" s="141">
        <v>46223</v>
      </c>
      <c r="C76" s="1" t="s">
        <v>790</v>
      </c>
      <c r="F76" s="1" t="s">
        <v>798</v>
      </c>
      <c r="G76" s="1" t="s">
        <v>981</v>
      </c>
      <c r="H76" s="4">
        <v>46</v>
      </c>
      <c r="I76" s="38">
        <v>2</v>
      </c>
      <c r="J76" s="4">
        <v>0</v>
      </c>
      <c r="K76" s="4">
        <v>0</v>
      </c>
      <c r="L76" s="65">
        <v>0</v>
      </c>
      <c r="M76" s="64">
        <v>0</v>
      </c>
      <c r="N76" s="64">
        <v>0</v>
      </c>
      <c r="O76" s="65">
        <v>0</v>
      </c>
      <c r="P76" s="64">
        <v>0</v>
      </c>
      <c r="Q76" s="65">
        <v>0</v>
      </c>
      <c r="R76" s="64">
        <v>0</v>
      </c>
      <c r="S76" s="64">
        <v>46</v>
      </c>
      <c r="T76" s="64">
        <v>46</v>
      </c>
      <c r="V76" s="64">
        <v>32</v>
      </c>
      <c r="W76" s="66">
        <v>46243</v>
      </c>
      <c r="X76">
        <v>20</v>
      </c>
      <c r="Y76">
        <v>1000</v>
      </c>
      <c r="Z76" t="e">
        <v>#REF!</v>
      </c>
      <c r="AA76" t="s">
        <v>944</v>
      </c>
      <c r="AB76" t="s">
        <v>169</v>
      </c>
    </row>
    <row r="77" spans="2:28">
      <c r="B77" s="141">
        <v>46225</v>
      </c>
      <c r="C77" s="1" t="s">
        <v>982</v>
      </c>
      <c r="F77" s="1" t="s">
        <v>817</v>
      </c>
      <c r="G77" s="1" t="s">
        <v>983</v>
      </c>
      <c r="H77" s="4">
        <v>1600</v>
      </c>
      <c r="I77" s="38">
        <v>40</v>
      </c>
      <c r="J77" s="4">
        <v>0</v>
      </c>
      <c r="K77" s="4">
        <v>0</v>
      </c>
      <c r="L77" s="65">
        <v>0</v>
      </c>
      <c r="M77" s="64">
        <v>0</v>
      </c>
      <c r="N77" s="64">
        <v>1600</v>
      </c>
      <c r="O77" s="65">
        <v>40</v>
      </c>
      <c r="P77" s="64">
        <v>1600</v>
      </c>
      <c r="Q77" s="65">
        <v>40</v>
      </c>
      <c r="R77" s="64">
        <v>0</v>
      </c>
      <c r="S77" s="64">
        <v>0</v>
      </c>
      <c r="T77" s="64">
        <v>0</v>
      </c>
      <c r="V77" s="64">
        <v>40</v>
      </c>
      <c r="W77" s="66">
        <v>46245</v>
      </c>
      <c r="X77">
        <v>20</v>
      </c>
      <c r="Y77">
        <v>1000</v>
      </c>
      <c r="Z77" t="e">
        <v>#REF!</v>
      </c>
      <c r="AA77" t="s">
        <v>944</v>
      </c>
      <c r="AB77" t="s">
        <v>169</v>
      </c>
    </row>
    <row r="78" spans="2:28">
      <c r="B78" s="141">
        <v>46225</v>
      </c>
      <c r="C78" s="1" t="s">
        <v>984</v>
      </c>
      <c r="F78" s="1" t="s">
        <v>818</v>
      </c>
      <c r="G78" s="1" t="s">
        <v>985</v>
      </c>
      <c r="H78" s="4">
        <v>630</v>
      </c>
      <c r="I78" s="38">
        <v>23</v>
      </c>
      <c r="J78" s="4">
        <v>0</v>
      </c>
      <c r="K78" s="4">
        <v>0</v>
      </c>
      <c r="L78" s="65">
        <v>0</v>
      </c>
      <c r="M78" s="64">
        <v>0</v>
      </c>
      <c r="N78" s="64">
        <v>630</v>
      </c>
      <c r="O78" s="65">
        <v>23</v>
      </c>
      <c r="P78" s="64">
        <v>630</v>
      </c>
      <c r="Q78" s="65">
        <v>23</v>
      </c>
      <c r="R78" s="64">
        <v>0</v>
      </c>
      <c r="S78" s="64">
        <v>0</v>
      </c>
      <c r="T78" s="64">
        <v>0</v>
      </c>
      <c r="V78" s="64">
        <v>28</v>
      </c>
      <c r="W78" s="66">
        <v>46245</v>
      </c>
      <c r="X78">
        <v>20</v>
      </c>
      <c r="Y78">
        <v>1000</v>
      </c>
      <c r="Z78" t="e">
        <v>#REF!</v>
      </c>
      <c r="AA78" t="s">
        <v>944</v>
      </c>
      <c r="AB78" t="s">
        <v>169</v>
      </c>
    </row>
    <row r="79" spans="2:28">
      <c r="B79" s="141">
        <v>46226</v>
      </c>
      <c r="C79" s="1" t="s">
        <v>826</v>
      </c>
      <c r="F79" s="1" t="s">
        <v>829</v>
      </c>
      <c r="G79" s="1" t="s">
        <v>986</v>
      </c>
      <c r="H79" s="4">
        <v>556</v>
      </c>
      <c r="I79" s="38">
        <v>10</v>
      </c>
      <c r="J79" s="4">
        <v>0</v>
      </c>
      <c r="K79" s="4">
        <v>0</v>
      </c>
      <c r="L79" s="65">
        <v>0</v>
      </c>
      <c r="M79" s="64">
        <v>0</v>
      </c>
      <c r="N79" s="64">
        <v>556</v>
      </c>
      <c r="O79" s="65">
        <v>10</v>
      </c>
      <c r="P79" s="64">
        <v>556</v>
      </c>
      <c r="Q79" s="65">
        <v>10</v>
      </c>
      <c r="R79" s="64">
        <v>0</v>
      </c>
      <c r="S79" s="64">
        <v>0</v>
      </c>
      <c r="T79" s="64">
        <v>0</v>
      </c>
      <c r="V79" s="64">
        <v>56</v>
      </c>
      <c r="W79" s="66">
        <v>46246</v>
      </c>
      <c r="X79">
        <v>20</v>
      </c>
      <c r="Y79">
        <v>1000</v>
      </c>
      <c r="Z79" t="e">
        <v>#REF!</v>
      </c>
      <c r="AA79" t="s">
        <v>944</v>
      </c>
      <c r="AB79" t="s">
        <v>169</v>
      </c>
    </row>
    <row r="80" spans="2:28">
      <c r="B80" s="141">
        <v>46226</v>
      </c>
      <c r="C80" s="1" t="s">
        <v>826</v>
      </c>
      <c r="F80" s="1" t="s">
        <v>830</v>
      </c>
      <c r="G80" s="1" t="s">
        <v>987</v>
      </c>
      <c r="H80" s="4">
        <v>33</v>
      </c>
      <c r="I80" s="38">
        <v>1</v>
      </c>
      <c r="J80" s="4">
        <v>0</v>
      </c>
      <c r="K80" s="4">
        <v>0</v>
      </c>
      <c r="L80" s="65">
        <v>0</v>
      </c>
      <c r="M80" s="64">
        <v>0</v>
      </c>
      <c r="N80" s="64">
        <v>33</v>
      </c>
      <c r="O80" s="65">
        <v>1</v>
      </c>
      <c r="P80" s="64">
        <v>33</v>
      </c>
      <c r="Q80" s="65">
        <v>1</v>
      </c>
      <c r="R80" s="64">
        <v>0</v>
      </c>
      <c r="S80" s="64">
        <v>0</v>
      </c>
      <c r="T80" s="64">
        <v>0</v>
      </c>
      <c r="V80" s="64">
        <v>33</v>
      </c>
      <c r="W80" s="66">
        <v>46246</v>
      </c>
      <c r="X80">
        <v>20</v>
      </c>
      <c r="Y80">
        <v>1000</v>
      </c>
      <c r="Z80" t="e">
        <v>#REF!</v>
      </c>
      <c r="AA80" t="s">
        <v>944</v>
      </c>
      <c r="AB80" t="s">
        <v>169</v>
      </c>
    </row>
    <row r="81" spans="2:28">
      <c r="B81" s="141">
        <v>46226</v>
      </c>
      <c r="C81" s="1" t="s">
        <v>826</v>
      </c>
      <c r="F81" s="1" t="s">
        <v>831</v>
      </c>
      <c r="G81" s="1" t="s">
        <v>988</v>
      </c>
      <c r="H81" s="4">
        <v>30</v>
      </c>
      <c r="I81" s="38">
        <v>1</v>
      </c>
      <c r="J81" s="4">
        <v>0</v>
      </c>
      <c r="K81" s="4">
        <v>0</v>
      </c>
      <c r="L81" s="65">
        <v>0</v>
      </c>
      <c r="M81" s="64">
        <v>0</v>
      </c>
      <c r="N81" s="64">
        <v>30</v>
      </c>
      <c r="O81" s="65">
        <v>1</v>
      </c>
      <c r="P81" s="64">
        <v>30</v>
      </c>
      <c r="Q81" s="65">
        <v>1</v>
      </c>
      <c r="R81" s="64">
        <v>0</v>
      </c>
      <c r="S81" s="64">
        <v>0</v>
      </c>
      <c r="T81" s="64">
        <v>0</v>
      </c>
      <c r="V81" s="64">
        <v>30</v>
      </c>
      <c r="W81" s="66">
        <v>46246</v>
      </c>
      <c r="X81">
        <v>20</v>
      </c>
      <c r="Y81">
        <v>1000</v>
      </c>
      <c r="Z81" t="e">
        <v>#REF!</v>
      </c>
      <c r="AA81" t="s">
        <v>944</v>
      </c>
      <c r="AB81" t="s">
        <v>169</v>
      </c>
    </row>
    <row r="82" spans="2:28">
      <c r="B82" s="141">
        <v>46226</v>
      </c>
      <c r="C82" s="1" t="s">
        <v>826</v>
      </c>
      <c r="F82" s="1" t="s">
        <v>832</v>
      </c>
      <c r="G82" s="1" t="s">
        <v>989</v>
      </c>
      <c r="H82" s="4">
        <v>52</v>
      </c>
      <c r="I82" s="38">
        <v>1</v>
      </c>
      <c r="J82" s="4">
        <v>0</v>
      </c>
      <c r="K82" s="4">
        <v>0</v>
      </c>
      <c r="L82" s="65">
        <v>0</v>
      </c>
      <c r="M82" s="64">
        <v>0</v>
      </c>
      <c r="N82" s="64">
        <v>52</v>
      </c>
      <c r="O82" s="65">
        <v>1</v>
      </c>
      <c r="P82" s="64">
        <v>52</v>
      </c>
      <c r="Q82" s="65">
        <v>1</v>
      </c>
      <c r="R82" s="64">
        <v>0</v>
      </c>
      <c r="S82" s="64">
        <v>0</v>
      </c>
      <c r="T82" s="64">
        <v>0</v>
      </c>
      <c r="V82" s="64">
        <v>52</v>
      </c>
      <c r="W82" s="66">
        <v>46246</v>
      </c>
      <c r="X82">
        <v>20</v>
      </c>
      <c r="Y82">
        <v>1000</v>
      </c>
      <c r="Z82" t="e">
        <v>#REF!</v>
      </c>
      <c r="AA82" t="s">
        <v>944</v>
      </c>
      <c r="AB82" t="s">
        <v>169</v>
      </c>
    </row>
    <row r="83" spans="2:28">
      <c r="B83" s="141">
        <v>46226</v>
      </c>
      <c r="C83" s="1" t="s">
        <v>826</v>
      </c>
      <c r="F83" s="1" t="s">
        <v>833</v>
      </c>
      <c r="G83" s="1" t="s">
        <v>990</v>
      </c>
      <c r="H83" s="4">
        <v>50</v>
      </c>
      <c r="I83" s="38">
        <v>1</v>
      </c>
      <c r="J83" s="4">
        <v>0</v>
      </c>
      <c r="K83" s="4">
        <v>0</v>
      </c>
      <c r="L83" s="65">
        <v>0</v>
      </c>
      <c r="M83" s="64">
        <v>0</v>
      </c>
      <c r="N83" s="64">
        <v>50</v>
      </c>
      <c r="O83" s="65">
        <v>1</v>
      </c>
      <c r="P83" s="64">
        <v>50</v>
      </c>
      <c r="Q83" s="65">
        <v>1</v>
      </c>
      <c r="R83" s="64">
        <v>0</v>
      </c>
      <c r="S83" s="64">
        <v>0</v>
      </c>
      <c r="T83" s="64">
        <v>0</v>
      </c>
      <c r="V83" s="64">
        <v>50</v>
      </c>
      <c r="W83" s="66">
        <v>46246</v>
      </c>
      <c r="X83">
        <v>20</v>
      </c>
      <c r="Y83">
        <v>1000</v>
      </c>
      <c r="Z83" t="e">
        <v>#REF!</v>
      </c>
      <c r="AA83" t="s">
        <v>944</v>
      </c>
      <c r="AB83" t="s">
        <v>169</v>
      </c>
    </row>
    <row r="84" spans="2:28">
      <c r="B84" s="141">
        <v>46226</v>
      </c>
      <c r="C84" s="1" t="s">
        <v>826</v>
      </c>
      <c r="F84" s="1" t="s">
        <v>834</v>
      </c>
      <c r="G84" s="1" t="s">
        <v>991</v>
      </c>
      <c r="H84" s="4">
        <v>33</v>
      </c>
      <c r="I84" s="38">
        <v>1</v>
      </c>
      <c r="J84" s="4">
        <v>0</v>
      </c>
      <c r="K84" s="4">
        <v>0</v>
      </c>
      <c r="L84" s="65">
        <v>0</v>
      </c>
      <c r="M84" s="64">
        <v>0</v>
      </c>
      <c r="N84" s="64">
        <v>33</v>
      </c>
      <c r="O84" s="65">
        <v>1</v>
      </c>
      <c r="P84" s="64">
        <v>33</v>
      </c>
      <c r="Q84" s="65">
        <v>1</v>
      </c>
      <c r="R84" s="64">
        <v>0</v>
      </c>
      <c r="S84" s="64">
        <v>0</v>
      </c>
      <c r="T84" s="64">
        <v>0</v>
      </c>
      <c r="V84" s="64">
        <v>33</v>
      </c>
      <c r="W84" s="66">
        <v>46246</v>
      </c>
      <c r="X84">
        <v>20</v>
      </c>
      <c r="Y84">
        <v>1000</v>
      </c>
      <c r="Z84" t="e">
        <v>#REF!</v>
      </c>
      <c r="AA84" t="s">
        <v>944</v>
      </c>
      <c r="AB84" t="s">
        <v>169</v>
      </c>
    </row>
    <row r="85" spans="2:28">
      <c r="B85" s="141">
        <v>46226</v>
      </c>
      <c r="C85" s="1" t="s">
        <v>826</v>
      </c>
      <c r="F85" s="1" t="s">
        <v>835</v>
      </c>
      <c r="G85" s="1" t="s">
        <v>992</v>
      </c>
      <c r="H85" s="4">
        <v>100</v>
      </c>
      <c r="I85" s="38">
        <v>2</v>
      </c>
      <c r="J85" s="4">
        <v>0</v>
      </c>
      <c r="K85" s="4">
        <v>0</v>
      </c>
      <c r="L85" s="65">
        <v>0</v>
      </c>
      <c r="M85" s="64">
        <v>0</v>
      </c>
      <c r="N85" s="64">
        <v>100</v>
      </c>
      <c r="O85" s="65">
        <v>2</v>
      </c>
      <c r="P85" s="64">
        <v>100</v>
      </c>
      <c r="Q85" s="65">
        <v>2</v>
      </c>
      <c r="R85" s="64">
        <v>0</v>
      </c>
      <c r="S85" s="64">
        <v>0</v>
      </c>
      <c r="T85" s="64">
        <v>0</v>
      </c>
      <c r="V85" s="64">
        <v>56</v>
      </c>
      <c r="W85" s="66">
        <v>46246</v>
      </c>
      <c r="X85">
        <v>20</v>
      </c>
      <c r="Y85">
        <v>1000</v>
      </c>
      <c r="Z85" t="e">
        <v>#REF!</v>
      </c>
      <c r="AA85" t="s">
        <v>944</v>
      </c>
      <c r="AB85" t="s">
        <v>169</v>
      </c>
    </row>
    <row r="86" spans="2:28">
      <c r="B86" s="141">
        <v>46226</v>
      </c>
      <c r="C86" s="1" t="s">
        <v>827</v>
      </c>
      <c r="F86" s="1" t="s">
        <v>836</v>
      </c>
      <c r="G86" s="1" t="s">
        <v>993</v>
      </c>
      <c r="H86" s="4">
        <v>200</v>
      </c>
      <c r="I86" s="38">
        <v>4</v>
      </c>
      <c r="J86" s="4">
        <v>0</v>
      </c>
      <c r="K86" s="4">
        <v>0</v>
      </c>
      <c r="L86" s="65">
        <v>0</v>
      </c>
      <c r="M86" s="64">
        <v>0</v>
      </c>
      <c r="N86" s="64">
        <v>200</v>
      </c>
      <c r="O86" s="65">
        <v>4</v>
      </c>
      <c r="P86" s="64">
        <v>200</v>
      </c>
      <c r="Q86" s="65">
        <v>4</v>
      </c>
      <c r="R86" s="64">
        <v>0</v>
      </c>
      <c r="S86" s="64">
        <v>0</v>
      </c>
      <c r="T86" s="64">
        <v>0</v>
      </c>
      <c r="V86" s="64">
        <v>60</v>
      </c>
      <c r="W86" s="66">
        <v>46246</v>
      </c>
      <c r="X86">
        <v>20</v>
      </c>
      <c r="Y86">
        <v>1000</v>
      </c>
      <c r="Z86" t="e">
        <v>#REF!</v>
      </c>
      <c r="AA86" t="s">
        <v>944</v>
      </c>
      <c r="AB86" t="s">
        <v>169</v>
      </c>
    </row>
    <row r="87" spans="2:28">
      <c r="B87" s="141">
        <v>46226</v>
      </c>
      <c r="C87" s="1" t="s">
        <v>994</v>
      </c>
      <c r="F87" s="1" t="s">
        <v>995</v>
      </c>
      <c r="G87" s="1" t="s">
        <v>996</v>
      </c>
      <c r="H87" s="4">
        <v>670</v>
      </c>
      <c r="I87" s="38">
        <v>19</v>
      </c>
      <c r="J87" s="4">
        <v>0</v>
      </c>
      <c r="K87" s="4">
        <v>0</v>
      </c>
      <c r="L87" s="65">
        <v>0</v>
      </c>
      <c r="M87" s="64">
        <v>0</v>
      </c>
      <c r="N87" s="64">
        <v>310</v>
      </c>
      <c r="O87" s="65">
        <v>9</v>
      </c>
      <c r="P87" s="64">
        <v>310</v>
      </c>
      <c r="Q87" s="65">
        <v>9</v>
      </c>
      <c r="R87" s="64">
        <v>0</v>
      </c>
      <c r="S87" s="64">
        <v>360</v>
      </c>
      <c r="T87" s="64">
        <v>360</v>
      </c>
      <c r="V87" s="64">
        <v>36</v>
      </c>
      <c r="W87" s="66">
        <v>46246</v>
      </c>
      <c r="X87">
        <v>20</v>
      </c>
      <c r="Y87">
        <v>1000</v>
      </c>
      <c r="Z87" t="e">
        <v>#REF!</v>
      </c>
      <c r="AA87" t="s">
        <v>944</v>
      </c>
      <c r="AB87" t="s">
        <v>169</v>
      </c>
    </row>
    <row r="88" spans="2:28">
      <c r="B88" s="141">
        <v>46226</v>
      </c>
      <c r="C88" s="1" t="s">
        <v>828</v>
      </c>
      <c r="F88" s="1" t="s">
        <v>837</v>
      </c>
      <c r="G88" s="1" t="s">
        <v>997</v>
      </c>
      <c r="H88" s="4">
        <v>30</v>
      </c>
      <c r="I88" s="38">
        <v>1</v>
      </c>
      <c r="J88" s="4">
        <v>0</v>
      </c>
      <c r="K88" s="4">
        <v>0</v>
      </c>
      <c r="L88" s="65">
        <v>0</v>
      </c>
      <c r="M88" s="64">
        <v>0</v>
      </c>
      <c r="N88" s="64">
        <v>30</v>
      </c>
      <c r="O88" s="65">
        <v>1</v>
      </c>
      <c r="P88" s="64">
        <v>30</v>
      </c>
      <c r="Q88" s="65">
        <v>1</v>
      </c>
      <c r="R88" s="64">
        <v>0</v>
      </c>
      <c r="S88" s="64">
        <v>0</v>
      </c>
      <c r="T88" s="64">
        <v>0</v>
      </c>
      <c r="V88" s="64">
        <v>30</v>
      </c>
      <c r="W88" s="66">
        <v>46246</v>
      </c>
      <c r="X88">
        <v>20</v>
      </c>
      <c r="Y88">
        <v>1000</v>
      </c>
      <c r="Z88" t="e">
        <v>#REF!</v>
      </c>
      <c r="AA88" t="s">
        <v>944</v>
      </c>
      <c r="AB88" t="s">
        <v>169</v>
      </c>
    </row>
    <row r="89" spans="2:28">
      <c r="B89" s="141">
        <v>46226</v>
      </c>
      <c r="C89" s="1" t="s">
        <v>828</v>
      </c>
      <c r="F89" s="1" t="s">
        <v>838</v>
      </c>
      <c r="G89" s="1" t="s">
        <v>998</v>
      </c>
      <c r="H89" s="4">
        <v>60</v>
      </c>
      <c r="I89" s="38">
        <v>2</v>
      </c>
      <c r="J89" s="4">
        <v>0</v>
      </c>
      <c r="K89" s="4">
        <v>0</v>
      </c>
      <c r="L89" s="65">
        <v>0</v>
      </c>
      <c r="M89" s="64">
        <v>0</v>
      </c>
      <c r="N89" s="64">
        <v>60</v>
      </c>
      <c r="O89" s="65">
        <v>2</v>
      </c>
      <c r="P89" s="64">
        <v>60</v>
      </c>
      <c r="Q89" s="65">
        <v>2</v>
      </c>
      <c r="R89" s="64">
        <v>0</v>
      </c>
      <c r="S89" s="64">
        <v>0</v>
      </c>
      <c r="T89" s="64">
        <v>0</v>
      </c>
      <c r="V89" s="64">
        <v>32</v>
      </c>
      <c r="W89" s="66">
        <v>46246</v>
      </c>
      <c r="X89">
        <v>20</v>
      </c>
      <c r="Y89">
        <v>1000</v>
      </c>
      <c r="Z89" t="e">
        <v>#REF!</v>
      </c>
      <c r="AA89" t="s">
        <v>944</v>
      </c>
      <c r="AB89" t="s">
        <v>169</v>
      </c>
    </row>
    <row r="90" spans="2:28">
      <c r="B90" s="141">
        <v>46226</v>
      </c>
      <c r="C90" s="1" t="s">
        <v>828</v>
      </c>
      <c r="F90" s="1" t="s">
        <v>839</v>
      </c>
      <c r="G90" s="1" t="s">
        <v>999</v>
      </c>
      <c r="H90" s="4">
        <v>30</v>
      </c>
      <c r="I90" s="38">
        <v>1</v>
      </c>
      <c r="J90" s="4">
        <v>0</v>
      </c>
      <c r="K90" s="4">
        <v>0</v>
      </c>
      <c r="L90" s="65">
        <v>0</v>
      </c>
      <c r="M90" s="64">
        <v>0</v>
      </c>
      <c r="N90" s="64">
        <v>30</v>
      </c>
      <c r="O90" s="65">
        <v>1</v>
      </c>
      <c r="P90" s="64">
        <v>30</v>
      </c>
      <c r="Q90" s="65">
        <v>1</v>
      </c>
      <c r="R90" s="64">
        <v>0</v>
      </c>
      <c r="S90" s="64">
        <v>0</v>
      </c>
      <c r="T90" s="64">
        <v>0</v>
      </c>
      <c r="V90" s="64">
        <v>30</v>
      </c>
      <c r="W90" s="66">
        <v>46246</v>
      </c>
      <c r="X90">
        <v>20</v>
      </c>
      <c r="Y90">
        <v>1000</v>
      </c>
      <c r="Z90" t="e">
        <v>#REF!</v>
      </c>
      <c r="AA90" t="s">
        <v>944</v>
      </c>
      <c r="AB90" t="s">
        <v>169</v>
      </c>
    </row>
    <row r="91" spans="2:28">
      <c r="B91" s="141">
        <v>46226</v>
      </c>
      <c r="C91" s="1" t="s">
        <v>828</v>
      </c>
      <c r="F91" s="1" t="s">
        <v>840</v>
      </c>
      <c r="G91" s="1" t="s">
        <v>1000</v>
      </c>
      <c r="H91" s="4">
        <v>60</v>
      </c>
      <c r="I91" s="38">
        <v>2</v>
      </c>
      <c r="J91" s="4">
        <v>0</v>
      </c>
      <c r="K91" s="4">
        <v>0</v>
      </c>
      <c r="L91" s="65">
        <v>0</v>
      </c>
      <c r="M91" s="64">
        <v>0</v>
      </c>
      <c r="N91" s="64">
        <v>60</v>
      </c>
      <c r="O91" s="65">
        <v>2</v>
      </c>
      <c r="P91" s="64">
        <v>60</v>
      </c>
      <c r="Q91" s="65">
        <v>2</v>
      </c>
      <c r="R91" s="64">
        <v>0</v>
      </c>
      <c r="S91" s="64">
        <v>0</v>
      </c>
      <c r="T91" s="64">
        <v>0</v>
      </c>
      <c r="V91" s="64">
        <v>48</v>
      </c>
      <c r="W91" s="66">
        <v>46246</v>
      </c>
      <c r="X91">
        <v>20</v>
      </c>
      <c r="Y91">
        <v>1000</v>
      </c>
      <c r="Z91" t="e">
        <v>#REF!</v>
      </c>
      <c r="AA91" t="s">
        <v>944</v>
      </c>
      <c r="AB91" t="s">
        <v>169</v>
      </c>
    </row>
    <row r="92" spans="2:28">
      <c r="B92" s="141"/>
      <c r="G92" s="1" t="s">
        <v>169</v>
      </c>
      <c r="I92" s="38">
        <v>0</v>
      </c>
      <c r="J92" s="4">
        <v>0</v>
      </c>
      <c r="K92" s="4">
        <v>0</v>
      </c>
      <c r="L92" s="65">
        <v>0</v>
      </c>
      <c r="M92" s="64">
        <v>0</v>
      </c>
      <c r="N92" s="64">
        <v>0</v>
      </c>
      <c r="O92" s="65">
        <v>0</v>
      </c>
      <c r="P92" s="64">
        <v>0</v>
      </c>
      <c r="Q92" s="65">
        <v>0</v>
      </c>
      <c r="R92" s="64">
        <v>0</v>
      </c>
      <c r="S92" s="64">
        <v>0</v>
      </c>
      <c r="T92" s="64">
        <v>0</v>
      </c>
      <c r="V92" s="64">
        <v>100</v>
      </c>
      <c r="W92" s="66">
        <v>20</v>
      </c>
      <c r="X92">
        <v>20</v>
      </c>
      <c r="Y92">
        <v>1000</v>
      </c>
      <c r="Z92" t="e">
        <v>#REF!</v>
      </c>
      <c r="AA92">
        <v>0</v>
      </c>
      <c r="AB92" t="s">
        <v>169</v>
      </c>
    </row>
    <row r="93" spans="2:28">
      <c r="B93" s="141"/>
      <c r="G93" s="1" t="s">
        <v>169</v>
      </c>
      <c r="I93" s="38">
        <v>0</v>
      </c>
      <c r="J93" s="4">
        <v>0</v>
      </c>
      <c r="K93" s="4">
        <v>0</v>
      </c>
      <c r="L93" s="65">
        <v>0</v>
      </c>
      <c r="M93" s="64">
        <v>0</v>
      </c>
      <c r="N93" s="64">
        <v>0</v>
      </c>
      <c r="O93" s="65">
        <v>0</v>
      </c>
      <c r="P93" s="64">
        <v>0</v>
      </c>
      <c r="Q93" s="65">
        <v>0</v>
      </c>
      <c r="R93" s="64">
        <v>0</v>
      </c>
      <c r="S93" s="64">
        <v>0</v>
      </c>
      <c r="T93" s="64">
        <v>0</v>
      </c>
      <c r="V93" s="64">
        <v>100</v>
      </c>
      <c r="W93" s="66">
        <v>20</v>
      </c>
      <c r="X93">
        <v>20</v>
      </c>
      <c r="Y93">
        <v>1000</v>
      </c>
      <c r="Z93" t="e">
        <v>#REF!</v>
      </c>
      <c r="AA93">
        <v>0</v>
      </c>
      <c r="AB93" t="s">
        <v>169</v>
      </c>
    </row>
    <row r="94" spans="2:28">
      <c r="B94" s="141"/>
      <c r="G94" s="1" t="s">
        <v>169</v>
      </c>
      <c r="I94" s="38">
        <v>0</v>
      </c>
      <c r="J94" s="4">
        <v>0</v>
      </c>
      <c r="K94" s="4">
        <v>0</v>
      </c>
      <c r="L94" s="65">
        <v>0</v>
      </c>
      <c r="M94" s="64">
        <v>0</v>
      </c>
      <c r="N94" s="64">
        <v>0</v>
      </c>
      <c r="O94" s="65">
        <v>0</v>
      </c>
      <c r="P94" s="64">
        <v>0</v>
      </c>
      <c r="Q94" s="65">
        <v>0</v>
      </c>
      <c r="R94" s="64">
        <v>0</v>
      </c>
      <c r="S94" s="64">
        <v>0</v>
      </c>
      <c r="T94" s="64">
        <v>0</v>
      </c>
      <c r="V94" s="64">
        <v>100</v>
      </c>
      <c r="W94" s="66">
        <v>20</v>
      </c>
      <c r="X94">
        <v>20</v>
      </c>
      <c r="Y94">
        <v>1000</v>
      </c>
      <c r="Z94" t="e">
        <v>#REF!</v>
      </c>
      <c r="AA94">
        <v>0</v>
      </c>
      <c r="AB94" t="s">
        <v>169</v>
      </c>
    </row>
    <row r="95" spans="2:28">
      <c r="B95" s="141"/>
      <c r="G95" s="1" t="s">
        <v>169</v>
      </c>
      <c r="I95" s="38">
        <v>0</v>
      </c>
      <c r="J95" s="4">
        <v>0</v>
      </c>
      <c r="K95" s="4">
        <v>0</v>
      </c>
      <c r="L95" s="65">
        <v>0</v>
      </c>
      <c r="M95" s="64">
        <v>0</v>
      </c>
      <c r="N95" s="64">
        <v>0</v>
      </c>
      <c r="O95" s="65">
        <v>0</v>
      </c>
      <c r="P95" s="64">
        <v>0</v>
      </c>
      <c r="Q95" s="65">
        <v>0</v>
      </c>
      <c r="R95" s="64">
        <v>0</v>
      </c>
      <c r="S95" s="64">
        <v>0</v>
      </c>
      <c r="T95" s="64">
        <v>0</v>
      </c>
      <c r="V95" s="64">
        <v>100</v>
      </c>
      <c r="W95" s="66">
        <v>20</v>
      </c>
      <c r="X95">
        <v>20</v>
      </c>
      <c r="Y95">
        <v>1000</v>
      </c>
      <c r="Z95" t="e">
        <v>#REF!</v>
      </c>
      <c r="AA95">
        <v>0</v>
      </c>
      <c r="AB95" t="s">
        <v>169</v>
      </c>
    </row>
    <row r="96" spans="2:28">
      <c r="B96" s="141"/>
      <c r="G96" s="1" t="s">
        <v>169</v>
      </c>
      <c r="I96" s="38">
        <v>0</v>
      </c>
      <c r="J96" s="4">
        <v>0</v>
      </c>
      <c r="K96" s="4">
        <v>0</v>
      </c>
      <c r="L96" s="65">
        <v>0</v>
      </c>
      <c r="M96" s="64">
        <v>0</v>
      </c>
      <c r="N96" s="64">
        <v>0</v>
      </c>
      <c r="O96" s="65">
        <v>0</v>
      </c>
      <c r="P96" s="64">
        <v>0</v>
      </c>
      <c r="Q96" s="65">
        <v>0</v>
      </c>
      <c r="R96" s="64">
        <v>0</v>
      </c>
      <c r="S96" s="64">
        <v>0</v>
      </c>
      <c r="T96" s="64">
        <v>0</v>
      </c>
      <c r="V96" s="64">
        <v>100</v>
      </c>
      <c r="W96" s="66">
        <v>20</v>
      </c>
      <c r="X96">
        <v>20</v>
      </c>
      <c r="Y96">
        <v>1000</v>
      </c>
      <c r="Z96" t="e">
        <v>#REF!</v>
      </c>
      <c r="AA96">
        <v>0</v>
      </c>
      <c r="AB96" t="s">
        <v>169</v>
      </c>
    </row>
    <row r="97" spans="2:28">
      <c r="B97" s="141"/>
      <c r="G97" s="1" t="s">
        <v>169</v>
      </c>
      <c r="I97" s="38">
        <v>0</v>
      </c>
      <c r="J97" s="4">
        <v>0</v>
      </c>
      <c r="K97" s="4">
        <v>0</v>
      </c>
      <c r="L97" s="65">
        <v>0</v>
      </c>
      <c r="M97" s="64">
        <v>0</v>
      </c>
      <c r="N97" s="64">
        <v>0</v>
      </c>
      <c r="O97" s="65">
        <v>0</v>
      </c>
      <c r="P97" s="64">
        <v>0</v>
      </c>
      <c r="Q97" s="65">
        <v>0</v>
      </c>
      <c r="R97" s="64">
        <v>0</v>
      </c>
      <c r="S97" s="64">
        <v>0</v>
      </c>
      <c r="T97" s="64">
        <v>0</v>
      </c>
      <c r="V97" s="64">
        <v>100</v>
      </c>
      <c r="W97" s="66">
        <v>20</v>
      </c>
      <c r="X97">
        <v>20</v>
      </c>
      <c r="Y97">
        <v>1000</v>
      </c>
      <c r="Z97" t="e">
        <v>#REF!</v>
      </c>
      <c r="AA97">
        <v>0</v>
      </c>
      <c r="AB97" t="s">
        <v>169</v>
      </c>
    </row>
    <row r="98" spans="2:28">
      <c r="B98" s="141"/>
      <c r="G98" s="1" t="s">
        <v>169</v>
      </c>
      <c r="I98" s="38">
        <v>0</v>
      </c>
      <c r="J98" s="4">
        <v>0</v>
      </c>
      <c r="K98" s="4">
        <v>0</v>
      </c>
      <c r="L98" s="65">
        <v>0</v>
      </c>
      <c r="M98" s="64">
        <v>0</v>
      </c>
      <c r="N98" s="64">
        <v>0</v>
      </c>
      <c r="O98" s="65">
        <v>0</v>
      </c>
      <c r="P98" s="64">
        <v>0</v>
      </c>
      <c r="Q98" s="65">
        <v>0</v>
      </c>
      <c r="R98" s="64">
        <v>0</v>
      </c>
      <c r="S98" s="64">
        <v>0</v>
      </c>
      <c r="T98" s="64">
        <v>0</v>
      </c>
      <c r="V98" s="64">
        <v>100</v>
      </c>
      <c r="W98" s="66">
        <v>20</v>
      </c>
      <c r="X98">
        <v>20</v>
      </c>
      <c r="Y98">
        <v>1000</v>
      </c>
      <c r="Z98" t="e">
        <v>#REF!</v>
      </c>
      <c r="AA98">
        <v>0</v>
      </c>
      <c r="AB98" t="s">
        <v>169</v>
      </c>
    </row>
    <row r="99" spans="2:28">
      <c r="B99" s="141"/>
      <c r="G99" s="1" t="s">
        <v>169</v>
      </c>
      <c r="I99" s="38">
        <v>0</v>
      </c>
      <c r="J99" s="4">
        <v>0</v>
      </c>
      <c r="K99" s="4">
        <v>0</v>
      </c>
      <c r="L99" s="65">
        <v>0</v>
      </c>
      <c r="M99" s="64">
        <v>0</v>
      </c>
      <c r="N99" s="64">
        <v>0</v>
      </c>
      <c r="O99" s="65">
        <v>0</v>
      </c>
      <c r="P99" s="64">
        <v>0</v>
      </c>
      <c r="Q99" s="65">
        <v>0</v>
      </c>
      <c r="R99" s="64">
        <v>0</v>
      </c>
      <c r="S99" s="64">
        <v>0</v>
      </c>
      <c r="T99" s="64">
        <v>0</v>
      </c>
      <c r="V99" s="64">
        <v>100</v>
      </c>
      <c r="W99" s="66">
        <v>20</v>
      </c>
      <c r="X99">
        <v>20</v>
      </c>
      <c r="Y99">
        <v>1000</v>
      </c>
      <c r="Z99" t="e">
        <v>#REF!</v>
      </c>
      <c r="AA99">
        <v>0</v>
      </c>
      <c r="AB99" t="s">
        <v>169</v>
      </c>
    </row>
    <row r="100" spans="2:28">
      <c r="B100" s="141"/>
      <c r="G100" s="1"/>
      <c r="K100" s="4"/>
      <c r="L100" s="65"/>
      <c r="M100" s="64"/>
      <c r="N100" s="64"/>
      <c r="O100" s="65"/>
      <c r="P100" s="64"/>
      <c r="Q100" s="65"/>
      <c r="R100" s="64"/>
      <c r="S100" s="64"/>
      <c r="T100" s="64"/>
      <c r="V100" s="64"/>
      <c r="W100" s="66"/>
    </row>
    <row r="101" spans="2:28">
      <c r="G101" s="1"/>
      <c r="K101" s="4"/>
      <c r="L101" s="65"/>
      <c r="M101" s="64"/>
      <c r="N101" s="64"/>
      <c r="O101" s="65"/>
      <c r="P101" s="64"/>
      <c r="Q101" s="65"/>
      <c r="R101" s="64">
        <v>0</v>
      </c>
      <c r="S101" s="64"/>
      <c r="T101" s="64"/>
      <c r="V101" s="64"/>
    </row>
    <row r="102" spans="2:28">
      <c r="E102" s="170"/>
      <c r="F102" s="170"/>
      <c r="G102" s="170"/>
      <c r="H102" s="1"/>
      <c r="K102" s="4"/>
      <c r="L102" s="65"/>
      <c r="M102" s="64"/>
      <c r="N102" s="64"/>
      <c r="O102" s="65"/>
      <c r="P102" s="64"/>
      <c r="Q102" s="65"/>
      <c r="R102" s="64"/>
      <c r="S102" s="64"/>
      <c r="T102" s="64"/>
      <c r="V102" s="64"/>
    </row>
    <row r="103" spans="2:28">
      <c r="B103" s="107" t="s">
        <v>1001</v>
      </c>
      <c r="C103" s="1" t="s">
        <v>1002</v>
      </c>
      <c r="D103" s="1" t="s">
        <v>1003</v>
      </c>
      <c r="E103" s="1" t="s">
        <v>1004</v>
      </c>
      <c r="G103" s="1"/>
      <c r="H103" s="1"/>
      <c r="I103" s="1"/>
      <c r="J103" s="1"/>
    </row>
    <row r="104" spans="2:28">
      <c r="B104" s="107">
        <v>46174</v>
      </c>
      <c r="D104" s="1">
        <v>40</v>
      </c>
      <c r="E104" s="170">
        <v>301</v>
      </c>
      <c r="F104" s="1" t="s">
        <v>1005</v>
      </c>
      <c r="G104" s="1"/>
      <c r="K104" s="4"/>
      <c r="L104" s="65"/>
      <c r="M104" s="64"/>
      <c r="N104" s="64"/>
      <c r="O104" s="65"/>
      <c r="P104" s="64"/>
      <c r="Q104" s="65"/>
      <c r="R104" s="64"/>
      <c r="S104" s="64"/>
      <c r="T104" s="64"/>
      <c r="V104" s="64"/>
    </row>
    <row r="105" spans="2:28">
      <c r="B105" s="141">
        <v>46175</v>
      </c>
      <c r="D105" s="1">
        <v>42</v>
      </c>
      <c r="E105" s="170">
        <v>259</v>
      </c>
      <c r="F105" s="1" t="s">
        <v>1006</v>
      </c>
      <c r="G105" s="1"/>
      <c r="K105" s="4"/>
      <c r="L105" s="65"/>
      <c r="M105" s="64"/>
      <c r="N105" s="64"/>
      <c r="O105" s="65"/>
      <c r="P105" s="64"/>
      <c r="Q105" s="65"/>
      <c r="R105" s="64"/>
      <c r="S105" s="64"/>
      <c r="T105" s="64"/>
      <c r="V105" s="64"/>
    </row>
    <row r="106" spans="2:28">
      <c r="B106" s="107">
        <v>46178</v>
      </c>
      <c r="D106" s="1">
        <v>37</v>
      </c>
      <c r="E106" s="170">
        <v>222</v>
      </c>
      <c r="F106" s="1" t="s">
        <v>1007</v>
      </c>
      <c r="G106" s="1"/>
      <c r="K106" s="4"/>
      <c r="L106" s="65"/>
      <c r="M106" s="64"/>
      <c r="N106" s="64"/>
      <c r="O106" s="65"/>
      <c r="P106" s="64"/>
      <c r="Q106" s="65"/>
      <c r="R106" s="64"/>
      <c r="S106" s="64"/>
      <c r="T106" s="64"/>
      <c r="V106" s="64"/>
    </row>
    <row r="107" spans="2:28">
      <c r="B107" s="107">
        <v>46181</v>
      </c>
      <c r="D107" s="1">
        <v>22</v>
      </c>
      <c r="E107" s="170">
        <v>200</v>
      </c>
      <c r="F107" s="1" t="s">
        <v>1008</v>
      </c>
      <c r="G107" s="1"/>
      <c r="K107" s="4"/>
      <c r="L107" s="65"/>
      <c r="M107" s="64"/>
      <c r="N107" s="64"/>
      <c r="O107" s="65"/>
      <c r="P107" s="64"/>
      <c r="Q107" s="65"/>
      <c r="R107" s="64"/>
      <c r="S107" s="64"/>
      <c r="T107" s="64"/>
      <c r="V107" s="64"/>
    </row>
    <row r="108" spans="2:28">
      <c r="B108" s="141">
        <v>46195</v>
      </c>
      <c r="D108" s="1">
        <v>40</v>
      </c>
      <c r="E108" s="170">
        <v>160</v>
      </c>
      <c r="G108" s="1"/>
      <c r="K108" s="4"/>
      <c r="L108" s="65"/>
      <c r="M108" s="64"/>
      <c r="N108" s="64"/>
      <c r="O108" s="65"/>
      <c r="P108" s="64"/>
      <c r="Q108" s="65"/>
      <c r="R108" s="64"/>
      <c r="S108" s="64"/>
      <c r="T108" s="64"/>
      <c r="V108" s="64"/>
    </row>
    <row r="109" spans="2:28">
      <c r="B109" s="107">
        <v>46196</v>
      </c>
      <c r="D109" s="1">
        <v>20</v>
      </c>
      <c r="E109" s="170">
        <v>140</v>
      </c>
      <c r="G109" s="1"/>
      <c r="K109" s="4"/>
      <c r="L109" s="65"/>
      <c r="M109" s="64"/>
      <c r="N109" s="64"/>
      <c r="O109" s="65"/>
      <c r="P109" s="64"/>
      <c r="Q109" s="65"/>
      <c r="R109" s="64"/>
      <c r="S109" s="64"/>
      <c r="T109" s="64"/>
      <c r="V109" s="64"/>
    </row>
    <row r="110" spans="2:28">
      <c r="B110" s="141">
        <v>46197</v>
      </c>
      <c r="D110" s="1">
        <v>50</v>
      </c>
      <c r="E110" s="170">
        <v>90</v>
      </c>
      <c r="G110" s="1"/>
      <c r="K110" s="4"/>
      <c r="L110" s="65"/>
      <c r="M110" s="64"/>
      <c r="N110" s="64"/>
      <c r="O110" s="65"/>
      <c r="P110" s="64"/>
      <c r="Q110" s="65"/>
      <c r="R110" s="64"/>
      <c r="S110" s="64"/>
      <c r="T110" s="64"/>
      <c r="V110" s="64"/>
    </row>
    <row r="111" spans="2:28">
      <c r="B111" s="107">
        <v>46198</v>
      </c>
      <c r="D111" s="1">
        <v>43</v>
      </c>
      <c r="E111" s="170">
        <v>47</v>
      </c>
      <c r="G111" s="1"/>
      <c r="K111" s="4"/>
      <c r="L111" s="65"/>
      <c r="M111" s="64"/>
      <c r="N111" s="64"/>
      <c r="O111" s="65"/>
      <c r="P111" s="64"/>
      <c r="Q111" s="65"/>
      <c r="R111" s="64"/>
      <c r="S111" s="64"/>
      <c r="T111" s="64"/>
      <c r="V111" s="64"/>
    </row>
    <row r="112" spans="2:28">
      <c r="B112" s="107">
        <v>46209</v>
      </c>
      <c r="C112" s="1">
        <v>200</v>
      </c>
      <c r="E112" s="170">
        <v>247</v>
      </c>
      <c r="G112" s="1"/>
      <c r="K112" s="4"/>
      <c r="L112" s="65"/>
      <c r="M112" s="64"/>
      <c r="N112" s="64"/>
      <c r="O112" s="65"/>
      <c r="P112" s="64"/>
      <c r="Q112" s="65"/>
      <c r="R112" s="64"/>
      <c r="S112" s="64"/>
      <c r="T112" s="64"/>
      <c r="V112" s="64"/>
    </row>
    <row r="113" spans="2:22">
      <c r="B113" s="107">
        <v>46209</v>
      </c>
      <c r="D113" s="1">
        <v>40</v>
      </c>
      <c r="E113" s="170">
        <v>207</v>
      </c>
      <c r="G113" s="1"/>
      <c r="K113" s="4"/>
      <c r="L113" s="65"/>
      <c r="M113" s="64"/>
      <c r="N113" s="64"/>
      <c r="O113" s="65"/>
      <c r="P113" s="64"/>
      <c r="Q113" s="65"/>
      <c r="R113" s="64"/>
      <c r="S113" s="64"/>
      <c r="T113" s="64"/>
      <c r="V113" s="64"/>
    </row>
    <row r="114" spans="2:22">
      <c r="B114" s="107">
        <v>46212</v>
      </c>
      <c r="D114" s="1">
        <v>36</v>
      </c>
      <c r="E114" s="170">
        <v>171</v>
      </c>
      <c r="G114" s="1"/>
      <c r="K114" s="4"/>
      <c r="L114" s="65"/>
      <c r="M114" s="64"/>
      <c r="N114" s="64"/>
      <c r="O114" s="65"/>
      <c r="P114" s="64"/>
      <c r="Q114" s="65"/>
      <c r="R114" s="64"/>
      <c r="S114" s="64"/>
      <c r="T114" s="64"/>
      <c r="V114" s="64"/>
    </row>
    <row r="115" spans="2:22">
      <c r="B115" s="141">
        <v>46213</v>
      </c>
      <c r="D115" s="1">
        <v>83</v>
      </c>
      <c r="E115" s="170">
        <v>88</v>
      </c>
      <c r="G115" s="1"/>
      <c r="K115" s="4"/>
      <c r="L115" s="65"/>
      <c r="M115" s="64"/>
      <c r="N115" s="64"/>
      <c r="O115" s="65"/>
      <c r="P115" s="64"/>
      <c r="Q115" s="65"/>
      <c r="R115" s="64"/>
      <c r="S115" s="64"/>
      <c r="T115" s="64"/>
      <c r="V115" s="64"/>
    </row>
    <row r="116" spans="2:22">
      <c r="B116" s="107">
        <v>46216</v>
      </c>
      <c r="D116" s="1">
        <v>40</v>
      </c>
      <c r="E116" s="170">
        <v>48</v>
      </c>
      <c r="G116" s="1"/>
      <c r="K116" s="4"/>
      <c r="L116" s="65"/>
      <c r="M116" s="64"/>
      <c r="N116" s="64"/>
      <c r="O116" s="65"/>
      <c r="P116" s="64"/>
      <c r="Q116" s="65"/>
      <c r="R116" s="64"/>
      <c r="S116" s="64"/>
      <c r="T116" s="64"/>
      <c r="V116" s="64"/>
    </row>
    <row r="117" spans="2:22">
      <c r="B117" s="107">
        <v>46218</v>
      </c>
      <c r="D117" s="1">
        <v>52</v>
      </c>
      <c r="E117" s="170">
        <v>-4</v>
      </c>
      <c r="G117" s="1"/>
      <c r="K117" s="4"/>
      <c r="L117" s="65"/>
      <c r="M117" s="64"/>
      <c r="N117" s="64"/>
      <c r="O117" s="65"/>
      <c r="P117" s="64"/>
      <c r="Q117" s="65"/>
      <c r="R117" s="64"/>
      <c r="S117" s="64"/>
      <c r="T117" s="64"/>
      <c r="V117" s="64"/>
    </row>
    <row r="118" spans="2:22">
      <c r="B118" s="107">
        <v>46219</v>
      </c>
      <c r="C118" s="1">
        <v>200</v>
      </c>
      <c r="E118" s="170">
        <v>196</v>
      </c>
      <c r="G118" s="1"/>
      <c r="K118" s="4"/>
      <c r="L118" s="65"/>
      <c r="M118" s="64"/>
      <c r="N118" s="64"/>
      <c r="O118" s="65"/>
      <c r="P118" s="64"/>
      <c r="Q118" s="65"/>
      <c r="R118" s="64"/>
      <c r="S118" s="64"/>
      <c r="T118" s="64"/>
      <c r="V118" s="64"/>
    </row>
    <row r="119" spans="2:22">
      <c r="B119" s="107">
        <v>46223</v>
      </c>
      <c r="D119" s="1">
        <v>20</v>
      </c>
      <c r="E119" s="170">
        <v>176</v>
      </c>
      <c r="G119" s="1"/>
      <c r="K119" s="4"/>
      <c r="L119" s="65"/>
      <c r="M119" s="64"/>
      <c r="N119" s="64"/>
      <c r="O119" s="65"/>
      <c r="P119" s="64"/>
      <c r="Q119" s="65"/>
      <c r="R119" s="64"/>
      <c r="S119" s="64"/>
      <c r="T119" s="64"/>
      <c r="V119" s="64"/>
    </row>
    <row r="120" spans="2:22">
      <c r="B120" s="107">
        <v>46225</v>
      </c>
      <c r="D120" s="1">
        <v>63</v>
      </c>
      <c r="E120" s="170">
        <v>113</v>
      </c>
      <c r="G120" s="1"/>
      <c r="K120" s="4"/>
      <c r="L120" s="65"/>
      <c r="M120" s="64"/>
      <c r="N120" s="64"/>
      <c r="O120" s="65"/>
      <c r="P120" s="64"/>
      <c r="Q120" s="65"/>
      <c r="R120" s="64"/>
      <c r="S120" s="64"/>
      <c r="T120" s="64"/>
      <c r="V120" s="64"/>
    </row>
    <row r="121" spans="2:22">
      <c r="B121" s="107">
        <v>46226</v>
      </c>
      <c r="D121" s="1">
        <v>46</v>
      </c>
      <c r="E121" s="170">
        <v>67</v>
      </c>
      <c r="G121" s="1"/>
      <c r="K121" s="4"/>
      <c r="L121" s="65"/>
      <c r="M121" s="64"/>
      <c r="N121" s="64"/>
      <c r="O121" s="65"/>
      <c r="P121" s="64"/>
      <c r="Q121" s="65"/>
      <c r="R121" s="64"/>
      <c r="S121" s="64"/>
      <c r="T121" s="64"/>
      <c r="V121" s="64"/>
    </row>
    <row r="122" spans="2:22">
      <c r="G122" s="1"/>
      <c r="K122" s="4"/>
      <c r="L122" s="65"/>
      <c r="M122" s="64"/>
      <c r="N122" s="64"/>
      <c r="O122" s="65"/>
      <c r="P122" s="64"/>
      <c r="Q122" s="65"/>
      <c r="R122" s="64"/>
      <c r="S122" s="64"/>
      <c r="T122" s="64"/>
      <c r="V122" s="64"/>
    </row>
    <row r="123" spans="2:22">
      <c r="G123" s="1"/>
      <c r="K123" s="4"/>
      <c r="L123" s="65"/>
      <c r="M123" s="64"/>
      <c r="N123" s="64"/>
      <c r="O123" s="65"/>
      <c r="P123" s="64"/>
      <c r="Q123" s="65"/>
      <c r="R123" s="64"/>
      <c r="S123" s="64"/>
      <c r="T123" s="64"/>
      <c r="V123" s="64"/>
    </row>
    <row r="124" spans="2:22">
      <c r="G124" s="1"/>
      <c r="K124" s="4"/>
      <c r="L124" s="65"/>
      <c r="M124" s="64"/>
      <c r="N124" s="64"/>
      <c r="O124" s="65"/>
      <c r="P124" s="64"/>
      <c r="Q124" s="65"/>
      <c r="R124" s="64"/>
      <c r="S124" s="64"/>
      <c r="T124" s="64"/>
      <c r="V124" s="64"/>
    </row>
    <row r="125" spans="2:22">
      <c r="G125" s="1"/>
      <c r="K125" s="4"/>
      <c r="L125" s="65"/>
      <c r="M125" s="64"/>
      <c r="N125" s="64"/>
      <c r="O125" s="65"/>
      <c r="P125" s="64"/>
      <c r="Q125" s="65"/>
      <c r="R125" s="64"/>
      <c r="S125" s="64"/>
      <c r="T125" s="64"/>
      <c r="V125" s="64"/>
    </row>
    <row r="126" spans="2:22">
      <c r="G126" s="1"/>
      <c r="K126" s="4"/>
      <c r="L126" s="65"/>
      <c r="M126" s="64"/>
      <c r="N126" s="64"/>
      <c r="O126" s="65"/>
      <c r="P126" s="64"/>
      <c r="Q126" s="65"/>
      <c r="R126" s="64"/>
      <c r="S126" s="64"/>
      <c r="T126" s="64"/>
      <c r="V126" s="64"/>
    </row>
    <row r="127" spans="2:22">
      <c r="G127" s="1"/>
      <c r="K127" s="4"/>
      <c r="L127" s="65"/>
      <c r="M127" s="64"/>
      <c r="N127" s="64"/>
      <c r="O127" s="65"/>
      <c r="P127" s="64"/>
      <c r="Q127" s="65"/>
      <c r="R127" s="64"/>
      <c r="S127" s="64"/>
      <c r="T127" s="64"/>
      <c r="V127" s="64"/>
    </row>
    <row r="128" spans="2:22">
      <c r="G128" s="1"/>
      <c r="K128" s="4"/>
      <c r="L128" s="65"/>
      <c r="M128" s="64"/>
      <c r="N128" s="64"/>
      <c r="O128" s="65"/>
      <c r="P128" s="64"/>
      <c r="Q128" s="65"/>
      <c r="R128" s="64"/>
      <c r="S128" s="64"/>
      <c r="T128" s="64"/>
      <c r="V128" s="64"/>
    </row>
    <row r="129" spans="2:22">
      <c r="G129" s="1"/>
      <c r="K129" s="4"/>
      <c r="L129" s="65"/>
      <c r="M129" s="64"/>
      <c r="N129" s="64"/>
      <c r="O129" s="65"/>
      <c r="P129" s="64"/>
      <c r="Q129" s="65"/>
      <c r="R129" s="64"/>
      <c r="S129" s="64"/>
      <c r="T129" s="64"/>
      <c r="V129" s="64"/>
    </row>
    <row r="130" spans="2:22">
      <c r="B130" s="107" t="s">
        <v>1009</v>
      </c>
      <c r="C130" s="1" t="s">
        <v>1002</v>
      </c>
      <c r="D130" s="1" t="s">
        <v>1003</v>
      </c>
      <c r="E130" s="1" t="s">
        <v>1004</v>
      </c>
      <c r="G130" s="4"/>
      <c r="H130" s="38"/>
      <c r="I130" s="4"/>
      <c r="K130" s="38"/>
      <c r="L130" s="64"/>
      <c r="M130" s="64"/>
      <c r="N130" s="64"/>
      <c r="O130" s="65"/>
      <c r="P130" s="64"/>
      <c r="Q130" s="65"/>
      <c r="R130" s="64"/>
      <c r="S130" s="64"/>
      <c r="T130" s="64"/>
      <c r="V130" s="64"/>
    </row>
    <row r="131" spans="2:22">
      <c r="B131" s="141">
        <v>46136</v>
      </c>
      <c r="C131" s="1">
        <v>51</v>
      </c>
      <c r="E131" s="170">
        <v>51</v>
      </c>
      <c r="G131" s="4"/>
      <c r="H131" s="38"/>
      <c r="I131" s="4"/>
      <c r="K131" s="38"/>
      <c r="L131" s="64"/>
      <c r="M131" s="64"/>
      <c r="N131" s="64"/>
      <c r="O131" s="65"/>
      <c r="P131" s="64"/>
      <c r="Q131" s="65"/>
      <c r="R131" s="64"/>
      <c r="S131" s="64"/>
      <c r="T131" s="64"/>
      <c r="V131" s="64"/>
    </row>
    <row r="132" spans="2:22">
      <c r="B132" s="141">
        <v>46139</v>
      </c>
      <c r="D132" s="1">
        <v>35</v>
      </c>
      <c r="E132" s="170">
        <v>16</v>
      </c>
      <c r="F132" s="1" t="s">
        <v>1010</v>
      </c>
      <c r="G132" s="4"/>
      <c r="H132" s="38"/>
      <c r="I132" s="4"/>
      <c r="K132" s="38"/>
      <c r="L132" s="64"/>
      <c r="M132" s="64"/>
      <c r="N132" s="64"/>
      <c r="O132" s="65"/>
      <c r="P132" s="64"/>
      <c r="Q132" s="65"/>
      <c r="R132" s="64"/>
      <c r="S132" s="64"/>
      <c r="T132" s="64"/>
      <c r="V132" s="64"/>
    </row>
    <row r="133" spans="2:22">
      <c r="B133" s="141">
        <v>46140</v>
      </c>
      <c r="C133" s="1">
        <v>30</v>
      </c>
      <c r="E133" s="170">
        <v>46</v>
      </c>
      <c r="F133" s="1" t="s">
        <v>1011</v>
      </c>
      <c r="G133" s="4"/>
      <c r="H133" s="38"/>
      <c r="I133" s="4"/>
      <c r="K133" s="38"/>
      <c r="L133" s="64"/>
      <c r="M133" s="64"/>
      <c r="N133" s="64"/>
      <c r="O133" s="65"/>
      <c r="P133" s="64"/>
      <c r="Q133" s="65"/>
      <c r="R133" s="64"/>
      <c r="S133" s="64"/>
      <c r="T133" s="64"/>
      <c r="V133" s="64"/>
    </row>
    <row r="134" spans="2:22">
      <c r="B134" s="141">
        <v>46141</v>
      </c>
      <c r="D134" s="1">
        <v>30</v>
      </c>
      <c r="E134" s="170">
        <v>16</v>
      </c>
      <c r="G134" s="4"/>
      <c r="H134" s="38"/>
      <c r="I134" s="4"/>
      <c r="K134" s="38"/>
      <c r="L134" s="64"/>
      <c r="M134" s="64"/>
      <c r="N134" s="64"/>
      <c r="O134" s="65"/>
      <c r="P134" s="64"/>
      <c r="Q134" s="65"/>
      <c r="R134" s="64"/>
      <c r="S134" s="64"/>
      <c r="T134" s="64"/>
      <c r="V134" s="64"/>
    </row>
    <row r="135" spans="2:22">
      <c r="B135" s="141">
        <v>46174</v>
      </c>
      <c r="C135" s="1">
        <v>30</v>
      </c>
      <c r="E135" s="170">
        <v>46</v>
      </c>
      <c r="F135" s="1" t="s">
        <v>1012</v>
      </c>
      <c r="G135" s="4"/>
      <c r="H135" s="38"/>
      <c r="I135" s="4"/>
      <c r="K135" s="38"/>
      <c r="L135" s="64"/>
      <c r="M135" s="64"/>
      <c r="N135" s="64"/>
      <c r="O135" s="65"/>
      <c r="P135" s="64"/>
      <c r="Q135" s="65"/>
      <c r="R135" s="64"/>
      <c r="S135" s="64"/>
      <c r="T135" s="64"/>
      <c r="V135" s="64"/>
    </row>
    <row r="136" spans="2:22">
      <c r="B136" s="107">
        <v>46175</v>
      </c>
      <c r="D136" s="1">
        <v>38</v>
      </c>
      <c r="E136" s="170">
        <v>8</v>
      </c>
      <c r="F136" s="1" t="s">
        <v>1013</v>
      </c>
      <c r="G136" s="1"/>
      <c r="K136" s="4"/>
      <c r="L136" s="65"/>
      <c r="M136" s="64"/>
      <c r="N136" s="64"/>
      <c r="O136" s="65"/>
      <c r="P136" s="64"/>
      <c r="Q136" s="65"/>
      <c r="R136" s="64"/>
      <c r="S136" s="64"/>
      <c r="T136" s="64"/>
      <c r="V136" s="64"/>
    </row>
    <row r="137" spans="2:22">
      <c r="B137" s="107">
        <v>46219</v>
      </c>
      <c r="C137" s="1">
        <v>30</v>
      </c>
      <c r="E137" s="170">
        <v>38</v>
      </c>
      <c r="F137" s="1" t="s">
        <v>1014</v>
      </c>
      <c r="G137" s="1"/>
      <c r="K137" s="4"/>
      <c r="L137" s="65"/>
      <c r="M137" s="64"/>
      <c r="N137" s="64"/>
      <c r="O137" s="65"/>
      <c r="P137" s="64"/>
      <c r="Q137" s="65"/>
      <c r="R137" s="64"/>
      <c r="S137" s="64"/>
      <c r="T137" s="64"/>
      <c r="V137" s="64"/>
    </row>
    <row r="138" spans="2:22">
      <c r="B138" s="107">
        <v>46223</v>
      </c>
      <c r="D138" s="1">
        <v>37</v>
      </c>
      <c r="E138" s="170">
        <v>1</v>
      </c>
      <c r="G138" s="1"/>
      <c r="K138" s="4"/>
      <c r="L138" s="65"/>
      <c r="M138" s="64"/>
      <c r="N138" s="64"/>
      <c r="O138" s="65"/>
      <c r="P138" s="64"/>
      <c r="Q138" s="65"/>
      <c r="R138" s="64"/>
      <c r="S138" s="64"/>
      <c r="T138" s="64"/>
      <c r="V138" s="64"/>
    </row>
    <row r="139" spans="2:22">
      <c r="G139" s="1"/>
      <c r="K139" s="4"/>
      <c r="L139" s="65"/>
      <c r="M139" s="64"/>
      <c r="N139" s="64"/>
      <c r="O139" s="65"/>
      <c r="P139" s="64"/>
      <c r="Q139" s="65"/>
      <c r="R139" s="64"/>
      <c r="S139" s="64"/>
      <c r="T139" s="64"/>
      <c r="V139" s="64"/>
    </row>
    <row r="140" spans="2:22">
      <c r="G140" s="1"/>
      <c r="K140" s="4"/>
      <c r="L140" s="65"/>
      <c r="M140" s="64"/>
      <c r="N140" s="64"/>
      <c r="O140" s="65"/>
      <c r="P140" s="64"/>
      <c r="Q140" s="65"/>
      <c r="R140" s="64"/>
      <c r="S140" s="64"/>
      <c r="T140" s="64"/>
      <c r="V140" s="64"/>
    </row>
    <row r="141" spans="2:22">
      <c r="G141" s="1"/>
      <c r="K141" s="4"/>
      <c r="L141" s="65"/>
      <c r="M141" s="64"/>
      <c r="N141" s="64"/>
      <c r="O141" s="65"/>
      <c r="P141" s="64"/>
      <c r="Q141" s="65"/>
      <c r="R141" s="64"/>
      <c r="S141" s="64"/>
      <c r="T141" s="64"/>
      <c r="V141" s="64"/>
    </row>
    <row r="142" spans="2:22">
      <c r="G142" s="1"/>
      <c r="K142" s="4"/>
      <c r="L142" s="65"/>
      <c r="M142" s="64"/>
      <c r="N142" s="64"/>
      <c r="O142" s="65"/>
      <c r="P142" s="64"/>
      <c r="Q142" s="65"/>
      <c r="R142" s="64"/>
      <c r="S142" s="64"/>
      <c r="T142" s="64"/>
      <c r="V142" s="64"/>
    </row>
    <row r="143" spans="2:22">
      <c r="G143" s="1"/>
      <c r="K143" s="4"/>
      <c r="L143" s="65"/>
      <c r="M143" s="64"/>
      <c r="N143" s="64"/>
      <c r="O143" s="65"/>
      <c r="P143" s="64"/>
      <c r="Q143" s="65"/>
      <c r="R143" s="64"/>
      <c r="S143" s="64"/>
      <c r="T143" s="64"/>
      <c r="V143" s="64"/>
    </row>
    <row r="144" spans="2:22">
      <c r="G144" s="1"/>
      <c r="K144" s="4"/>
      <c r="L144" s="65"/>
      <c r="M144" s="64"/>
      <c r="N144" s="64"/>
      <c r="O144" s="65"/>
      <c r="P144" s="64"/>
      <c r="Q144" s="65"/>
      <c r="R144" s="64"/>
      <c r="S144" s="64"/>
      <c r="T144" s="64"/>
      <c r="V144" s="64"/>
    </row>
    <row r="145" spans="7:22">
      <c r="G145" s="1"/>
      <c r="K145" s="4"/>
      <c r="L145" s="65"/>
      <c r="M145" s="64"/>
      <c r="N145" s="64"/>
      <c r="O145" s="65"/>
      <c r="P145" s="64"/>
      <c r="Q145" s="65"/>
      <c r="R145" s="64"/>
      <c r="S145" s="64"/>
      <c r="T145" s="64"/>
      <c r="V145" s="64"/>
    </row>
    <row r="146" spans="7:22">
      <c r="G146" s="1"/>
      <c r="K146" s="4"/>
      <c r="L146" s="65"/>
      <c r="M146" s="64"/>
      <c r="N146" s="64"/>
      <c r="O146" s="65"/>
      <c r="P146" s="64"/>
      <c r="Q146" s="65"/>
      <c r="R146" s="64"/>
      <c r="S146" s="64"/>
      <c r="T146" s="64"/>
      <c r="V146" s="64"/>
    </row>
    <row r="147" spans="7:22">
      <c r="G147" s="1"/>
      <c r="K147" s="4"/>
      <c r="L147" s="65"/>
      <c r="M147" s="64"/>
      <c r="N147" s="64"/>
      <c r="O147" s="65"/>
      <c r="P147" s="64"/>
      <c r="Q147" s="65"/>
      <c r="R147" s="64"/>
      <c r="S147" s="64"/>
      <c r="T147" s="64"/>
      <c r="V147" s="64"/>
    </row>
    <row r="148" spans="7:22">
      <c r="G148" s="1"/>
      <c r="K148" s="4"/>
      <c r="L148" s="65"/>
      <c r="M148" s="64"/>
      <c r="N148" s="64"/>
      <c r="O148" s="65"/>
      <c r="P148" s="64"/>
      <c r="Q148" s="65"/>
      <c r="R148" s="64"/>
      <c r="S148" s="64"/>
      <c r="T148" s="64"/>
      <c r="V148" s="64"/>
    </row>
    <row r="149" spans="7:22">
      <c r="G149" s="1"/>
      <c r="K149" s="4"/>
      <c r="L149" s="65"/>
      <c r="M149" s="64"/>
      <c r="N149" s="64"/>
      <c r="O149" s="65"/>
      <c r="P149" s="64"/>
      <c r="Q149" s="65"/>
      <c r="R149" s="64"/>
      <c r="S149" s="64"/>
      <c r="T149" s="64"/>
      <c r="V149" s="64"/>
    </row>
    <row r="150" spans="7:22">
      <c r="G150" s="1"/>
      <c r="K150" s="4"/>
      <c r="L150" s="65"/>
      <c r="M150" s="64"/>
      <c r="N150" s="64"/>
      <c r="O150" s="65"/>
      <c r="P150" s="64"/>
      <c r="Q150" s="65"/>
      <c r="R150" s="64"/>
      <c r="S150" s="64"/>
      <c r="T150" s="64"/>
      <c r="V150" s="64"/>
    </row>
    <row r="151" spans="7:22">
      <c r="G151" s="1"/>
      <c r="K151" s="4"/>
      <c r="L151" s="65"/>
      <c r="M151" s="64"/>
      <c r="N151" s="64"/>
      <c r="O151" s="65"/>
      <c r="P151" s="64"/>
      <c r="Q151" s="65"/>
      <c r="R151" s="64"/>
      <c r="S151" s="64"/>
      <c r="T151" s="64"/>
      <c r="V151" s="64"/>
    </row>
    <row r="152" spans="7:22">
      <c r="G152" s="1"/>
      <c r="K152" s="4"/>
      <c r="L152" s="65"/>
      <c r="M152" s="64"/>
      <c r="N152" s="64"/>
      <c r="O152" s="65"/>
      <c r="P152" s="64"/>
      <c r="Q152" s="65"/>
      <c r="R152" s="64"/>
      <c r="S152" s="64"/>
      <c r="T152" s="64"/>
      <c r="V152" s="64"/>
    </row>
    <row r="153" spans="7:22">
      <c r="G153" s="1"/>
      <c r="K153" s="4"/>
      <c r="L153" s="65"/>
      <c r="M153" s="64"/>
      <c r="N153" s="64"/>
      <c r="O153" s="65"/>
      <c r="P153" s="64"/>
      <c r="Q153" s="65"/>
      <c r="R153" s="64"/>
      <c r="S153" s="64"/>
      <c r="T153" s="64"/>
      <c r="V153" s="64"/>
    </row>
    <row r="154" spans="7:22">
      <c r="G154" s="1"/>
      <c r="K154" s="4"/>
      <c r="L154" s="65"/>
      <c r="M154" s="64"/>
      <c r="N154" s="64"/>
      <c r="O154" s="65"/>
      <c r="P154" s="64"/>
      <c r="Q154" s="65"/>
      <c r="R154" s="64"/>
      <c r="S154" s="64"/>
      <c r="T154" s="64"/>
      <c r="V154" s="64"/>
    </row>
    <row r="155" spans="7:22">
      <c r="G155" s="1"/>
      <c r="K155" s="4"/>
      <c r="L155" s="65"/>
      <c r="M155" s="64"/>
      <c r="N155" s="64"/>
      <c r="O155" s="65"/>
      <c r="P155" s="64"/>
      <c r="Q155" s="65"/>
      <c r="R155" s="64"/>
      <c r="S155" s="64"/>
      <c r="T155" s="64"/>
      <c r="V155" s="64"/>
    </row>
    <row r="156" spans="7:22">
      <c r="G156" s="1"/>
      <c r="K156" s="4"/>
      <c r="L156" s="65"/>
      <c r="M156" s="64"/>
      <c r="N156" s="64"/>
      <c r="O156" s="65"/>
      <c r="P156" s="64"/>
      <c r="Q156" s="65"/>
      <c r="R156" s="64"/>
      <c r="S156" s="64"/>
      <c r="T156" s="64"/>
      <c r="V156" s="64"/>
    </row>
    <row r="157" spans="7:22">
      <c r="G157" s="1"/>
      <c r="K157" s="4"/>
      <c r="L157" s="65"/>
      <c r="M157" s="64"/>
      <c r="N157" s="64"/>
      <c r="O157" s="65"/>
      <c r="P157" s="64"/>
      <c r="Q157" s="65"/>
      <c r="R157" s="64"/>
      <c r="S157" s="64"/>
      <c r="T157" s="64"/>
      <c r="V157" s="64"/>
    </row>
    <row r="158" spans="7:22">
      <c r="G158" s="1"/>
      <c r="K158" s="4"/>
      <c r="L158" s="65"/>
      <c r="M158" s="64"/>
      <c r="N158" s="64"/>
      <c r="O158" s="65"/>
      <c r="P158" s="64"/>
      <c r="Q158" s="65"/>
      <c r="R158" s="64"/>
      <c r="S158" s="64"/>
      <c r="T158" s="64"/>
      <c r="V158" s="64"/>
    </row>
    <row r="159" spans="7:22">
      <c r="G159" s="1"/>
      <c r="K159" s="4"/>
      <c r="L159" s="65"/>
      <c r="M159" s="64"/>
      <c r="N159" s="64"/>
      <c r="O159" s="65"/>
      <c r="P159" s="64"/>
      <c r="Q159" s="65"/>
      <c r="R159" s="64"/>
      <c r="S159" s="64"/>
      <c r="T159" s="64"/>
      <c r="V159" s="64"/>
    </row>
    <row r="160" spans="7:22">
      <c r="G160" s="1"/>
      <c r="K160" s="4"/>
      <c r="L160" s="65"/>
      <c r="M160" s="64"/>
      <c r="N160" s="64"/>
      <c r="O160" s="65"/>
      <c r="P160" s="64"/>
      <c r="Q160" s="65"/>
      <c r="R160" s="64"/>
      <c r="S160" s="64"/>
      <c r="T160" s="64"/>
      <c r="V160" s="64"/>
    </row>
    <row r="161" spans="7:22">
      <c r="G161" s="1"/>
      <c r="K161" s="4"/>
      <c r="L161" s="65"/>
      <c r="M161" s="64"/>
      <c r="N161" s="64"/>
      <c r="O161" s="65"/>
      <c r="P161" s="64"/>
      <c r="Q161" s="65"/>
      <c r="R161" s="64"/>
      <c r="S161" s="64"/>
      <c r="T161" s="64"/>
      <c r="V161" s="64"/>
    </row>
    <row r="162" spans="7:22">
      <c r="G162" s="1"/>
      <c r="K162" s="4"/>
      <c r="L162" s="65"/>
      <c r="M162" s="64"/>
      <c r="N162" s="64"/>
      <c r="O162" s="65"/>
      <c r="P162" s="64"/>
      <c r="Q162" s="65"/>
      <c r="R162" s="64"/>
      <c r="S162" s="64"/>
      <c r="T162" s="64"/>
      <c r="V162" s="64"/>
    </row>
    <row r="163" spans="7:22">
      <c r="G163" s="1"/>
      <c r="K163" s="4"/>
      <c r="L163" s="65"/>
      <c r="M163" s="64"/>
      <c r="N163" s="64"/>
      <c r="O163" s="65"/>
      <c r="P163" s="64"/>
      <c r="Q163" s="65"/>
      <c r="R163" s="64"/>
      <c r="S163" s="64"/>
      <c r="T163" s="64"/>
      <c r="V163" s="64"/>
    </row>
    <row r="164" spans="7:22">
      <c r="G164" s="1"/>
      <c r="K164" s="4"/>
      <c r="L164" s="65"/>
      <c r="M164" s="64"/>
      <c r="N164" s="64"/>
      <c r="O164" s="65"/>
      <c r="P164" s="64"/>
      <c r="Q164" s="65"/>
      <c r="R164" s="64"/>
      <c r="S164" s="64"/>
      <c r="T164" s="64"/>
      <c r="V164" s="64"/>
    </row>
    <row r="165" spans="7:22">
      <c r="G165" s="1"/>
      <c r="K165" s="4"/>
      <c r="L165" s="65"/>
      <c r="M165" s="64"/>
      <c r="N165" s="64"/>
      <c r="O165" s="65"/>
      <c r="P165" s="64"/>
      <c r="Q165" s="65"/>
      <c r="R165" s="64"/>
      <c r="S165" s="64"/>
      <c r="T165" s="64"/>
      <c r="V165" s="64"/>
    </row>
    <row r="166" spans="7:22">
      <c r="G166" s="1"/>
      <c r="K166" s="4"/>
      <c r="L166" s="65"/>
      <c r="M166" s="64"/>
      <c r="N166" s="64"/>
      <c r="O166" s="65"/>
      <c r="P166" s="64"/>
      <c r="Q166" s="65"/>
      <c r="R166" s="64"/>
      <c r="S166" s="64"/>
      <c r="T166" s="64"/>
      <c r="V166" s="64"/>
    </row>
    <row r="167" spans="7:22">
      <c r="G167" s="1"/>
      <c r="K167" s="4"/>
      <c r="L167" s="65"/>
      <c r="M167" s="64"/>
      <c r="N167" s="64"/>
      <c r="O167" s="65"/>
      <c r="P167" s="64"/>
      <c r="Q167" s="65"/>
      <c r="R167" s="64"/>
      <c r="S167" s="64"/>
      <c r="T167" s="64"/>
      <c r="V167" s="64"/>
    </row>
    <row r="168" spans="7:22">
      <c r="G168" s="1"/>
      <c r="K168" s="4"/>
      <c r="L168" s="65"/>
      <c r="M168" s="64"/>
      <c r="N168" s="64"/>
      <c r="O168" s="65"/>
      <c r="P168" s="64"/>
      <c r="Q168" s="65"/>
      <c r="R168" s="64"/>
      <c r="S168" s="64"/>
      <c r="T168" s="64"/>
      <c r="V168" s="64"/>
    </row>
    <row r="169" spans="7:22">
      <c r="G169" s="1"/>
      <c r="K169" s="4"/>
      <c r="L169" s="65"/>
      <c r="M169" s="64"/>
      <c r="N169" s="64"/>
      <c r="O169" s="65"/>
      <c r="P169" s="64"/>
      <c r="Q169" s="65"/>
      <c r="R169" s="64"/>
      <c r="S169" s="64"/>
      <c r="T169" s="64"/>
      <c r="V169" s="64"/>
    </row>
    <row r="170" spans="7:22">
      <c r="G170" s="1"/>
      <c r="K170" s="4"/>
      <c r="L170" s="65"/>
      <c r="M170" s="64"/>
      <c r="N170" s="64"/>
      <c r="O170" s="65"/>
      <c r="P170" s="64"/>
      <c r="Q170" s="65"/>
      <c r="R170" s="64"/>
      <c r="S170" s="64"/>
      <c r="T170" s="64"/>
      <c r="V170" s="64"/>
    </row>
    <row r="171" spans="7:22">
      <c r="G171" s="1"/>
      <c r="K171" s="4"/>
      <c r="L171" s="65"/>
      <c r="M171" s="64"/>
      <c r="N171" s="64"/>
      <c r="O171" s="65"/>
      <c r="P171" s="64"/>
      <c r="Q171" s="65"/>
      <c r="R171" s="64"/>
      <c r="S171" s="64"/>
      <c r="T171" s="64"/>
      <c r="V171" s="64"/>
    </row>
    <row r="172" spans="7:22">
      <c r="G172" s="1"/>
      <c r="K172" s="4"/>
      <c r="L172" s="65"/>
      <c r="M172" s="64"/>
      <c r="N172" s="64"/>
      <c r="O172" s="65"/>
      <c r="P172" s="64"/>
      <c r="Q172" s="65"/>
      <c r="R172" s="64"/>
      <c r="S172" s="64"/>
      <c r="T172" s="64"/>
      <c r="V172" s="64"/>
    </row>
    <row r="173" spans="7:22">
      <c r="G173" s="1"/>
      <c r="K173" s="4"/>
      <c r="L173" s="65"/>
      <c r="M173" s="64"/>
      <c r="N173" s="64"/>
      <c r="O173" s="65"/>
      <c r="P173" s="64"/>
      <c r="Q173" s="65"/>
      <c r="R173" s="64"/>
      <c r="S173" s="64"/>
      <c r="T173" s="64"/>
      <c r="V173" s="64"/>
    </row>
    <row r="174" spans="7:22">
      <c r="G174" s="1"/>
      <c r="K174" s="4"/>
      <c r="L174" s="65"/>
      <c r="M174" s="64"/>
      <c r="N174" s="64"/>
      <c r="O174" s="65"/>
      <c r="P174" s="64"/>
      <c r="Q174" s="65"/>
      <c r="R174" s="64"/>
      <c r="S174" s="64"/>
      <c r="T174" s="64"/>
      <c r="V174" s="64"/>
    </row>
    <row r="175" spans="7:22">
      <c r="G175" s="1"/>
      <c r="K175" s="4"/>
      <c r="L175" s="65"/>
      <c r="M175" s="64"/>
      <c r="N175" s="64"/>
      <c r="O175" s="65"/>
      <c r="P175" s="64"/>
      <c r="Q175" s="65"/>
      <c r="R175" s="64"/>
      <c r="S175" s="64"/>
      <c r="T175" s="64"/>
      <c r="V175" s="64"/>
    </row>
    <row r="176" spans="7:22">
      <c r="G176" s="1"/>
      <c r="K176" s="4"/>
      <c r="L176" s="65"/>
      <c r="M176" s="64"/>
      <c r="N176" s="64"/>
      <c r="O176" s="65"/>
      <c r="P176" s="64"/>
      <c r="Q176" s="65"/>
      <c r="R176" s="64"/>
      <c r="S176" s="64"/>
      <c r="T176" s="64"/>
      <c r="V176" s="64"/>
    </row>
    <row r="177" spans="7:22">
      <c r="G177" s="1"/>
      <c r="K177" s="4"/>
      <c r="L177" s="65"/>
      <c r="M177" s="64"/>
      <c r="N177" s="64"/>
      <c r="O177" s="65"/>
      <c r="P177" s="64"/>
      <c r="Q177" s="65"/>
      <c r="R177" s="64"/>
      <c r="S177" s="64"/>
      <c r="T177" s="64"/>
      <c r="V177" s="64"/>
    </row>
    <row r="178" spans="7:22">
      <c r="G178" s="1"/>
      <c r="K178" s="4"/>
      <c r="L178" s="65"/>
      <c r="M178" s="64"/>
      <c r="N178" s="64"/>
      <c r="O178" s="65"/>
      <c r="P178" s="64"/>
      <c r="Q178" s="65"/>
      <c r="R178" s="64"/>
      <c r="S178" s="64"/>
      <c r="T178" s="64"/>
      <c r="V178" s="64"/>
    </row>
    <row r="179" spans="7:22">
      <c r="G179" s="1"/>
      <c r="K179" s="4"/>
      <c r="L179" s="65"/>
      <c r="M179" s="64"/>
      <c r="N179" s="64"/>
      <c r="O179" s="65"/>
      <c r="P179" s="64"/>
      <c r="Q179" s="65"/>
      <c r="R179" s="64"/>
      <c r="S179" s="64"/>
      <c r="T179" s="64"/>
      <c r="V179" s="64"/>
    </row>
    <row r="180" spans="7:22">
      <c r="G180" s="1"/>
      <c r="K180" s="4"/>
      <c r="L180" s="65"/>
      <c r="M180" s="64"/>
      <c r="N180" s="64"/>
      <c r="O180" s="65"/>
      <c r="P180" s="64"/>
      <c r="Q180" s="65"/>
      <c r="R180" s="64"/>
      <c r="S180" s="64"/>
      <c r="T180" s="64"/>
      <c r="V180" s="64"/>
    </row>
    <row r="181" spans="7:22">
      <c r="G181" s="1"/>
      <c r="K181" s="4"/>
      <c r="L181" s="65"/>
      <c r="M181" s="64"/>
      <c r="N181" s="64"/>
      <c r="O181" s="65"/>
      <c r="P181" s="64"/>
      <c r="Q181" s="65"/>
      <c r="R181" s="64"/>
      <c r="S181" s="64"/>
      <c r="T181" s="64"/>
      <c r="V181" s="64"/>
    </row>
    <row r="182" spans="7:22">
      <c r="G182" s="1"/>
      <c r="K182" s="4"/>
      <c r="L182" s="65"/>
      <c r="M182" s="64"/>
      <c r="N182" s="64"/>
      <c r="O182" s="65"/>
      <c r="P182" s="64"/>
      <c r="Q182" s="65"/>
      <c r="R182" s="64"/>
      <c r="S182" s="64"/>
      <c r="T182" s="64"/>
      <c r="V182" s="64"/>
    </row>
    <row r="183" spans="7:22">
      <c r="G183" s="1"/>
      <c r="K183" s="4"/>
      <c r="L183" s="65"/>
      <c r="M183" s="64"/>
      <c r="N183" s="64"/>
      <c r="O183" s="65"/>
      <c r="P183" s="64"/>
      <c r="Q183" s="65"/>
      <c r="R183" s="64"/>
      <c r="S183" s="64"/>
      <c r="T183" s="64"/>
      <c r="V183" s="64"/>
    </row>
    <row r="184" spans="7:22">
      <c r="G184" s="1"/>
      <c r="K184" s="4"/>
      <c r="L184" s="65"/>
      <c r="M184" s="64"/>
      <c r="N184" s="64"/>
      <c r="O184" s="65"/>
      <c r="P184" s="64"/>
      <c r="Q184" s="65"/>
      <c r="R184" s="64"/>
      <c r="S184" s="64"/>
      <c r="T184" s="64"/>
      <c r="V184" s="64"/>
    </row>
    <row r="185" spans="7:22">
      <c r="G185" s="1"/>
      <c r="K185" s="4"/>
      <c r="L185" s="65"/>
      <c r="M185" s="64"/>
      <c r="N185" s="64"/>
      <c r="O185" s="65"/>
      <c r="P185" s="64"/>
      <c r="Q185" s="65"/>
      <c r="R185" s="64"/>
      <c r="S185" s="64"/>
      <c r="T185" s="64"/>
      <c r="V185" s="64"/>
    </row>
    <row r="186" spans="7:22">
      <c r="G186" s="1"/>
      <c r="K186" s="4"/>
      <c r="L186" s="65"/>
      <c r="M186" s="64"/>
      <c r="N186" s="64"/>
      <c r="O186" s="65"/>
      <c r="P186" s="64"/>
      <c r="Q186" s="65"/>
      <c r="R186" s="64"/>
      <c r="S186" s="64"/>
      <c r="T186" s="64"/>
      <c r="V186" s="64"/>
    </row>
    <row r="187" spans="7:22">
      <c r="G187" s="1"/>
      <c r="K187" s="4"/>
      <c r="L187" s="65"/>
      <c r="M187" s="64"/>
      <c r="N187" s="64"/>
      <c r="O187" s="65"/>
      <c r="P187" s="64"/>
      <c r="Q187" s="65"/>
      <c r="R187" s="64"/>
      <c r="S187" s="64"/>
      <c r="T187" s="64"/>
      <c r="V187" s="64"/>
    </row>
    <row r="188" spans="7:22">
      <c r="G188" s="1"/>
      <c r="K188" s="4"/>
      <c r="L188" s="65"/>
      <c r="M188" s="64"/>
      <c r="N188" s="64"/>
      <c r="O188" s="65"/>
      <c r="P188" s="64"/>
      <c r="Q188" s="65"/>
      <c r="R188" s="64"/>
      <c r="S188" s="64"/>
      <c r="T188" s="64"/>
      <c r="V188" s="64"/>
    </row>
    <row r="189" spans="7:22">
      <c r="G189" s="1"/>
      <c r="K189" s="4"/>
      <c r="L189" s="65"/>
      <c r="M189" s="64"/>
      <c r="N189" s="64"/>
      <c r="O189" s="65"/>
      <c r="P189" s="64"/>
      <c r="Q189" s="65"/>
      <c r="R189" s="64"/>
      <c r="S189" s="64"/>
      <c r="T189" s="64"/>
      <c r="V189" s="64"/>
    </row>
    <row r="190" spans="7:22">
      <c r="G190" s="1"/>
      <c r="K190" s="4"/>
      <c r="L190" s="65"/>
      <c r="M190" s="64"/>
      <c r="N190" s="64"/>
      <c r="O190" s="65"/>
      <c r="P190" s="64"/>
      <c r="Q190" s="65"/>
      <c r="R190" s="64"/>
      <c r="S190" s="64"/>
      <c r="T190" s="64"/>
      <c r="V190" s="64"/>
    </row>
    <row r="191" spans="7:22">
      <c r="G191" s="1"/>
      <c r="K191" s="4"/>
      <c r="L191" s="65"/>
      <c r="M191" s="64"/>
      <c r="N191" s="64"/>
      <c r="O191" s="65"/>
      <c r="P191" s="64"/>
      <c r="Q191" s="65"/>
      <c r="R191" s="64"/>
      <c r="S191" s="64"/>
      <c r="T191" s="64"/>
      <c r="V191" s="64"/>
    </row>
    <row r="192" spans="7:22">
      <c r="G192" s="1"/>
      <c r="K192" s="4"/>
      <c r="L192" s="65"/>
      <c r="M192" s="64"/>
      <c r="N192" s="64"/>
      <c r="O192" s="65"/>
      <c r="P192" s="64"/>
      <c r="Q192" s="65"/>
      <c r="R192" s="64"/>
      <c r="S192" s="64"/>
      <c r="T192" s="64"/>
      <c r="V192" s="64"/>
    </row>
    <row r="193" spans="7:22">
      <c r="G193" s="1"/>
      <c r="K193" s="4"/>
      <c r="L193" s="65"/>
      <c r="M193" s="64"/>
      <c r="N193" s="64"/>
      <c r="O193" s="65"/>
      <c r="P193" s="64"/>
      <c r="Q193" s="65"/>
      <c r="R193" s="64"/>
      <c r="S193" s="64"/>
      <c r="T193" s="64"/>
      <c r="V193" s="64"/>
    </row>
    <row r="194" spans="7:22">
      <c r="G194" s="1"/>
      <c r="K194" s="4"/>
      <c r="L194" s="65"/>
      <c r="M194" s="64"/>
      <c r="N194" s="64"/>
      <c r="O194" s="65"/>
      <c r="P194" s="64"/>
      <c r="Q194" s="65"/>
      <c r="R194" s="64"/>
      <c r="S194" s="64"/>
      <c r="T194" s="64"/>
      <c r="V194" s="64"/>
    </row>
    <row r="195" spans="7:22">
      <c r="G195" s="1"/>
      <c r="K195" s="4"/>
      <c r="L195" s="65"/>
      <c r="M195" s="64"/>
      <c r="N195" s="64"/>
      <c r="O195" s="65"/>
      <c r="P195" s="64"/>
      <c r="Q195" s="65"/>
      <c r="R195" s="64"/>
      <c r="S195" s="64"/>
      <c r="T195" s="64"/>
      <c r="V195" s="64"/>
    </row>
    <row r="196" spans="7:22">
      <c r="G196" s="1"/>
      <c r="K196" s="4"/>
      <c r="L196" s="65"/>
      <c r="M196" s="64"/>
      <c r="N196" s="64"/>
      <c r="O196" s="65"/>
      <c r="P196" s="64"/>
      <c r="Q196" s="65"/>
      <c r="R196" s="64"/>
      <c r="S196" s="64"/>
      <c r="T196" s="64"/>
      <c r="V196" s="64"/>
    </row>
    <row r="197" spans="7:22">
      <c r="G197" s="1"/>
      <c r="K197" s="4"/>
      <c r="L197" s="65"/>
      <c r="M197" s="64"/>
      <c r="N197" s="64"/>
      <c r="O197" s="65"/>
      <c r="P197" s="64"/>
      <c r="Q197" s="65"/>
      <c r="R197" s="64"/>
      <c r="S197" s="64"/>
      <c r="T197" s="64"/>
      <c r="V197" s="64"/>
    </row>
    <row r="198" spans="7:22">
      <c r="G198" s="1"/>
      <c r="K198" s="4"/>
      <c r="L198" s="65"/>
      <c r="M198" s="64"/>
      <c r="N198" s="64"/>
      <c r="O198" s="65"/>
      <c r="P198" s="64"/>
      <c r="Q198" s="65"/>
      <c r="R198" s="64"/>
      <c r="S198" s="64"/>
      <c r="T198" s="64"/>
      <c r="V198" s="64"/>
    </row>
    <row r="199" spans="7:22">
      <c r="G199" s="1"/>
      <c r="K199" s="4"/>
      <c r="L199" s="65"/>
      <c r="M199" s="64"/>
      <c r="N199" s="64"/>
      <c r="O199" s="65"/>
      <c r="P199" s="64"/>
      <c r="Q199" s="65"/>
      <c r="R199" s="64"/>
      <c r="S199" s="64"/>
      <c r="T199" s="64"/>
      <c r="V199" s="64"/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C25BF-FA1D-45A9-A142-9F8D8DFBB1F4}">
  <sheetPr codeName="Sheet11">
    <tabColor rgb="FFC00000"/>
  </sheetPr>
  <dimension ref="B3:J97"/>
  <sheetViews>
    <sheetView workbookViewId="0">
      <selection activeCell="R26" sqref="R26"/>
    </sheetView>
  </sheetViews>
  <sheetFormatPr defaultRowHeight="16.5"/>
  <sheetData>
    <row r="3" spans="2:10">
      <c r="B3" t="s">
        <v>0</v>
      </c>
      <c r="C3" t="s">
        <v>1</v>
      </c>
      <c r="D3" t="s">
        <v>2</v>
      </c>
      <c r="E3" t="s">
        <v>3</v>
      </c>
      <c r="F3" s="65" t="s">
        <v>4</v>
      </c>
      <c r="G3" t="s">
        <v>5</v>
      </c>
      <c r="H3" t="s">
        <v>6</v>
      </c>
      <c r="I3" t="s">
        <v>7</v>
      </c>
      <c r="J3" t="s">
        <v>8</v>
      </c>
    </row>
    <row r="4" spans="2:10">
      <c r="B4" s="66">
        <v>46204</v>
      </c>
      <c r="C4" t="s">
        <v>585</v>
      </c>
      <c r="D4" s="66" t="s">
        <v>505</v>
      </c>
      <c r="E4" s="64" t="s">
        <v>514</v>
      </c>
      <c r="F4" s="64">
        <v>33</v>
      </c>
      <c r="G4">
        <v>1</v>
      </c>
      <c r="H4" s="66">
        <v>46217</v>
      </c>
      <c r="I4" t="s">
        <v>1015</v>
      </c>
      <c r="J4" t="s">
        <v>169</v>
      </c>
    </row>
    <row r="5" spans="2:10">
      <c r="B5" s="66">
        <v>46204</v>
      </c>
      <c r="C5" t="s">
        <v>585</v>
      </c>
      <c r="D5" s="66" t="s">
        <v>505</v>
      </c>
      <c r="E5" s="64" t="s">
        <v>515</v>
      </c>
      <c r="F5" s="64">
        <v>65</v>
      </c>
      <c r="G5">
        <v>1</v>
      </c>
      <c r="H5" s="66">
        <v>46217</v>
      </c>
      <c r="I5" t="s">
        <v>1015</v>
      </c>
      <c r="J5" t="s">
        <v>169</v>
      </c>
    </row>
    <row r="6" spans="2:10">
      <c r="B6" s="66">
        <v>46204</v>
      </c>
      <c r="C6" t="s">
        <v>585</v>
      </c>
      <c r="D6" s="66" t="s">
        <v>505</v>
      </c>
      <c r="E6" s="64" t="s">
        <v>516</v>
      </c>
      <c r="F6" s="64">
        <v>110</v>
      </c>
      <c r="G6">
        <v>2</v>
      </c>
      <c r="H6" s="66">
        <v>46217</v>
      </c>
      <c r="I6" t="s">
        <v>1015</v>
      </c>
      <c r="J6" t="s">
        <v>169</v>
      </c>
    </row>
    <row r="7" spans="2:10">
      <c r="B7" s="66">
        <v>46204</v>
      </c>
      <c r="C7" t="s">
        <v>585</v>
      </c>
      <c r="D7" s="66" t="s">
        <v>505</v>
      </c>
      <c r="E7" s="64" t="s">
        <v>517</v>
      </c>
      <c r="F7" s="64">
        <v>120</v>
      </c>
      <c r="G7">
        <v>2</v>
      </c>
      <c r="H7" s="66">
        <v>46217</v>
      </c>
      <c r="I7" t="s">
        <v>1015</v>
      </c>
      <c r="J7" t="s">
        <v>169</v>
      </c>
    </row>
    <row r="8" spans="2:10">
      <c r="B8" s="66">
        <v>46204</v>
      </c>
      <c r="C8" t="s">
        <v>585</v>
      </c>
      <c r="D8" s="66" t="s">
        <v>505</v>
      </c>
      <c r="E8" s="64" t="s">
        <v>518</v>
      </c>
      <c r="F8" s="64">
        <v>73</v>
      </c>
      <c r="G8">
        <v>1</v>
      </c>
      <c r="H8" s="66">
        <v>46217</v>
      </c>
      <c r="I8" t="s">
        <v>1015</v>
      </c>
      <c r="J8" t="s">
        <v>169</v>
      </c>
    </row>
    <row r="9" spans="2:10">
      <c r="B9" s="66">
        <v>46204</v>
      </c>
      <c r="C9" t="s">
        <v>585</v>
      </c>
      <c r="D9" s="66" t="s">
        <v>505</v>
      </c>
      <c r="E9" s="64" t="s">
        <v>519</v>
      </c>
      <c r="F9" s="64">
        <v>33</v>
      </c>
      <c r="G9">
        <v>1</v>
      </c>
      <c r="H9" s="66">
        <v>46217</v>
      </c>
      <c r="I9" t="s">
        <v>1015</v>
      </c>
      <c r="J9" t="s">
        <v>169</v>
      </c>
    </row>
    <row r="10" spans="2:10">
      <c r="B10" s="66">
        <v>46204</v>
      </c>
      <c r="C10" t="s">
        <v>585</v>
      </c>
      <c r="D10" s="66" t="s">
        <v>505</v>
      </c>
      <c r="E10" s="64" t="s">
        <v>520</v>
      </c>
      <c r="F10" s="64">
        <v>51</v>
      </c>
      <c r="G10">
        <v>1</v>
      </c>
      <c r="H10" s="66">
        <v>46217</v>
      </c>
      <c r="I10" t="s">
        <v>1015</v>
      </c>
      <c r="J10" t="s">
        <v>169</v>
      </c>
    </row>
    <row r="11" spans="2:10">
      <c r="B11" s="66">
        <v>46204</v>
      </c>
      <c r="C11" t="s">
        <v>585</v>
      </c>
      <c r="D11" s="66" t="s">
        <v>890</v>
      </c>
      <c r="E11" s="64" t="s">
        <v>891</v>
      </c>
      <c r="F11" s="64">
        <v>72</v>
      </c>
      <c r="G11">
        <v>3</v>
      </c>
      <c r="H11" s="66">
        <v>46217</v>
      </c>
      <c r="I11" t="s">
        <v>1015</v>
      </c>
      <c r="J11" t="s">
        <v>169</v>
      </c>
    </row>
    <row r="12" spans="2:10">
      <c r="B12" s="66">
        <v>46204</v>
      </c>
      <c r="C12" t="s">
        <v>563</v>
      </c>
      <c r="D12" s="66" t="s">
        <v>890</v>
      </c>
      <c r="E12" s="64" t="s">
        <v>891</v>
      </c>
      <c r="F12" s="64">
        <v>28</v>
      </c>
      <c r="G12">
        <v>1</v>
      </c>
      <c r="H12" s="66">
        <v>46217</v>
      </c>
      <c r="I12" t="s">
        <v>1015</v>
      </c>
      <c r="J12" t="s">
        <v>169</v>
      </c>
    </row>
    <row r="13" spans="2:10">
      <c r="B13" s="66">
        <v>46204</v>
      </c>
      <c r="C13" t="s">
        <v>563</v>
      </c>
      <c r="D13" s="66" t="s">
        <v>918</v>
      </c>
      <c r="E13" s="64" t="s">
        <v>732</v>
      </c>
      <c r="F13" s="64">
        <v>200</v>
      </c>
      <c r="G13">
        <v>2</v>
      </c>
      <c r="H13" s="66">
        <v>46217</v>
      </c>
      <c r="I13" t="s">
        <v>1015</v>
      </c>
      <c r="J13" t="s">
        <v>169</v>
      </c>
    </row>
    <row r="14" spans="2:10">
      <c r="B14" s="66">
        <v>46204</v>
      </c>
      <c r="C14" t="s">
        <v>563</v>
      </c>
      <c r="D14" s="66" t="s">
        <v>503</v>
      </c>
      <c r="E14" s="64" t="s">
        <v>896</v>
      </c>
      <c r="F14" s="64">
        <v>50</v>
      </c>
      <c r="G14">
        <v>2</v>
      </c>
      <c r="H14" s="66">
        <v>46217</v>
      </c>
      <c r="I14" t="s">
        <v>1015</v>
      </c>
      <c r="J14" t="s">
        <v>169</v>
      </c>
    </row>
    <row r="15" spans="2:10">
      <c r="B15" s="66">
        <v>46204</v>
      </c>
      <c r="C15" t="s">
        <v>563</v>
      </c>
      <c r="D15" s="66" t="s">
        <v>903</v>
      </c>
      <c r="E15" s="64" t="s">
        <v>904</v>
      </c>
      <c r="F15" s="64">
        <v>200</v>
      </c>
      <c r="G15">
        <v>2</v>
      </c>
      <c r="H15" s="66">
        <v>46217</v>
      </c>
      <c r="I15" t="s">
        <v>1015</v>
      </c>
      <c r="J15" t="s">
        <v>169</v>
      </c>
    </row>
    <row r="16" spans="2:10">
      <c r="B16" s="66">
        <v>46204</v>
      </c>
      <c r="C16" t="s">
        <v>563</v>
      </c>
      <c r="D16" s="66" t="s">
        <v>882</v>
      </c>
      <c r="E16" s="64" t="s">
        <v>884</v>
      </c>
      <c r="F16" s="64">
        <v>400</v>
      </c>
      <c r="G16">
        <v>4</v>
      </c>
      <c r="H16" s="66">
        <v>46216</v>
      </c>
      <c r="I16" t="s">
        <v>1015</v>
      </c>
      <c r="J16" t="s">
        <v>169</v>
      </c>
    </row>
    <row r="17" spans="2:10">
      <c r="B17" s="66">
        <v>46204</v>
      </c>
      <c r="C17" t="s">
        <v>563</v>
      </c>
      <c r="D17" s="66" t="s">
        <v>882</v>
      </c>
      <c r="E17" s="64" t="s">
        <v>884</v>
      </c>
      <c r="F17" s="64">
        <v>30</v>
      </c>
      <c r="G17">
        <v>1</v>
      </c>
      <c r="H17" s="66">
        <v>46216</v>
      </c>
      <c r="I17" t="s">
        <v>1015</v>
      </c>
      <c r="J17" t="s">
        <v>169</v>
      </c>
    </row>
    <row r="18" spans="2:10">
      <c r="B18" s="66">
        <v>46210</v>
      </c>
      <c r="C18" t="s">
        <v>629</v>
      </c>
      <c r="D18" s="66" t="s">
        <v>920</v>
      </c>
      <c r="E18" s="64" t="s">
        <v>817</v>
      </c>
      <c r="F18" s="64">
        <v>480</v>
      </c>
      <c r="G18">
        <v>12</v>
      </c>
      <c r="H18" s="66">
        <v>46229</v>
      </c>
      <c r="I18" t="s">
        <v>1015</v>
      </c>
      <c r="J18" t="s">
        <v>169</v>
      </c>
    </row>
    <row r="19" spans="2:10">
      <c r="B19" s="66">
        <v>46210</v>
      </c>
      <c r="C19" t="s">
        <v>563</v>
      </c>
      <c r="D19" s="66" t="s">
        <v>920</v>
      </c>
      <c r="E19" s="64" t="s">
        <v>817</v>
      </c>
      <c r="F19" s="64">
        <v>480</v>
      </c>
      <c r="G19">
        <v>12</v>
      </c>
      <c r="H19" s="66">
        <v>46229</v>
      </c>
      <c r="I19" t="s">
        <v>1015</v>
      </c>
      <c r="J19" t="s">
        <v>169</v>
      </c>
    </row>
    <row r="20" spans="2:10">
      <c r="B20" s="66">
        <v>46213</v>
      </c>
      <c r="C20" t="s">
        <v>629</v>
      </c>
      <c r="D20" s="66" t="s">
        <v>662</v>
      </c>
      <c r="E20" s="64" t="s">
        <v>663</v>
      </c>
      <c r="F20" s="64">
        <v>266</v>
      </c>
      <c r="G20">
        <v>8</v>
      </c>
      <c r="H20" s="66">
        <v>46232</v>
      </c>
      <c r="I20" t="s">
        <v>1015</v>
      </c>
      <c r="J20" t="s">
        <v>169</v>
      </c>
    </row>
    <row r="21" spans="2:10">
      <c r="B21" s="66">
        <v>46213</v>
      </c>
      <c r="C21" t="s">
        <v>629</v>
      </c>
      <c r="D21" s="66" t="s">
        <v>662</v>
      </c>
      <c r="E21" s="64" t="s">
        <v>664</v>
      </c>
      <c r="F21" s="64">
        <v>100</v>
      </c>
      <c r="G21">
        <v>3</v>
      </c>
      <c r="H21" s="66">
        <v>46232</v>
      </c>
      <c r="I21" t="s">
        <v>1015</v>
      </c>
      <c r="J21" t="s">
        <v>169</v>
      </c>
    </row>
    <row r="22" spans="2:10">
      <c r="B22" s="66">
        <v>46213</v>
      </c>
      <c r="C22" t="s">
        <v>629</v>
      </c>
      <c r="D22" s="66" t="s">
        <v>882</v>
      </c>
      <c r="E22" s="64" t="s">
        <v>498</v>
      </c>
      <c r="F22" s="64">
        <v>100</v>
      </c>
      <c r="G22">
        <v>1</v>
      </c>
      <c r="H22" s="66">
        <v>46216</v>
      </c>
      <c r="I22" t="s">
        <v>1015</v>
      </c>
      <c r="J22" t="s">
        <v>169</v>
      </c>
    </row>
    <row r="23" spans="2:10">
      <c r="B23" s="66">
        <v>46216</v>
      </c>
      <c r="C23" t="s">
        <v>699</v>
      </c>
      <c r="D23" s="66" t="s">
        <v>878</v>
      </c>
      <c r="E23" s="64" t="s">
        <v>934</v>
      </c>
      <c r="F23" s="64">
        <v>80</v>
      </c>
      <c r="G23">
        <v>2</v>
      </c>
      <c r="H23" s="66">
        <v>46233</v>
      </c>
      <c r="I23" t="s">
        <v>1015</v>
      </c>
      <c r="J23" t="s">
        <v>169</v>
      </c>
    </row>
    <row r="24" spans="2:10">
      <c r="B24" s="66">
        <v>46216</v>
      </c>
      <c r="C24" t="s">
        <v>699</v>
      </c>
      <c r="D24" s="66" t="s">
        <v>879</v>
      </c>
      <c r="E24" s="64" t="s">
        <v>937</v>
      </c>
      <c r="F24" s="64">
        <v>336</v>
      </c>
      <c r="G24">
        <v>7</v>
      </c>
      <c r="H24" s="66">
        <v>46233</v>
      </c>
      <c r="I24" t="s">
        <v>1015</v>
      </c>
      <c r="J24" t="s">
        <v>169</v>
      </c>
    </row>
    <row r="25" spans="2:10">
      <c r="B25" s="66">
        <v>46216</v>
      </c>
      <c r="C25" t="s">
        <v>699</v>
      </c>
      <c r="D25" s="66" t="s">
        <v>879</v>
      </c>
      <c r="E25" s="64" t="s">
        <v>939</v>
      </c>
      <c r="F25" s="64">
        <v>100</v>
      </c>
      <c r="G25">
        <v>3</v>
      </c>
      <c r="H25" s="66">
        <v>46233</v>
      </c>
      <c r="I25" t="s">
        <v>1015</v>
      </c>
      <c r="J25" t="s">
        <v>169</v>
      </c>
    </row>
    <row r="26" spans="2:10">
      <c r="B26" s="66">
        <v>46216</v>
      </c>
      <c r="C26" t="s">
        <v>700</v>
      </c>
      <c r="D26" s="66" t="s">
        <v>878</v>
      </c>
      <c r="E26" s="64" t="s">
        <v>934</v>
      </c>
      <c r="F26" s="64">
        <v>120</v>
      </c>
      <c r="G26">
        <v>3</v>
      </c>
      <c r="H26" s="66">
        <v>46233</v>
      </c>
      <c r="I26" t="s">
        <v>1015</v>
      </c>
      <c r="J26" t="s">
        <v>169</v>
      </c>
    </row>
    <row r="27" spans="2:10">
      <c r="B27" s="66">
        <v>46216</v>
      </c>
      <c r="C27" t="s">
        <v>700</v>
      </c>
      <c r="D27" s="66" t="s">
        <v>879</v>
      </c>
      <c r="E27" s="64" t="s">
        <v>937</v>
      </c>
      <c r="F27" s="64">
        <v>192</v>
      </c>
      <c r="G27">
        <v>4</v>
      </c>
      <c r="H27" s="66">
        <v>46233</v>
      </c>
      <c r="I27" t="s">
        <v>1015</v>
      </c>
      <c r="J27" t="s">
        <v>169</v>
      </c>
    </row>
    <row r="28" spans="2:10">
      <c r="B28" s="66">
        <v>46216</v>
      </c>
      <c r="C28" t="s">
        <v>700</v>
      </c>
      <c r="D28" s="66" t="s">
        <v>879</v>
      </c>
      <c r="E28" s="64" t="s">
        <v>937</v>
      </c>
      <c r="F28" s="64">
        <v>32</v>
      </c>
      <c r="G28">
        <v>1</v>
      </c>
      <c r="H28" s="66">
        <v>46233</v>
      </c>
      <c r="I28" t="s">
        <v>1015</v>
      </c>
      <c r="J28" t="s">
        <v>169</v>
      </c>
    </row>
    <row r="29" spans="2:10">
      <c r="B29" s="66">
        <v>46216</v>
      </c>
      <c r="C29" t="s">
        <v>701</v>
      </c>
      <c r="D29" s="66" t="s">
        <v>878</v>
      </c>
      <c r="E29" s="64" t="s">
        <v>934</v>
      </c>
      <c r="F29" s="64">
        <v>80</v>
      </c>
      <c r="G29">
        <v>2</v>
      </c>
      <c r="H29" s="66">
        <v>46233</v>
      </c>
      <c r="I29" t="s">
        <v>1015</v>
      </c>
      <c r="J29" t="s">
        <v>169</v>
      </c>
    </row>
    <row r="30" spans="2:10">
      <c r="B30" s="66">
        <v>46216</v>
      </c>
      <c r="C30" t="s">
        <v>701</v>
      </c>
      <c r="D30" s="66" t="s">
        <v>878</v>
      </c>
      <c r="E30" s="64" t="s">
        <v>934</v>
      </c>
      <c r="F30" s="64">
        <v>20</v>
      </c>
      <c r="G30">
        <v>1</v>
      </c>
      <c r="H30" s="66">
        <v>46233</v>
      </c>
      <c r="I30" t="s">
        <v>1015</v>
      </c>
      <c r="J30" t="s">
        <v>169</v>
      </c>
    </row>
    <row r="31" spans="2:10">
      <c r="B31" s="66">
        <v>46216</v>
      </c>
      <c r="C31" t="s">
        <v>701</v>
      </c>
      <c r="D31" s="66" t="s">
        <v>920</v>
      </c>
      <c r="E31" s="64" t="s">
        <v>817</v>
      </c>
      <c r="F31" s="64">
        <v>360</v>
      </c>
      <c r="G31">
        <v>9</v>
      </c>
      <c r="H31" s="66">
        <v>46229</v>
      </c>
      <c r="I31" t="s">
        <v>1015</v>
      </c>
      <c r="J31" t="s">
        <v>169</v>
      </c>
    </row>
    <row r="32" spans="2:10">
      <c r="B32" s="66">
        <v>46217</v>
      </c>
      <c r="C32" t="s">
        <v>699</v>
      </c>
      <c r="D32" s="66" t="s">
        <v>662</v>
      </c>
      <c r="E32" s="64" t="s">
        <v>927</v>
      </c>
      <c r="F32" s="64">
        <v>280</v>
      </c>
      <c r="G32">
        <v>7</v>
      </c>
      <c r="H32" s="66">
        <v>46232</v>
      </c>
      <c r="I32" t="s">
        <v>1015</v>
      </c>
      <c r="J32" t="s">
        <v>169</v>
      </c>
    </row>
    <row r="33" spans="2:10">
      <c r="B33" s="66">
        <v>46217</v>
      </c>
      <c r="C33" t="s">
        <v>699</v>
      </c>
      <c r="D33" s="66" t="s">
        <v>662</v>
      </c>
      <c r="E33" s="64" t="s">
        <v>929</v>
      </c>
      <c r="F33" s="64">
        <v>120</v>
      </c>
      <c r="G33">
        <v>3</v>
      </c>
      <c r="H33" s="66">
        <v>46232</v>
      </c>
      <c r="I33" t="s">
        <v>1015</v>
      </c>
      <c r="J33" t="s">
        <v>169</v>
      </c>
    </row>
    <row r="34" spans="2:10">
      <c r="B34" s="66">
        <v>46217</v>
      </c>
      <c r="C34" t="s">
        <v>699</v>
      </c>
      <c r="D34" s="66" t="s">
        <v>662</v>
      </c>
      <c r="E34" s="64" t="s">
        <v>931</v>
      </c>
      <c r="F34" s="64">
        <v>80</v>
      </c>
      <c r="G34">
        <v>2</v>
      </c>
      <c r="H34" s="66">
        <v>46232</v>
      </c>
      <c r="I34" t="s">
        <v>1015</v>
      </c>
      <c r="J34" t="s">
        <v>169</v>
      </c>
    </row>
    <row r="35" spans="2:10">
      <c r="B35" s="66">
        <v>46217</v>
      </c>
      <c r="C35" t="s">
        <v>700</v>
      </c>
      <c r="D35" s="66" t="s">
        <v>882</v>
      </c>
      <c r="E35" s="64" t="s">
        <v>497</v>
      </c>
      <c r="F35" s="64">
        <v>200</v>
      </c>
      <c r="G35">
        <v>2</v>
      </c>
      <c r="H35" s="66">
        <v>46216</v>
      </c>
      <c r="I35">
        <v>2</v>
      </c>
      <c r="J35">
        <v>4000</v>
      </c>
    </row>
    <row r="36" spans="2:10">
      <c r="B36" s="66">
        <v>46217</v>
      </c>
      <c r="C36" t="s">
        <v>700</v>
      </c>
      <c r="D36" s="66" t="s">
        <v>662</v>
      </c>
      <c r="E36" s="64" t="s">
        <v>927</v>
      </c>
      <c r="F36" s="64">
        <v>80</v>
      </c>
      <c r="G36">
        <v>2</v>
      </c>
      <c r="H36" s="66">
        <v>46232</v>
      </c>
      <c r="I36" t="s">
        <v>1015</v>
      </c>
      <c r="J36" t="s">
        <v>169</v>
      </c>
    </row>
    <row r="37" spans="2:10">
      <c r="B37" s="66">
        <v>46217</v>
      </c>
      <c r="C37" t="s">
        <v>700</v>
      </c>
      <c r="D37" s="66" t="s">
        <v>662</v>
      </c>
      <c r="E37" s="64" t="s">
        <v>929</v>
      </c>
      <c r="F37" s="64">
        <v>40</v>
      </c>
      <c r="G37">
        <v>1</v>
      </c>
      <c r="H37" s="66">
        <v>46232</v>
      </c>
      <c r="I37" t="s">
        <v>1015</v>
      </c>
      <c r="J37" t="s">
        <v>169</v>
      </c>
    </row>
    <row r="38" spans="2:10">
      <c r="B38" s="66">
        <v>46217</v>
      </c>
      <c r="C38" t="s">
        <v>700</v>
      </c>
      <c r="D38" s="66" t="s">
        <v>662</v>
      </c>
      <c r="E38" s="64" t="s">
        <v>931</v>
      </c>
      <c r="F38" s="64">
        <v>30</v>
      </c>
      <c r="G38">
        <v>1</v>
      </c>
      <c r="H38" s="66">
        <v>46232</v>
      </c>
      <c r="I38" t="s">
        <v>1015</v>
      </c>
      <c r="J38" t="s">
        <v>169</v>
      </c>
    </row>
    <row r="39" spans="2:10">
      <c r="B39" s="66">
        <v>46217</v>
      </c>
      <c r="C39" t="s">
        <v>700</v>
      </c>
      <c r="D39" s="66" t="s">
        <v>920</v>
      </c>
      <c r="E39" s="64" t="s">
        <v>817</v>
      </c>
      <c r="F39" s="64">
        <v>240</v>
      </c>
      <c r="G39">
        <v>6</v>
      </c>
      <c r="H39" s="66">
        <v>46229</v>
      </c>
      <c r="I39" t="s">
        <v>1015</v>
      </c>
      <c r="J39" t="s">
        <v>169</v>
      </c>
    </row>
    <row r="40" spans="2:10">
      <c r="B40" s="66">
        <v>46218</v>
      </c>
      <c r="C40" t="s">
        <v>699</v>
      </c>
      <c r="D40" s="66" t="s">
        <v>728</v>
      </c>
      <c r="E40" s="64" t="s">
        <v>734</v>
      </c>
      <c r="F40" s="64">
        <v>105</v>
      </c>
      <c r="G40">
        <v>2</v>
      </c>
      <c r="H40" s="66">
        <v>46238</v>
      </c>
      <c r="I40" t="s">
        <v>1015</v>
      </c>
      <c r="J40" t="s">
        <v>169</v>
      </c>
    </row>
    <row r="41" spans="2:10">
      <c r="B41" s="66">
        <v>46218</v>
      </c>
      <c r="C41" t="s">
        <v>699</v>
      </c>
      <c r="D41" s="66" t="s">
        <v>728</v>
      </c>
      <c r="E41" s="64" t="s">
        <v>735</v>
      </c>
      <c r="F41" s="64">
        <v>525</v>
      </c>
      <c r="G41">
        <v>10</v>
      </c>
      <c r="H41" s="66">
        <v>46238</v>
      </c>
      <c r="I41" t="s">
        <v>1015</v>
      </c>
      <c r="J41" t="s">
        <v>169</v>
      </c>
    </row>
    <row r="42" spans="2:10">
      <c r="B42" s="66">
        <v>46218</v>
      </c>
      <c r="C42" t="s">
        <v>700</v>
      </c>
      <c r="D42" s="66" t="s">
        <v>728</v>
      </c>
      <c r="E42" s="64" t="s">
        <v>736</v>
      </c>
      <c r="F42" s="64">
        <v>105</v>
      </c>
      <c r="G42">
        <v>2</v>
      </c>
      <c r="H42" s="66">
        <v>46238</v>
      </c>
      <c r="I42" t="s">
        <v>1015</v>
      </c>
      <c r="J42" t="s">
        <v>169</v>
      </c>
    </row>
    <row r="43" spans="2:10">
      <c r="B43" s="66">
        <v>46218</v>
      </c>
      <c r="C43" t="s">
        <v>700</v>
      </c>
      <c r="D43" s="66" t="s">
        <v>728</v>
      </c>
      <c r="E43" s="64" t="s">
        <v>737</v>
      </c>
      <c r="F43" s="64">
        <v>105</v>
      </c>
      <c r="G43">
        <v>2</v>
      </c>
      <c r="H43" s="66">
        <v>46238</v>
      </c>
      <c r="I43" t="s">
        <v>1015</v>
      </c>
      <c r="J43" t="s">
        <v>169</v>
      </c>
    </row>
    <row r="44" spans="2:10">
      <c r="B44" s="66">
        <v>46218</v>
      </c>
      <c r="C44" t="s">
        <v>700</v>
      </c>
      <c r="D44" s="66" t="s">
        <v>727</v>
      </c>
      <c r="E44" s="64" t="s">
        <v>730</v>
      </c>
      <c r="F44" s="64">
        <v>50</v>
      </c>
      <c r="G44">
        <v>1</v>
      </c>
      <c r="H44" s="66">
        <v>46238</v>
      </c>
      <c r="I44" t="s">
        <v>1015</v>
      </c>
      <c r="J44" t="s">
        <v>169</v>
      </c>
    </row>
    <row r="45" spans="2:10">
      <c r="B45" s="66">
        <v>46218</v>
      </c>
      <c r="C45" t="s">
        <v>700</v>
      </c>
      <c r="D45" s="66" t="s">
        <v>727</v>
      </c>
      <c r="E45" s="64" t="s">
        <v>731</v>
      </c>
      <c r="F45" s="64">
        <v>50</v>
      </c>
      <c r="G45">
        <v>1</v>
      </c>
      <c r="H45" s="66">
        <v>46238</v>
      </c>
      <c r="I45" t="s">
        <v>1015</v>
      </c>
      <c r="J45" t="s">
        <v>169</v>
      </c>
    </row>
    <row r="46" spans="2:10">
      <c r="B46" s="66">
        <v>46218</v>
      </c>
      <c r="C46" t="s">
        <v>700</v>
      </c>
      <c r="D46" s="66" t="s">
        <v>920</v>
      </c>
      <c r="E46" s="64" t="s">
        <v>817</v>
      </c>
      <c r="F46" s="64">
        <v>40</v>
      </c>
      <c r="G46">
        <v>1</v>
      </c>
      <c r="H46" s="66">
        <v>46229</v>
      </c>
      <c r="I46" t="s">
        <v>1015</v>
      </c>
      <c r="J46" t="s">
        <v>169</v>
      </c>
    </row>
    <row r="47" spans="2:10">
      <c r="B47" s="66">
        <v>46218</v>
      </c>
      <c r="C47" t="s">
        <v>700</v>
      </c>
      <c r="D47" s="66" t="s">
        <v>662</v>
      </c>
      <c r="E47" s="64" t="s">
        <v>923</v>
      </c>
      <c r="F47" s="64">
        <v>100</v>
      </c>
      <c r="G47">
        <v>3</v>
      </c>
      <c r="H47" s="66">
        <v>46232</v>
      </c>
      <c r="I47" t="s">
        <v>1015</v>
      </c>
      <c r="J47" t="s">
        <v>169</v>
      </c>
    </row>
    <row r="48" spans="2:10">
      <c r="B48" s="66">
        <v>46218</v>
      </c>
      <c r="C48" t="s">
        <v>700</v>
      </c>
      <c r="D48" s="66" t="s">
        <v>878</v>
      </c>
      <c r="E48" s="64" t="s">
        <v>817</v>
      </c>
      <c r="F48" s="64">
        <v>80</v>
      </c>
      <c r="G48">
        <v>2</v>
      </c>
      <c r="H48" s="66">
        <v>46233</v>
      </c>
      <c r="I48" t="s">
        <v>1015</v>
      </c>
      <c r="J48" t="s">
        <v>169</v>
      </c>
    </row>
    <row r="49" spans="2:10">
      <c r="B49" s="66">
        <v>46219</v>
      </c>
      <c r="C49" t="s">
        <v>629</v>
      </c>
      <c r="D49" s="66" t="s">
        <v>662</v>
      </c>
      <c r="E49" s="64" t="s">
        <v>925</v>
      </c>
      <c r="F49" s="64">
        <v>180</v>
      </c>
      <c r="G49">
        <v>5</v>
      </c>
      <c r="H49" s="66">
        <v>46232</v>
      </c>
      <c r="I49" t="s">
        <v>1015</v>
      </c>
      <c r="J49" t="s">
        <v>169</v>
      </c>
    </row>
    <row r="50" spans="2:10">
      <c r="B50" s="66">
        <v>46219</v>
      </c>
      <c r="C50" t="s">
        <v>629</v>
      </c>
      <c r="D50" s="66" t="s">
        <v>662</v>
      </c>
      <c r="E50" s="64" t="s">
        <v>925</v>
      </c>
      <c r="F50" s="64">
        <v>20</v>
      </c>
      <c r="G50">
        <v>1</v>
      </c>
      <c r="H50" s="66">
        <v>46232</v>
      </c>
      <c r="I50" t="s">
        <v>1015</v>
      </c>
      <c r="J50" t="s">
        <v>169</v>
      </c>
    </row>
    <row r="51" spans="2:10">
      <c r="B51" s="66">
        <v>46219</v>
      </c>
      <c r="C51" t="s">
        <v>629</v>
      </c>
      <c r="D51" s="66" t="s">
        <v>725</v>
      </c>
      <c r="E51" s="64" t="s">
        <v>945</v>
      </c>
      <c r="F51" s="64">
        <v>250</v>
      </c>
      <c r="G51">
        <v>9</v>
      </c>
      <c r="H51" s="66">
        <v>46238</v>
      </c>
      <c r="I51" t="s">
        <v>1015</v>
      </c>
      <c r="J51" t="s">
        <v>169</v>
      </c>
    </row>
    <row r="52" spans="2:10">
      <c r="B52" s="66">
        <v>46219</v>
      </c>
      <c r="C52" t="s">
        <v>629</v>
      </c>
      <c r="D52" s="66" t="s">
        <v>725</v>
      </c>
      <c r="E52" s="64" t="s">
        <v>729</v>
      </c>
      <c r="F52" s="64">
        <v>250</v>
      </c>
      <c r="G52">
        <v>9</v>
      </c>
      <c r="H52" s="66">
        <v>46238</v>
      </c>
      <c r="I52" t="s">
        <v>1015</v>
      </c>
      <c r="J52" t="s">
        <v>169</v>
      </c>
    </row>
    <row r="53" spans="2:10">
      <c r="B53" s="66">
        <v>46219</v>
      </c>
      <c r="C53" t="s">
        <v>700</v>
      </c>
      <c r="D53" s="66" t="s">
        <v>728</v>
      </c>
      <c r="E53" s="64" t="s">
        <v>960</v>
      </c>
      <c r="F53" s="64">
        <v>20</v>
      </c>
      <c r="G53">
        <v>1</v>
      </c>
      <c r="H53" s="66">
        <v>46238</v>
      </c>
      <c r="I53" t="s">
        <v>1015</v>
      </c>
      <c r="J53" t="s">
        <v>169</v>
      </c>
    </row>
    <row r="54" spans="2:10">
      <c r="B54" s="66">
        <v>46219</v>
      </c>
      <c r="C54" t="s">
        <v>700</v>
      </c>
      <c r="D54" s="66" t="s">
        <v>952</v>
      </c>
      <c r="E54" s="64" t="s">
        <v>953</v>
      </c>
      <c r="F54" s="64">
        <v>84</v>
      </c>
      <c r="G54">
        <v>1</v>
      </c>
      <c r="H54" s="66">
        <v>46238</v>
      </c>
      <c r="I54" t="s">
        <v>1015</v>
      </c>
      <c r="J54" t="s">
        <v>169</v>
      </c>
    </row>
    <row r="55" spans="2:10">
      <c r="B55" s="66">
        <v>46219</v>
      </c>
      <c r="C55" t="s">
        <v>700</v>
      </c>
      <c r="D55" s="66" t="s">
        <v>952</v>
      </c>
      <c r="E55" s="64" t="s">
        <v>953</v>
      </c>
      <c r="F55" s="64">
        <v>66</v>
      </c>
      <c r="G55">
        <v>1</v>
      </c>
      <c r="H55" s="66">
        <v>46238</v>
      </c>
      <c r="I55" t="s">
        <v>1015</v>
      </c>
      <c r="J55" t="s">
        <v>169</v>
      </c>
    </row>
    <row r="56" spans="2:10">
      <c r="B56" s="66">
        <v>46224</v>
      </c>
      <c r="C56" t="s">
        <v>806</v>
      </c>
      <c r="D56" s="66" t="s">
        <v>790</v>
      </c>
      <c r="E56" s="64" t="s">
        <v>792</v>
      </c>
      <c r="F56" s="64">
        <v>700</v>
      </c>
      <c r="G56">
        <v>6</v>
      </c>
      <c r="H56" s="66">
        <v>46243</v>
      </c>
      <c r="I56" t="s">
        <v>1015</v>
      </c>
      <c r="J56" t="s">
        <v>169</v>
      </c>
    </row>
    <row r="57" spans="2:10">
      <c r="B57" s="66">
        <v>46224</v>
      </c>
      <c r="C57" t="s">
        <v>806</v>
      </c>
      <c r="D57" s="66" t="s">
        <v>790</v>
      </c>
      <c r="E57" s="64" t="s">
        <v>793</v>
      </c>
      <c r="F57" s="64">
        <v>200</v>
      </c>
      <c r="G57">
        <v>6</v>
      </c>
      <c r="H57" s="66">
        <v>46243</v>
      </c>
      <c r="I57" t="s">
        <v>1015</v>
      </c>
      <c r="J57" t="s">
        <v>169</v>
      </c>
    </row>
    <row r="58" spans="2:10">
      <c r="B58" s="66">
        <v>46224</v>
      </c>
      <c r="C58" t="s">
        <v>806</v>
      </c>
      <c r="D58" s="66" t="s">
        <v>790</v>
      </c>
      <c r="E58" s="64" t="s">
        <v>794</v>
      </c>
      <c r="F58" s="64">
        <v>150</v>
      </c>
      <c r="G58">
        <v>7</v>
      </c>
      <c r="H58" s="66">
        <v>46243</v>
      </c>
      <c r="I58" t="s">
        <v>1015</v>
      </c>
      <c r="J58" t="s">
        <v>169</v>
      </c>
    </row>
    <row r="59" spans="2:10">
      <c r="B59" s="66">
        <v>46224</v>
      </c>
      <c r="C59" t="s">
        <v>806</v>
      </c>
      <c r="D59" s="66" t="s">
        <v>790</v>
      </c>
      <c r="E59" s="64" t="s">
        <v>795</v>
      </c>
      <c r="F59" s="64">
        <v>142</v>
      </c>
      <c r="G59">
        <v>6</v>
      </c>
      <c r="H59" s="66">
        <v>46243</v>
      </c>
      <c r="I59" t="s">
        <v>1015</v>
      </c>
      <c r="J59" t="s">
        <v>169</v>
      </c>
    </row>
    <row r="60" spans="2:10">
      <c r="B60" s="66">
        <v>46224</v>
      </c>
      <c r="C60" t="s">
        <v>806</v>
      </c>
      <c r="D60" s="66" t="s">
        <v>790</v>
      </c>
      <c r="E60" s="64" t="s">
        <v>796</v>
      </c>
      <c r="F60" s="64">
        <v>80</v>
      </c>
      <c r="G60">
        <v>5</v>
      </c>
      <c r="H60" s="66">
        <v>46243</v>
      </c>
      <c r="I60" t="s">
        <v>1015</v>
      </c>
      <c r="J60" t="s">
        <v>169</v>
      </c>
    </row>
    <row r="61" spans="2:10">
      <c r="B61" s="66">
        <v>46224</v>
      </c>
      <c r="C61" t="s">
        <v>806</v>
      </c>
      <c r="D61" s="66" t="s">
        <v>790</v>
      </c>
      <c r="E61" s="64" t="s">
        <v>797</v>
      </c>
      <c r="F61" s="64">
        <v>80</v>
      </c>
      <c r="G61">
        <v>5</v>
      </c>
      <c r="H61" s="66">
        <v>46243</v>
      </c>
      <c r="I61" t="s">
        <v>1015</v>
      </c>
      <c r="J61" t="s">
        <v>169</v>
      </c>
    </row>
    <row r="62" spans="2:10">
      <c r="B62" s="66">
        <v>46224</v>
      </c>
      <c r="C62" t="s">
        <v>806</v>
      </c>
      <c r="D62" s="66" t="s">
        <v>790</v>
      </c>
      <c r="E62" s="64" t="s">
        <v>798</v>
      </c>
      <c r="F62" s="64">
        <v>46</v>
      </c>
      <c r="G62">
        <v>2</v>
      </c>
      <c r="H62" s="66">
        <v>46243</v>
      </c>
      <c r="I62" t="s">
        <v>1015</v>
      </c>
      <c r="J62" t="s">
        <v>169</v>
      </c>
    </row>
    <row r="63" spans="2:10">
      <c r="B63" s="66">
        <v>46224</v>
      </c>
      <c r="C63" t="s">
        <v>1016</v>
      </c>
      <c r="D63" s="66" t="s">
        <v>878</v>
      </c>
      <c r="E63" s="64" t="s">
        <v>817</v>
      </c>
      <c r="F63" s="64">
        <v>730</v>
      </c>
      <c r="G63">
        <v>19</v>
      </c>
      <c r="H63" s="66">
        <v>46233</v>
      </c>
      <c r="I63" t="s">
        <v>1015</v>
      </c>
      <c r="J63" t="s">
        <v>169</v>
      </c>
    </row>
    <row r="64" spans="2:10">
      <c r="B64" s="66">
        <v>46224</v>
      </c>
      <c r="C64" t="s">
        <v>1016</v>
      </c>
      <c r="D64" s="66" t="s">
        <v>879</v>
      </c>
      <c r="E64" s="64" t="s">
        <v>817</v>
      </c>
      <c r="F64" s="64">
        <v>240</v>
      </c>
      <c r="G64">
        <v>6</v>
      </c>
      <c r="H64" s="66">
        <v>46233</v>
      </c>
      <c r="I64" t="s">
        <v>1015</v>
      </c>
      <c r="J64" t="s">
        <v>169</v>
      </c>
    </row>
    <row r="65" spans="2:10">
      <c r="B65" s="66">
        <v>46224</v>
      </c>
      <c r="C65" t="s">
        <v>1016</v>
      </c>
      <c r="D65" s="66" t="s">
        <v>952</v>
      </c>
      <c r="E65" s="64" t="s">
        <v>955</v>
      </c>
      <c r="F65" s="64">
        <v>100</v>
      </c>
      <c r="G65">
        <v>1</v>
      </c>
      <c r="H65" s="66">
        <v>46238</v>
      </c>
      <c r="I65" t="s">
        <v>1015</v>
      </c>
      <c r="J65" t="s">
        <v>169</v>
      </c>
    </row>
    <row r="66" spans="2:10">
      <c r="B66" s="66">
        <v>46224</v>
      </c>
      <c r="C66" t="s">
        <v>700</v>
      </c>
      <c r="D66" s="66" t="s">
        <v>878</v>
      </c>
      <c r="E66" s="64" t="s">
        <v>817</v>
      </c>
      <c r="F66" s="64">
        <v>240</v>
      </c>
      <c r="G66">
        <v>6</v>
      </c>
      <c r="H66" s="66">
        <v>46233</v>
      </c>
      <c r="I66" t="s">
        <v>1015</v>
      </c>
      <c r="J66" t="s">
        <v>169</v>
      </c>
    </row>
    <row r="67" spans="2:10">
      <c r="B67" s="66">
        <v>46224</v>
      </c>
      <c r="C67" t="s">
        <v>700</v>
      </c>
      <c r="D67" s="66" t="s">
        <v>879</v>
      </c>
      <c r="E67" s="64" t="s">
        <v>817</v>
      </c>
      <c r="F67" s="64">
        <v>240</v>
      </c>
      <c r="G67">
        <v>6</v>
      </c>
      <c r="H67" s="66">
        <v>46233</v>
      </c>
      <c r="I67" t="s">
        <v>1015</v>
      </c>
      <c r="J67" t="s">
        <v>169</v>
      </c>
    </row>
    <row r="68" spans="2:10">
      <c r="B68" s="66">
        <v>46225</v>
      </c>
      <c r="C68" t="s">
        <v>629</v>
      </c>
      <c r="D68" s="66" t="s">
        <v>789</v>
      </c>
      <c r="E68" s="64" t="s">
        <v>884</v>
      </c>
      <c r="F68" s="64">
        <v>900</v>
      </c>
      <c r="G68">
        <v>9</v>
      </c>
      <c r="H68" s="66">
        <v>46243</v>
      </c>
      <c r="I68" t="s">
        <v>1015</v>
      </c>
      <c r="J68" t="s">
        <v>169</v>
      </c>
    </row>
    <row r="69" spans="2:10">
      <c r="B69" s="66">
        <v>46225</v>
      </c>
      <c r="C69" t="s">
        <v>629</v>
      </c>
      <c r="D69" s="66" t="s">
        <v>789</v>
      </c>
      <c r="E69" s="64" t="s">
        <v>884</v>
      </c>
      <c r="F69" s="64">
        <v>35</v>
      </c>
      <c r="G69">
        <v>1</v>
      </c>
      <c r="H69" s="66">
        <v>46243</v>
      </c>
      <c r="I69" t="s">
        <v>1015</v>
      </c>
      <c r="J69" t="s">
        <v>169</v>
      </c>
    </row>
    <row r="70" spans="2:10">
      <c r="B70" s="66">
        <v>46225</v>
      </c>
      <c r="C70" t="s">
        <v>629</v>
      </c>
      <c r="D70" s="66" t="s">
        <v>957</v>
      </c>
      <c r="E70" s="64" t="s">
        <v>732</v>
      </c>
      <c r="F70" s="64">
        <v>200</v>
      </c>
      <c r="G70">
        <v>2</v>
      </c>
      <c r="H70" s="66">
        <v>46238</v>
      </c>
      <c r="I70" t="s">
        <v>1015</v>
      </c>
      <c r="J70" t="s">
        <v>169</v>
      </c>
    </row>
    <row r="71" spans="2:10">
      <c r="B71" s="66">
        <v>46225</v>
      </c>
      <c r="C71" t="s">
        <v>629</v>
      </c>
      <c r="D71" s="66" t="s">
        <v>957</v>
      </c>
      <c r="E71" s="64" t="s">
        <v>733</v>
      </c>
      <c r="F71" s="64">
        <v>100</v>
      </c>
      <c r="G71">
        <v>1</v>
      </c>
      <c r="H71" s="66">
        <v>46238</v>
      </c>
      <c r="I71" t="s">
        <v>1015</v>
      </c>
      <c r="J71" t="s">
        <v>169</v>
      </c>
    </row>
    <row r="72" spans="2:10">
      <c r="B72" s="66">
        <v>46227</v>
      </c>
      <c r="C72" t="s">
        <v>585</v>
      </c>
      <c r="D72" s="66" t="s">
        <v>994</v>
      </c>
      <c r="E72" s="64" t="s">
        <v>995</v>
      </c>
      <c r="F72" s="64">
        <v>360</v>
      </c>
      <c r="G72">
        <v>10</v>
      </c>
      <c r="H72" s="66">
        <v>46246</v>
      </c>
      <c r="I72" t="s">
        <v>1015</v>
      </c>
      <c r="J72" t="s">
        <v>169</v>
      </c>
    </row>
    <row r="73" spans="2:10">
      <c r="B73" s="66">
        <v>46227</v>
      </c>
      <c r="C73" t="s">
        <v>585</v>
      </c>
      <c r="D73" s="66" t="s">
        <v>728</v>
      </c>
      <c r="E73" s="64" t="s">
        <v>962</v>
      </c>
      <c r="F73" s="64">
        <v>64</v>
      </c>
      <c r="G73">
        <v>1</v>
      </c>
      <c r="H73" s="66">
        <v>46238</v>
      </c>
      <c r="I73" t="s">
        <v>1015</v>
      </c>
      <c r="J73" t="s">
        <v>169</v>
      </c>
    </row>
    <row r="74" spans="2:10">
      <c r="B74" s="66">
        <v>46227</v>
      </c>
      <c r="C74" t="s">
        <v>585</v>
      </c>
      <c r="D74" s="66" t="s">
        <v>728</v>
      </c>
      <c r="E74" s="64" t="s">
        <v>962</v>
      </c>
      <c r="F74" s="64">
        <v>56</v>
      </c>
      <c r="G74">
        <v>1</v>
      </c>
      <c r="H74" s="66">
        <v>46238</v>
      </c>
      <c r="I74" t="s">
        <v>1015</v>
      </c>
      <c r="J74" t="s">
        <v>169</v>
      </c>
    </row>
    <row r="75" spans="2:10">
      <c r="B75" s="66">
        <v>46227</v>
      </c>
      <c r="C75" t="s">
        <v>563</v>
      </c>
      <c r="D75" s="66" t="s">
        <v>968</v>
      </c>
      <c r="E75" s="64" t="s">
        <v>969</v>
      </c>
      <c r="F75" s="64">
        <v>48</v>
      </c>
      <c r="G75">
        <v>1</v>
      </c>
      <c r="H75" s="66">
        <v>46238</v>
      </c>
      <c r="I75" t="s">
        <v>1015</v>
      </c>
      <c r="J75" t="s">
        <v>169</v>
      </c>
    </row>
    <row r="76" spans="2:10">
      <c r="B76" s="66">
        <v>46227</v>
      </c>
      <c r="C76" t="s">
        <v>563</v>
      </c>
      <c r="D76" s="66" t="s">
        <v>968</v>
      </c>
      <c r="E76" s="64" t="s">
        <v>969</v>
      </c>
      <c r="F76" s="64">
        <v>26</v>
      </c>
      <c r="G76">
        <v>1</v>
      </c>
      <c r="H76" s="66">
        <v>46238</v>
      </c>
      <c r="I76" t="s">
        <v>1015</v>
      </c>
      <c r="J76" t="s">
        <v>169</v>
      </c>
    </row>
    <row r="77" spans="2:10">
      <c r="B77" s="66">
        <v>46231</v>
      </c>
      <c r="C77" t="s">
        <v>629</v>
      </c>
      <c r="D77" s="66" t="s">
        <v>879</v>
      </c>
      <c r="E77" s="64" t="s">
        <v>817</v>
      </c>
      <c r="F77" s="64">
        <v>480</v>
      </c>
      <c r="G77">
        <v>12</v>
      </c>
      <c r="H77" s="66">
        <v>46233</v>
      </c>
      <c r="I77" t="s">
        <v>1015</v>
      </c>
      <c r="J77" t="s">
        <v>169</v>
      </c>
    </row>
    <row r="78" spans="2:10">
      <c r="B78" s="66">
        <v>46233</v>
      </c>
      <c r="C78" t="s">
        <v>629</v>
      </c>
      <c r="D78" s="66" t="s">
        <v>169</v>
      </c>
      <c r="E78" s="64" t="s">
        <v>169</v>
      </c>
      <c r="F78" s="64">
        <v>0</v>
      </c>
      <c r="G78" t="s">
        <v>169</v>
      </c>
      <c r="H78" s="66" t="s">
        <v>169</v>
      </c>
      <c r="I78" t="s">
        <v>1015</v>
      </c>
      <c r="J78" t="s">
        <v>169</v>
      </c>
    </row>
    <row r="79" spans="2:10">
      <c r="B79" s="66">
        <v>46233</v>
      </c>
      <c r="C79" t="s">
        <v>629</v>
      </c>
      <c r="D79" s="66" t="s">
        <v>169</v>
      </c>
      <c r="E79" s="64" t="s">
        <v>169</v>
      </c>
      <c r="F79" s="64">
        <v>0</v>
      </c>
      <c r="G79" t="s">
        <v>169</v>
      </c>
      <c r="H79" s="66" t="s">
        <v>169</v>
      </c>
      <c r="I79" t="s">
        <v>1015</v>
      </c>
      <c r="J79" t="s">
        <v>169</v>
      </c>
    </row>
    <row r="80" spans="2:10">
      <c r="B80" s="66">
        <v>46233</v>
      </c>
      <c r="C80" t="s">
        <v>629</v>
      </c>
      <c r="D80" s="66" t="s">
        <v>169</v>
      </c>
      <c r="E80" s="64" t="s">
        <v>169</v>
      </c>
      <c r="F80" s="64">
        <v>0</v>
      </c>
      <c r="G80" t="s">
        <v>169</v>
      </c>
      <c r="H80" s="66" t="s">
        <v>169</v>
      </c>
      <c r="I80" t="s">
        <v>1015</v>
      </c>
      <c r="J80" t="s">
        <v>169</v>
      </c>
    </row>
    <row r="81" spans="2:10">
      <c r="B81" s="66">
        <v>46233</v>
      </c>
      <c r="C81" t="s">
        <v>629</v>
      </c>
      <c r="D81" s="66" t="s">
        <v>169</v>
      </c>
      <c r="E81" s="64" t="s">
        <v>169</v>
      </c>
      <c r="F81" s="64">
        <v>0</v>
      </c>
      <c r="G81" t="s">
        <v>169</v>
      </c>
      <c r="H81" s="66" t="s">
        <v>169</v>
      </c>
      <c r="I81" t="s">
        <v>1015</v>
      </c>
      <c r="J81" t="s">
        <v>169</v>
      </c>
    </row>
    <row r="82" spans="2:10">
      <c r="B82" s="66">
        <v>46233</v>
      </c>
      <c r="C82" t="s">
        <v>629</v>
      </c>
      <c r="D82" s="66" t="s">
        <v>169</v>
      </c>
      <c r="E82" s="64" t="s">
        <v>169</v>
      </c>
      <c r="F82" s="64">
        <v>0</v>
      </c>
      <c r="G82" t="s">
        <v>169</v>
      </c>
      <c r="H82" s="66" t="s">
        <v>169</v>
      </c>
      <c r="I82" t="s">
        <v>1015</v>
      </c>
      <c r="J82" t="s">
        <v>169</v>
      </c>
    </row>
    <row r="83" spans="2:10">
      <c r="B83" s="66">
        <v>46233</v>
      </c>
      <c r="C83" t="s">
        <v>629</v>
      </c>
      <c r="D83" s="66" t="s">
        <v>169</v>
      </c>
      <c r="E83" s="64" t="s">
        <v>169</v>
      </c>
      <c r="F83" s="64">
        <v>0</v>
      </c>
      <c r="G83" t="s">
        <v>169</v>
      </c>
      <c r="H83" s="66" t="s">
        <v>169</v>
      </c>
      <c r="I83" t="s">
        <v>1015</v>
      </c>
      <c r="J83" t="s">
        <v>169</v>
      </c>
    </row>
    <row r="84" spans="2:10">
      <c r="B84" s="66"/>
      <c r="D84" s="66" t="s">
        <v>169</v>
      </c>
      <c r="E84" s="64" t="s">
        <v>169</v>
      </c>
      <c r="F84" s="64">
        <v>0</v>
      </c>
      <c r="G84" t="s">
        <v>169</v>
      </c>
      <c r="H84" s="66" t="s">
        <v>169</v>
      </c>
      <c r="I84" t="s">
        <v>169</v>
      </c>
      <c r="J84" t="s">
        <v>169</v>
      </c>
    </row>
    <row r="85" spans="2:10">
      <c r="B85" s="66"/>
      <c r="D85" s="66" t="s">
        <v>169</v>
      </c>
      <c r="E85" s="64" t="s">
        <v>169</v>
      </c>
      <c r="F85" s="64">
        <v>0</v>
      </c>
      <c r="G85" t="s">
        <v>169</v>
      </c>
      <c r="H85" s="66" t="s">
        <v>169</v>
      </c>
      <c r="I85" t="s">
        <v>169</v>
      </c>
      <c r="J85" t="s">
        <v>169</v>
      </c>
    </row>
    <row r="86" spans="2:10">
      <c r="B86" s="66"/>
      <c r="D86" s="66" t="s">
        <v>169</v>
      </c>
      <c r="E86" s="64" t="s">
        <v>169</v>
      </c>
      <c r="F86" s="64">
        <v>0</v>
      </c>
      <c r="G86" t="s">
        <v>169</v>
      </c>
      <c r="H86" s="66" t="s">
        <v>169</v>
      </c>
      <c r="I86" t="s">
        <v>169</v>
      </c>
      <c r="J86" t="s">
        <v>169</v>
      </c>
    </row>
    <row r="87" spans="2:10">
      <c r="B87" s="66"/>
      <c r="D87" s="66" t="s">
        <v>169</v>
      </c>
      <c r="E87" s="64" t="s">
        <v>169</v>
      </c>
      <c r="F87" s="64">
        <v>0</v>
      </c>
      <c r="G87" t="s">
        <v>169</v>
      </c>
      <c r="H87" s="66" t="s">
        <v>169</v>
      </c>
      <c r="I87" t="s">
        <v>169</v>
      </c>
      <c r="J87" t="s">
        <v>169</v>
      </c>
    </row>
    <row r="88" spans="2:10">
      <c r="B88" s="66"/>
      <c r="D88" s="66" t="s">
        <v>169</v>
      </c>
      <c r="E88" s="64" t="s">
        <v>169</v>
      </c>
      <c r="F88" s="64">
        <v>0</v>
      </c>
      <c r="G88" t="s">
        <v>169</v>
      </c>
      <c r="H88" s="66" t="s">
        <v>169</v>
      </c>
      <c r="I88" t="s">
        <v>169</v>
      </c>
      <c r="J88" t="s">
        <v>169</v>
      </c>
    </row>
    <row r="89" spans="2:10">
      <c r="B89" s="66"/>
      <c r="D89" s="66" t="s">
        <v>169</v>
      </c>
      <c r="E89" s="64" t="s">
        <v>169</v>
      </c>
      <c r="F89" s="64">
        <v>0</v>
      </c>
      <c r="G89" t="s">
        <v>169</v>
      </c>
      <c r="H89" s="66" t="s">
        <v>169</v>
      </c>
      <c r="I89" t="s">
        <v>169</v>
      </c>
      <c r="J89" t="s">
        <v>169</v>
      </c>
    </row>
    <row r="90" spans="2:10">
      <c r="B90" s="66"/>
      <c r="D90" s="66" t="s">
        <v>169</v>
      </c>
      <c r="E90" s="64" t="s">
        <v>169</v>
      </c>
      <c r="F90" s="64">
        <v>0</v>
      </c>
      <c r="G90" t="s">
        <v>169</v>
      </c>
      <c r="H90" s="66" t="s">
        <v>169</v>
      </c>
      <c r="I90" t="s">
        <v>169</v>
      </c>
      <c r="J90" t="s">
        <v>169</v>
      </c>
    </row>
    <row r="91" spans="2:10">
      <c r="B91" s="66"/>
      <c r="D91" s="66" t="s">
        <v>169</v>
      </c>
      <c r="E91" s="64" t="s">
        <v>169</v>
      </c>
      <c r="F91" s="64">
        <v>0</v>
      </c>
      <c r="G91" t="s">
        <v>169</v>
      </c>
      <c r="H91" s="66" t="s">
        <v>169</v>
      </c>
      <c r="I91" t="s">
        <v>169</v>
      </c>
      <c r="J91" t="s">
        <v>169</v>
      </c>
    </row>
    <row r="92" spans="2:10">
      <c r="B92" s="66"/>
      <c r="D92" s="66" t="s">
        <v>169</v>
      </c>
      <c r="E92" s="64" t="s">
        <v>169</v>
      </c>
      <c r="F92" s="64">
        <v>0</v>
      </c>
      <c r="G92" t="s">
        <v>169</v>
      </c>
      <c r="H92" s="66" t="s">
        <v>169</v>
      </c>
      <c r="I92" t="s">
        <v>169</v>
      </c>
      <c r="J92" t="s">
        <v>169</v>
      </c>
    </row>
    <row r="93" spans="2:10">
      <c r="B93" s="66"/>
      <c r="D93" s="66" t="s">
        <v>169</v>
      </c>
      <c r="E93" s="64" t="s">
        <v>169</v>
      </c>
      <c r="F93" s="64">
        <v>0</v>
      </c>
      <c r="G93" t="s">
        <v>169</v>
      </c>
      <c r="H93" s="66" t="s">
        <v>169</v>
      </c>
      <c r="I93" t="s">
        <v>169</v>
      </c>
      <c r="J93" t="s">
        <v>169</v>
      </c>
    </row>
    <row r="94" spans="2:10">
      <c r="B94" s="66"/>
      <c r="D94" s="66" t="s">
        <v>169</v>
      </c>
      <c r="E94" s="64" t="s">
        <v>169</v>
      </c>
      <c r="F94" s="64">
        <v>0</v>
      </c>
      <c r="G94" t="s">
        <v>169</v>
      </c>
      <c r="H94" s="66" t="s">
        <v>169</v>
      </c>
      <c r="I94" t="s">
        <v>169</v>
      </c>
      <c r="J94" t="s">
        <v>169</v>
      </c>
    </row>
    <row r="95" spans="2:10">
      <c r="B95" s="66"/>
      <c r="D95" s="66" t="s">
        <v>169</v>
      </c>
      <c r="E95" s="64" t="s">
        <v>169</v>
      </c>
      <c r="F95" s="64">
        <v>0</v>
      </c>
      <c r="G95" t="s">
        <v>169</v>
      </c>
      <c r="H95" s="66" t="s">
        <v>169</v>
      </c>
      <c r="I95" t="s">
        <v>169</v>
      </c>
      <c r="J95" t="s">
        <v>169</v>
      </c>
    </row>
    <row r="96" spans="2:10">
      <c r="B96" s="66"/>
      <c r="D96" s="66" t="s">
        <v>169</v>
      </c>
      <c r="E96" s="64" t="s">
        <v>169</v>
      </c>
      <c r="F96" s="64">
        <v>0</v>
      </c>
      <c r="G96" t="s">
        <v>169</v>
      </c>
      <c r="H96" s="66" t="s">
        <v>169</v>
      </c>
      <c r="I96" t="s">
        <v>169</v>
      </c>
      <c r="J96" t="s">
        <v>169</v>
      </c>
    </row>
    <row r="97" spans="2:10">
      <c r="B97" s="66"/>
      <c r="D97" s="66" t="s">
        <v>169</v>
      </c>
      <c r="E97" s="64" t="s">
        <v>169</v>
      </c>
      <c r="F97" s="64">
        <v>0</v>
      </c>
      <c r="G97" t="s">
        <v>169</v>
      </c>
      <c r="H97" s="66" t="s">
        <v>169</v>
      </c>
      <c r="I97" t="s">
        <v>169</v>
      </c>
      <c r="J97" t="s">
        <v>169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5633" r:id="rId4" name="Button 1">
              <controlPr defaultSize="0" print="0" autoFill="0" autoPict="0">
                <anchor moveWithCells="1" sizeWithCells="1">
                  <from>
                    <xdr:col>12</xdr:col>
                    <xdr:colOff>152400</xdr:colOff>
                    <xdr:row>0</xdr:row>
                    <xdr:rowOff>0</xdr:rowOff>
                  </from>
                  <to>
                    <xdr:col>14</xdr:col>
                    <xdr:colOff>476250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34" r:id="rId5" name="Button 2">
              <controlPr defaultSize="0" print="0" autoFill="0" autoPict="0">
                <anchor moveWithCells="1" sizeWithCells="1">
                  <from>
                    <xdr:col>13</xdr:col>
                    <xdr:colOff>95250</xdr:colOff>
                    <xdr:row>0</xdr:row>
                    <xdr:rowOff>0</xdr:rowOff>
                  </from>
                  <to>
                    <xdr:col>15</xdr:col>
                    <xdr:colOff>266700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79253-46BA-49E4-9D39-D6932C237DEA}">
  <sheetPr codeName="Sheet14">
    <tabColor rgb="FFC00000"/>
  </sheetPr>
  <dimension ref="B1:O7"/>
  <sheetViews>
    <sheetView workbookViewId="0">
      <selection activeCell="H17" sqref="H17"/>
    </sheetView>
  </sheetViews>
  <sheetFormatPr defaultRowHeight="16.5"/>
  <cols>
    <col min="2" max="2" width="14.125" customWidth="1"/>
    <col min="3" max="3" width="24.25" customWidth="1"/>
    <col min="4" max="4" width="14" customWidth="1"/>
    <col min="5" max="5" width="25.5" customWidth="1"/>
    <col min="6" max="9" width="10" customWidth="1"/>
    <col min="10" max="10" width="12.125" customWidth="1"/>
    <col min="11" max="12" width="7.625" customWidth="1"/>
    <col min="13" max="15" width="14" customWidth="1"/>
  </cols>
  <sheetData>
    <row r="1" spans="2:15">
      <c r="F1" s="64"/>
      <c r="G1" s="65"/>
      <c r="H1" s="64"/>
      <c r="I1" s="64"/>
    </row>
    <row r="2" spans="2:15">
      <c r="F2" s="64"/>
      <c r="G2" s="65"/>
      <c r="H2" s="64"/>
      <c r="I2" s="64"/>
      <c r="M2" t="s">
        <v>90</v>
      </c>
      <c r="N2" s="66">
        <v>46204</v>
      </c>
    </row>
    <row r="3" spans="2:15">
      <c r="F3" s="64"/>
      <c r="G3" s="65"/>
      <c r="H3" s="64"/>
      <c r="I3" s="64"/>
      <c r="M3" t="s">
        <v>91</v>
      </c>
      <c r="N3" s="66">
        <v>46234</v>
      </c>
    </row>
    <row r="4" spans="2:15" s="83" customFormat="1" ht="39.950000000000003" customHeight="1">
      <c r="B4" s="83" t="s">
        <v>72</v>
      </c>
      <c r="C4" s="83" t="s">
        <v>73</v>
      </c>
      <c r="D4" s="83" t="s">
        <v>74</v>
      </c>
      <c r="E4" s="83" t="s">
        <v>75</v>
      </c>
      <c r="F4" s="84" t="s">
        <v>76</v>
      </c>
      <c r="G4" s="136" t="s">
        <v>77</v>
      </c>
      <c r="H4" s="84" t="s">
        <v>78</v>
      </c>
      <c r="I4" s="84" t="s">
        <v>79</v>
      </c>
      <c r="J4" s="83" t="s">
        <v>6</v>
      </c>
      <c r="K4" s="83" t="s">
        <v>80</v>
      </c>
      <c r="L4" s="83" t="s">
        <v>81</v>
      </c>
      <c r="M4" s="83" t="s">
        <v>82</v>
      </c>
      <c r="N4" s="83" t="s">
        <v>83</v>
      </c>
      <c r="O4" s="83" t="s">
        <v>84</v>
      </c>
    </row>
    <row r="5" spans="2:15">
      <c r="B5" s="154">
        <v>46081</v>
      </c>
      <c r="C5" t="s">
        <v>569</v>
      </c>
      <c r="E5" t="s">
        <v>570</v>
      </c>
      <c r="F5" s="64">
        <v>22</v>
      </c>
      <c r="G5" s="65">
        <v>1</v>
      </c>
      <c r="H5" s="64">
        <v>0</v>
      </c>
      <c r="I5" s="64">
        <v>25</v>
      </c>
      <c r="J5" s="66">
        <v>46091</v>
      </c>
      <c r="K5">
        <v>10</v>
      </c>
      <c r="L5" s="137">
        <v>400</v>
      </c>
      <c r="M5" s="137">
        <v>0</v>
      </c>
      <c r="N5" s="137">
        <v>12400</v>
      </c>
      <c r="O5" s="137">
        <v>12400</v>
      </c>
    </row>
    <row r="6" spans="2:15">
      <c r="B6" s="154">
        <v>46184</v>
      </c>
      <c r="C6" t="s">
        <v>571</v>
      </c>
      <c r="E6" t="s">
        <v>572</v>
      </c>
      <c r="F6" s="64">
        <v>39</v>
      </c>
      <c r="G6" s="65">
        <v>1</v>
      </c>
      <c r="H6" s="64">
        <v>0</v>
      </c>
      <c r="I6" s="64">
        <v>40</v>
      </c>
      <c r="J6" s="66">
        <v>46194</v>
      </c>
      <c r="K6">
        <v>10</v>
      </c>
      <c r="L6" s="137">
        <v>400</v>
      </c>
      <c r="M6" s="137">
        <v>0</v>
      </c>
      <c r="N6" s="137">
        <v>12400</v>
      </c>
      <c r="O6" s="137">
        <v>12400</v>
      </c>
    </row>
    <row r="7" spans="2:15" ht="39.950000000000003" customHeight="1">
      <c r="B7" s="85" t="s">
        <v>99</v>
      </c>
      <c r="C7" s="85"/>
      <c r="D7" s="85"/>
      <c r="E7" s="85"/>
      <c r="F7" s="85"/>
      <c r="G7" s="85"/>
      <c r="H7" s="85"/>
      <c r="I7" s="85"/>
      <c r="J7" s="85"/>
      <c r="K7" s="85"/>
      <c r="L7" s="138"/>
      <c r="M7" s="138">
        <f>SUBTOTAL(109,표1[출고보관료])</f>
        <v>0</v>
      </c>
      <c r="N7" s="138">
        <f>SUBTOTAL(109,표1[재고보관료])</f>
        <v>24800</v>
      </c>
      <c r="O7" s="138">
        <f>SUBTOTAL(109,표1[총보관료])</f>
        <v>24800</v>
      </c>
    </row>
  </sheetData>
  <phoneticPr fontId="2" type="noConversion"/>
  <pageMargins left="0.7" right="0.7" top="0.75" bottom="0.75" header="0.3" footer="0.3"/>
  <legacy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2:AB5"/>
  <sheetViews>
    <sheetView workbookViewId="0">
      <selection activeCell="H20" sqref="H20"/>
    </sheetView>
  </sheetViews>
  <sheetFormatPr defaultRowHeight="16.5"/>
  <sheetData>
    <row r="2" spans="1:28">
      <c r="A2">
        <v>49</v>
      </c>
      <c r="B2">
        <v>43559</v>
      </c>
      <c r="C2" t="s">
        <v>102</v>
      </c>
      <c r="E2" t="s">
        <v>101</v>
      </c>
      <c r="F2" t="s">
        <v>85</v>
      </c>
      <c r="G2" t="s">
        <v>103</v>
      </c>
      <c r="H2">
        <v>3464</v>
      </c>
      <c r="I2">
        <v>49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3464</v>
      </c>
      <c r="S2">
        <v>0</v>
      </c>
      <c r="T2">
        <v>3464</v>
      </c>
      <c r="U2" t="s">
        <v>104</v>
      </c>
      <c r="V2">
        <v>72</v>
      </c>
      <c r="W2">
        <v>43589</v>
      </c>
      <c r="X2">
        <v>30</v>
      </c>
      <c r="Y2">
        <v>350</v>
      </c>
      <c r="Z2">
        <v>0</v>
      </c>
      <c r="AA2">
        <v>0</v>
      </c>
      <c r="AB2">
        <v>0</v>
      </c>
    </row>
    <row r="3" spans="1:28">
      <c r="A3">
        <v>26</v>
      </c>
      <c r="B3">
        <v>43630</v>
      </c>
      <c r="C3" t="s">
        <v>108</v>
      </c>
      <c r="E3" t="s">
        <v>105</v>
      </c>
      <c r="F3" t="s">
        <v>107</v>
      </c>
      <c r="H3">
        <v>1200</v>
      </c>
      <c r="I3">
        <v>25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1200</v>
      </c>
      <c r="S3">
        <v>0</v>
      </c>
      <c r="T3">
        <v>1200</v>
      </c>
      <c r="U3" t="s">
        <v>109</v>
      </c>
      <c r="V3">
        <v>48</v>
      </c>
      <c r="W3">
        <v>43660</v>
      </c>
      <c r="X3">
        <v>30</v>
      </c>
      <c r="Y3">
        <v>350</v>
      </c>
      <c r="Z3">
        <v>0</v>
      </c>
      <c r="AA3">
        <v>0</v>
      </c>
      <c r="AB3">
        <v>0</v>
      </c>
    </row>
    <row r="4" spans="1:28">
      <c r="A4">
        <v>20</v>
      </c>
      <c r="B4">
        <v>43696</v>
      </c>
      <c r="C4" t="s">
        <v>110</v>
      </c>
      <c r="E4" t="s">
        <v>105</v>
      </c>
      <c r="F4" t="s">
        <v>106</v>
      </c>
      <c r="H4">
        <v>1200</v>
      </c>
      <c r="I4">
        <v>20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1200</v>
      </c>
      <c r="S4">
        <v>0</v>
      </c>
      <c r="T4">
        <v>1200</v>
      </c>
      <c r="U4" t="s">
        <v>111</v>
      </c>
      <c r="V4">
        <v>60</v>
      </c>
      <c r="W4">
        <v>43726</v>
      </c>
      <c r="X4">
        <v>30</v>
      </c>
      <c r="Y4">
        <v>350</v>
      </c>
      <c r="Z4">
        <v>0</v>
      </c>
      <c r="AA4">
        <v>0</v>
      </c>
      <c r="AB4">
        <v>0</v>
      </c>
    </row>
    <row r="5" spans="1:28">
      <c r="A5">
        <v>30</v>
      </c>
      <c r="B5">
        <v>43724</v>
      </c>
      <c r="C5" t="s">
        <v>112</v>
      </c>
      <c r="E5" t="s">
        <v>105</v>
      </c>
      <c r="F5" t="s">
        <v>113</v>
      </c>
      <c r="H5">
        <v>1400</v>
      </c>
      <c r="I5">
        <v>30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1400</v>
      </c>
      <c r="S5">
        <v>0</v>
      </c>
      <c r="T5">
        <v>1400</v>
      </c>
      <c r="U5" t="s">
        <v>114</v>
      </c>
      <c r="V5">
        <v>48</v>
      </c>
      <c r="W5">
        <v>43754</v>
      </c>
      <c r="X5">
        <v>30</v>
      </c>
      <c r="Y5">
        <v>350</v>
      </c>
      <c r="Z5">
        <v>0</v>
      </c>
      <c r="AA5">
        <v>0</v>
      </c>
      <c r="AB5">
        <v>0</v>
      </c>
    </row>
  </sheetData>
  <phoneticPr fontId="2" type="noConversion"/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13</vt:i4>
      </vt:variant>
    </vt:vector>
  </HeadingPairs>
  <TitlesOfParts>
    <vt:vector size="32" baseType="lpstr">
      <vt:lpstr>SPC</vt:lpstr>
      <vt:lpstr>SPC(시노관세)</vt:lpstr>
      <vt:lpstr>SPC(본사)</vt:lpstr>
      <vt:lpstr>SPC(1물류)</vt:lpstr>
      <vt:lpstr>시노(티알)</vt:lpstr>
      <vt:lpstr>시노(명인)</vt:lpstr>
      <vt:lpstr>시노(해인)</vt:lpstr>
      <vt:lpstr>시노(기타)</vt:lpstr>
      <vt:lpstr>케이비켐</vt:lpstr>
      <vt:lpstr>피알</vt:lpstr>
      <vt:lpstr>HS</vt:lpstr>
      <vt:lpstr>HS(세종)</vt:lpstr>
      <vt:lpstr>HS(액상)</vt:lpstr>
      <vt:lpstr>HS(기타)</vt:lpstr>
      <vt:lpstr>덕성</vt:lpstr>
      <vt:lpstr>재고요약</vt:lpstr>
      <vt:lpstr>출고세부내역</vt:lpstr>
      <vt:lpstr>보관료취합</vt:lpstr>
      <vt:lpstr>재고0</vt:lpstr>
      <vt:lpstr>HS!Print_Area</vt:lpstr>
      <vt:lpstr>'HS(기타)'!Print_Area</vt:lpstr>
      <vt:lpstr>'HS(세종)'!Print_Area</vt:lpstr>
      <vt:lpstr>'HS(액상)'!Print_Area</vt:lpstr>
      <vt:lpstr>SPC!Print_Area</vt:lpstr>
      <vt:lpstr>'SPC(1물류)'!Print_Area</vt:lpstr>
      <vt:lpstr>'SPC(본사)'!Print_Area</vt:lpstr>
      <vt:lpstr>덕성!Print_Area</vt:lpstr>
      <vt:lpstr>'시노(기타)'!Print_Area</vt:lpstr>
      <vt:lpstr>'시노(명인)'!Print_Area</vt:lpstr>
      <vt:lpstr>'시노(티알)'!Print_Area</vt:lpstr>
      <vt:lpstr>'시노(해인)'!Print_Area</vt:lpstr>
      <vt:lpstr>피알!Print_Area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호원 김</cp:lastModifiedBy>
  <cp:lastPrinted>2026-06-02T06:57:32Z</cp:lastPrinted>
  <dcterms:created xsi:type="dcterms:W3CDTF">2018-06-30T01:30:23Z</dcterms:created>
  <dcterms:modified xsi:type="dcterms:W3CDTF">2026-07-30T01:57:32Z</dcterms:modified>
</cp:coreProperties>
</file>